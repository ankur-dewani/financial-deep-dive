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s" sheetId="1" r:id="rId5"/>
    <sheet state="visible" name="P&amp;L Summary" sheetId="2" r:id="rId6"/>
    <sheet state="visible" name="OPEX - NEmpl." sheetId="3" r:id="rId7"/>
    <sheet state="visible" name="COGS - NEmpl." sheetId="4" r:id="rId8"/>
    <sheet state="visible" name="Empl." sheetId="5" r:id="rId9"/>
    <sheet state="visible" name="RecurringRevenue" sheetId="6" r:id="rId10"/>
    <sheet state="visible" name="PSORevenue" sheetId="7" r:id="rId11"/>
    <sheet state="visible" name="PerpetualRevenue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">
      <text>
        <t xml:space="preserve">Note:
Includes 1099 Contractors
</t>
      </text>
    </comment>
    <comment authorId="0" ref="A10">
      <text>
        <t xml:space="preserve">Note:
Includes 1099 Contractors
</t>
      </text>
    </comment>
    <comment authorId="0" ref="A34">
      <text>
        <t xml:space="preserve">Note:
Includes 1099 Contractors
</t>
      </text>
    </comment>
  </commentList>
</comments>
</file>

<file path=xl/sharedStrings.xml><?xml version="1.0" encoding="utf-8"?>
<sst xmlns="http://schemas.openxmlformats.org/spreadsheetml/2006/main" count="18363" uniqueCount="89">
  <si>
    <t>Category</t>
  </si>
  <si>
    <t>Benchmark</t>
  </si>
  <si>
    <t>Margin</t>
  </si>
  <si>
    <t>Shared Services</t>
  </si>
  <si>
    <t>Executive team</t>
  </si>
  <si>
    <t>Sales</t>
  </si>
  <si>
    <t>Marketing</t>
  </si>
  <si>
    <t>Technical Support</t>
  </si>
  <si>
    <t>Hosting</t>
  </si>
  <si>
    <t>Product</t>
  </si>
  <si>
    <t>Engineering</t>
  </si>
  <si>
    <t>Expense Total</t>
  </si>
  <si>
    <t>P&amp;L Summary</t>
  </si>
  <si>
    <t>2018 Total</t>
  </si>
  <si>
    <t>Revenue</t>
  </si>
  <si>
    <t>Recurring</t>
  </si>
  <si>
    <t>PSO</t>
  </si>
  <si>
    <t>Perpetual</t>
  </si>
  <si>
    <t>HC Expense (W2)</t>
  </si>
  <si>
    <t>Non HC Expense (COGS)</t>
  </si>
  <si>
    <t>Non HC Expense (OPEX)</t>
  </si>
  <si>
    <t>Non HC Expense - TOTAL</t>
  </si>
  <si>
    <t>Expense</t>
  </si>
  <si>
    <t>Margin %</t>
  </si>
  <si>
    <t>Expense Breakdown</t>
  </si>
  <si>
    <t>Cost of Product</t>
  </si>
  <si>
    <t xml:space="preserve">     CloudOps</t>
  </si>
  <si>
    <t>Cost of PSO</t>
  </si>
  <si>
    <t>G&amp;A</t>
  </si>
  <si>
    <t>R&amp;D</t>
  </si>
  <si>
    <t>S&amp;M</t>
  </si>
  <si>
    <t>Total Expenses</t>
  </si>
  <si>
    <t>Employee Expense Breakdown</t>
  </si>
  <si>
    <t>Total</t>
  </si>
  <si>
    <t>Non Employee (COGS) Breakdown</t>
  </si>
  <si>
    <t>Expense Check</t>
  </si>
  <si>
    <t>HC Check</t>
  </si>
  <si>
    <t>NHC Check</t>
  </si>
  <si>
    <t>IN USD</t>
  </si>
  <si>
    <t>Function L1</t>
  </si>
  <si>
    <t>Function L2</t>
  </si>
  <si>
    <t>Dept</t>
  </si>
  <si>
    <t>Vendor</t>
  </si>
  <si>
    <t>2018 total</t>
  </si>
  <si>
    <t>OPEX</t>
  </si>
  <si>
    <t>Corporate Technology</t>
  </si>
  <si>
    <t>Enterprise Systems</t>
  </si>
  <si>
    <t>T&amp;E/Other</t>
  </si>
  <si>
    <t>Finance &amp; Accounting</t>
  </si>
  <si>
    <t>Outsourced Services</t>
  </si>
  <si>
    <t>Personnel</t>
  </si>
  <si>
    <t>GMs &amp; Office Admins</t>
  </si>
  <si>
    <t>Bonus</t>
  </si>
  <si>
    <t>Commissions</t>
  </si>
  <si>
    <t>Occupancy</t>
  </si>
  <si>
    <t xml:space="preserve">Legal </t>
  </si>
  <si>
    <t>Product Development</t>
  </si>
  <si>
    <t>Dev Factory</t>
  </si>
  <si>
    <t>External Contractors</t>
  </si>
  <si>
    <t>Quality Assurance</t>
  </si>
  <si>
    <t>Bad Debt Reserve</t>
  </si>
  <si>
    <t>Solution Consultants</t>
  </si>
  <si>
    <t>Human Resources</t>
  </si>
  <si>
    <t>Information Technology</t>
  </si>
  <si>
    <t>Benefits</t>
  </si>
  <si>
    <t>Service Operations</t>
  </si>
  <si>
    <t>Product Management</t>
  </si>
  <si>
    <t xml:space="preserve">Corporate </t>
  </si>
  <si>
    <t>Business Operations</t>
  </si>
  <si>
    <t>Corporate</t>
  </si>
  <si>
    <t>Legal</t>
  </si>
  <si>
    <t xml:space="preserve">Service Operations </t>
  </si>
  <si>
    <t xml:space="preserve">Business Operations </t>
  </si>
  <si>
    <t xml:space="preserve">Human Resources </t>
  </si>
  <si>
    <t>COGS</t>
  </si>
  <si>
    <t>Cloud Operations</t>
  </si>
  <si>
    <t>Customer Success</t>
  </si>
  <si>
    <t>Enhanced Support</t>
  </si>
  <si>
    <t>Professional Services</t>
  </si>
  <si>
    <t>Education and Training</t>
  </si>
  <si>
    <t xml:space="preserve">Education and Training </t>
  </si>
  <si>
    <t>Funded R&amp;D</t>
  </si>
  <si>
    <t>Tier</t>
  </si>
  <si>
    <t>DEPT</t>
  </si>
  <si>
    <t>Name</t>
  </si>
  <si>
    <t>Cost</t>
  </si>
  <si>
    <t>Type</t>
  </si>
  <si>
    <t>Customer Name</t>
  </si>
  <si>
    <t>Maintenance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</si>
</sst>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%"/>
    <numFmt numFmtId="165" formatCode="#,##0;\(#,##0\)"/>
    <numFmt numFmtId="166" formatCode="_(&quot;$&quot;* #,##0_);_(&quot;$&quot;* \(#,##0\);_(&quot;$&quot;* &quot;-&quot;??_);_(@_)"/>
    <numFmt numFmtId="167" formatCode="#,##0,;\(#,##0,\)"/>
    <numFmt numFmtId="168" formatCode="_(* #,##0.0000_);_(* \(#,##0.0000\);_(* &quot;-&quot;??_);_(@_)"/>
    <numFmt numFmtId="169" formatCode="_(* #,##0_);_(* \(#,##0\);_(* &quot;-&quot;??_);_(@_)"/>
    <numFmt numFmtId="170" formatCode="_(* #,##0.000_);_(* \(#,##0.000\);_(* &quot;-&quot;??_);_(@_)"/>
    <numFmt numFmtId="171" formatCode="mmm\-yy"/>
    <numFmt numFmtId="172" formatCode="_(* #,##0.00_);_(* \(#,##0.00\);_(* &quot;-&quot;??_);_(@_)"/>
  </numFmts>
  <fonts count="16">
    <font>
      <sz val="10.0"/>
      <color rgb="FF000000"/>
      <name val="Calibri"/>
      <scheme val="minor"/>
    </font>
    <font>
      <u/>
      <color rgb="FF1155CC"/>
      <name val="Arial"/>
    </font>
    <font>
      <b/>
      <color rgb="FF000000"/>
      <name val="Calibri"/>
    </font>
    <font>
      <color theme="1"/>
      <name val="Calibri"/>
    </font>
    <font>
      <color theme="1"/>
      <name val="Calibri"/>
      <scheme val="minor"/>
    </font>
    <font>
      <b/>
      <sz val="10.0"/>
      <color theme="1"/>
      <name val="Verdana"/>
    </font>
    <font>
      <sz val="10.0"/>
      <color theme="1"/>
      <name val="Arial"/>
    </font>
    <font>
      <sz val="10.0"/>
      <color theme="1"/>
      <name val="Verdana"/>
    </font>
    <font>
      <b/>
      <i/>
      <sz val="10.0"/>
      <color theme="1"/>
      <name val="Verdana"/>
    </font>
    <font>
      <i/>
      <sz val="10.0"/>
      <color theme="1"/>
      <name val="Verdana"/>
    </font>
    <font>
      <b/>
      <sz val="10.0"/>
      <color rgb="FFFF0000"/>
      <name val="Verdana"/>
    </font>
    <font>
      <sz val="9.0"/>
      <color theme="1"/>
      <name val="Verdana"/>
    </font>
    <font>
      <b/>
      <sz val="9.0"/>
      <color theme="1"/>
      <name val="Arial"/>
    </font>
    <font>
      <sz val="9.0"/>
      <color theme="1"/>
      <name val="Arial"/>
    </font>
    <font>
      <b/>
      <sz val="9.0"/>
      <color theme="1"/>
      <name val="Verdana"/>
    </font>
    <font>
      <b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66FFFF"/>
        <bgColor rgb="FF66FFFF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</border>
    <border>
      <left style="thin">
        <color rgb="FF010000"/>
      </left>
      <right style="thin">
        <color rgb="FF010000"/>
      </right>
      <top/>
      <bottom/>
    </border>
    <border>
      <left style="thin">
        <color rgb="FF010000"/>
      </left>
      <right style="thin">
        <color rgb="FF010000"/>
      </right>
    </border>
    <border>
      <left style="thin">
        <color rgb="FF010000"/>
      </left>
      <right style="thin">
        <color rgb="FF010000"/>
      </right>
      <bottom style="thin">
        <color rgb="FF010000"/>
      </bottom>
    </border>
    <border>
      <left style="thin">
        <color rgb="FF010000"/>
      </left>
      <right style="thin">
        <color rgb="FF010000"/>
      </right>
      <top style="thin">
        <color rgb="FF010000"/>
      </top>
    </border>
    <border>
      <left style="thin">
        <color rgb="FF010000"/>
      </left>
      <right style="thin">
        <color rgb="FF010000"/>
      </right>
      <top/>
    </border>
    <border>
      <left style="thin">
        <color rgb="FF010000"/>
      </left>
      <top style="thin">
        <color rgb="FF010000"/>
      </top>
    </border>
    <border>
      <right style="thin">
        <color rgb="FF010000"/>
      </right>
    </border>
    <border>
      <left style="thin">
        <color rgb="FF010000"/>
      </left>
      <top style="thin">
        <color rgb="FF010000"/>
      </top>
      <bottom style="thin">
        <color rgb="FF010000"/>
      </bottom>
    </border>
    <border>
      <right style="thin">
        <color rgb="FF010000"/>
      </right>
      <bottom style="thin">
        <color rgb="FF01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10000"/>
      </right>
      <top style="medium">
        <color rgb="FF000000"/>
      </top>
      <bottom style="medium">
        <color rgb="FF000000"/>
      </bottom>
    </border>
    <border>
      <left/>
      <right style="thin">
        <color rgb="FF010000"/>
      </right>
      <top style="medium">
        <color rgb="FF000000"/>
      </top>
      <bottom style="medium">
        <color rgb="FF000000"/>
      </bottom>
    </border>
    <border>
      <left style="thin">
        <color rgb="FF010000"/>
      </left>
      <right style="thin">
        <color rgb="FF010000"/>
      </right>
      <top style="medium">
        <color rgb="FF000000"/>
      </top>
      <bottom style="medium">
        <color rgb="FF000000"/>
      </bottom>
    </border>
    <border>
      <left style="thin">
        <color rgb="FF01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10000"/>
      </left>
      <right style="thin">
        <color rgb="FF010000"/>
      </right>
      <bottom style="hair">
        <color rgb="FF010000"/>
      </bottom>
    </border>
    <border>
      <left style="thin">
        <color rgb="FF010000"/>
      </left>
      <right style="thin">
        <color rgb="FF010000"/>
      </right>
      <top style="hair">
        <color rgb="FF010000"/>
      </top>
      <bottom style="hair">
        <color rgb="FF010000"/>
      </bottom>
    </border>
    <border>
      <bottom style="thin">
        <color rgb="FF010000"/>
      </bottom>
    </border>
    <border>
      <left style="thin">
        <color rgb="FF010000"/>
      </left>
      <right style="thin">
        <color rgb="FF010000"/>
      </right>
      <top style="thin">
        <color rgb="FF010000"/>
      </top>
      <bottom style="hair">
        <color rgb="FF010000"/>
      </bottom>
    </border>
    <border>
      <left style="thin">
        <color rgb="FF010000"/>
      </left>
      <right style="thin">
        <color rgb="FF010000"/>
      </right>
      <top style="hair">
        <color rgb="FF010000"/>
      </top>
    </border>
    <border>
      <left style="thin">
        <color rgb="FF010000"/>
      </left>
      <right style="thin">
        <color rgb="FF010000"/>
      </right>
      <top style="hair">
        <color rgb="FF01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shrinkToFit="0" wrapText="1"/>
    </xf>
    <xf borderId="1" fillId="2" fontId="3" numFmtId="0" xfId="0" applyAlignment="1" applyBorder="1" applyFill="1" applyFont="1">
      <alignment vertical="bottom"/>
    </xf>
    <xf borderId="1" fillId="2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readingOrder="0" vertical="bottom"/>
    </xf>
    <xf borderId="1" fillId="3" fontId="3" numFmtId="164" xfId="0" applyAlignment="1" applyBorder="1" applyFill="1" applyFont="1" applyNumberForma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center"/>
    </xf>
    <xf borderId="2" fillId="4" fontId="5" numFmtId="0" xfId="0" applyAlignment="1" applyBorder="1" applyFill="1" applyFont="1">
      <alignment horizontal="center" shrinkToFit="0" vertical="center" wrapText="1"/>
    </xf>
    <xf borderId="1" fillId="4" fontId="5" numFmtId="165" xfId="0" applyAlignment="1" applyBorder="1" applyFont="1" applyNumberFormat="1">
      <alignment horizontal="center" readingOrder="0" shrinkToFit="0" vertical="center" wrapText="1"/>
    </xf>
    <xf borderId="0" fillId="0" fontId="6" numFmtId="0" xfId="0" applyFont="1"/>
    <xf borderId="0" fillId="0" fontId="7" numFmtId="0" xfId="0" applyFont="1"/>
    <xf borderId="3" fillId="5" fontId="8" numFmtId="0" xfId="0" applyBorder="1" applyFill="1" applyFont="1"/>
    <xf borderId="3" fillId="5" fontId="8" numFmtId="166" xfId="0" applyAlignment="1" applyBorder="1" applyFont="1" applyNumberFormat="1">
      <alignment readingOrder="0"/>
    </xf>
    <xf borderId="4" fillId="0" fontId="7" numFmtId="0" xfId="0" applyBorder="1" applyFont="1"/>
    <xf borderId="3" fillId="0" fontId="8" numFmtId="166" xfId="0" applyAlignment="1" applyBorder="1" applyFont="1" applyNumberFormat="1">
      <alignment readingOrder="0"/>
    </xf>
    <xf borderId="4" fillId="0" fontId="7" numFmtId="167" xfId="0" applyBorder="1" applyFont="1" applyNumberFormat="1"/>
    <xf borderId="3" fillId="0" fontId="9" numFmtId="166" xfId="0" applyAlignment="1" applyBorder="1" applyFont="1" applyNumberFormat="1">
      <alignment readingOrder="0"/>
    </xf>
    <xf borderId="4" fillId="0" fontId="7" numFmtId="0" xfId="0" applyAlignment="1" applyBorder="1" applyFont="1">
      <alignment readingOrder="0"/>
    </xf>
    <xf borderId="0" fillId="0" fontId="10" numFmtId="0" xfId="0" applyFont="1"/>
    <xf borderId="4" fillId="0" fontId="7" numFmtId="9" xfId="0" applyAlignment="1" applyBorder="1" applyFont="1" applyNumberFormat="1">
      <alignment readingOrder="0"/>
    </xf>
    <xf borderId="5" fillId="0" fontId="7" numFmtId="0" xfId="0" applyBorder="1" applyFont="1"/>
    <xf borderId="5" fillId="0" fontId="7" numFmtId="9" xfId="0" applyBorder="1" applyFont="1" applyNumberFormat="1"/>
    <xf borderId="2" fillId="4" fontId="5" numFmtId="0" xfId="0" applyAlignment="1" applyBorder="1" applyFont="1">
      <alignment readingOrder="0"/>
    </xf>
    <xf borderId="6" fillId="0" fontId="7" numFmtId="0" xfId="0" applyBorder="1" applyFont="1"/>
    <xf borderId="4" fillId="0" fontId="9" numFmtId="0" xfId="0" applyBorder="1" applyFont="1"/>
    <xf borderId="7" fillId="0" fontId="8" numFmtId="166" xfId="0" applyAlignment="1" applyBorder="1" applyFont="1" applyNumberFormat="1">
      <alignment readingOrder="0"/>
    </xf>
    <xf borderId="2" fillId="4" fontId="5" numFmtId="0" xfId="0" applyBorder="1" applyFont="1"/>
    <xf borderId="1" fillId="0" fontId="8" numFmtId="166" xfId="0" applyAlignment="1" applyBorder="1" applyFont="1" applyNumberFormat="1">
      <alignment readingOrder="0"/>
    </xf>
    <xf borderId="8" fillId="0" fontId="7" numFmtId="0" xfId="0" applyBorder="1" applyFont="1"/>
    <xf borderId="9" fillId="0" fontId="7" numFmtId="0" xfId="0" applyBorder="1" applyFont="1"/>
    <xf borderId="6" fillId="0" fontId="7" numFmtId="165" xfId="0" applyBorder="1" applyFont="1" applyNumberFormat="1"/>
    <xf borderId="10" fillId="0" fontId="7" numFmtId="0" xfId="0" applyBorder="1" applyFont="1"/>
    <xf borderId="11" fillId="0" fontId="7" numFmtId="165" xfId="0" applyBorder="1" applyFont="1" applyNumberFormat="1"/>
    <xf borderId="1" fillId="0" fontId="7" numFmtId="0" xfId="0" applyBorder="1" applyFont="1"/>
    <xf borderId="1" fillId="0" fontId="6" numFmtId="168" xfId="0" applyBorder="1" applyFont="1" applyNumberFormat="1"/>
    <xf borderId="1" fillId="0" fontId="6" numFmtId="0" xfId="0" applyBorder="1" applyFont="1"/>
    <xf borderId="12" fillId="6" fontId="11" numFmtId="0" xfId="0" applyBorder="1" applyFill="1" applyFont="1"/>
    <xf borderId="0" fillId="0" fontId="12" numFmtId="169" xfId="0" applyFont="1" applyNumberFormat="1"/>
    <xf borderId="0" fillId="0" fontId="13" numFmtId="169" xfId="0" applyFont="1" applyNumberFormat="1"/>
    <xf borderId="13" fillId="4" fontId="14" numFmtId="169" xfId="0" applyBorder="1" applyFont="1" applyNumberFormat="1"/>
    <xf borderId="1" fillId="4" fontId="14" numFmtId="169" xfId="0" applyAlignment="1" applyBorder="1" applyFont="1" applyNumberFormat="1">
      <alignment horizontal="center" shrinkToFit="0" vertical="center" wrapText="1"/>
    </xf>
    <xf borderId="1" fillId="4" fontId="14" numFmtId="169" xfId="0" applyAlignment="1" applyBorder="1" applyFont="1" applyNumberFormat="1">
      <alignment horizontal="center" readingOrder="0" shrinkToFit="0" vertical="center" wrapText="1"/>
    </xf>
    <xf borderId="1" fillId="4" fontId="14" numFmtId="169" xfId="0" applyAlignment="1" applyBorder="1" applyFont="1" applyNumberFormat="1">
      <alignment horizontal="left" readingOrder="0" shrinkToFit="0" vertical="center" wrapText="1"/>
    </xf>
    <xf borderId="14" fillId="0" fontId="11" numFmtId="169" xfId="0" applyBorder="1" applyFont="1" applyNumberFormat="1"/>
    <xf borderId="0" fillId="0" fontId="13" numFmtId="0" xfId="0" applyFont="1"/>
    <xf borderId="15" fillId="0" fontId="11" numFmtId="169" xfId="0" applyBorder="1" applyFont="1" applyNumberFormat="1"/>
    <xf borderId="0" fillId="0" fontId="13" numFmtId="170" xfId="0" applyFont="1" applyNumberFormat="1"/>
    <xf borderId="0" fillId="0" fontId="11" numFmtId="0" xfId="0" applyFont="1"/>
    <xf borderId="16" fillId="7" fontId="14" numFmtId="0" xfId="0" applyAlignment="1" applyBorder="1" applyFill="1" applyFont="1">
      <alignment horizontal="center"/>
    </xf>
    <xf borderId="1" fillId="4" fontId="14" numFmtId="171" xfId="0" applyAlignment="1" applyBorder="1" applyFont="1" applyNumberFormat="1">
      <alignment horizontal="center" shrinkToFit="0" vertical="center" wrapText="1"/>
    </xf>
    <xf borderId="17" fillId="4" fontId="14" numFmtId="169" xfId="0" applyAlignment="1" applyBorder="1" applyFont="1" applyNumberFormat="1">
      <alignment horizontal="left" readingOrder="0" shrinkToFit="0" wrapText="1"/>
    </xf>
    <xf borderId="1" fillId="0" fontId="11" numFmtId="0" xfId="0" applyBorder="1" applyFont="1"/>
    <xf borderId="1" fillId="0" fontId="11" numFmtId="169" xfId="0" applyBorder="1" applyFont="1" applyNumberFormat="1"/>
    <xf borderId="0" fillId="0" fontId="6" numFmtId="172" xfId="0" applyFont="1" applyNumberFormat="1"/>
    <xf borderId="0" fillId="0" fontId="14" numFmtId="0" xfId="0" applyFont="1"/>
    <xf borderId="16" fillId="4" fontId="14" numFmtId="0" xfId="0" applyAlignment="1" applyBorder="1" applyFont="1">
      <alignment horizontal="center"/>
    </xf>
    <xf borderId="18" fillId="4" fontId="5" numFmtId="0" xfId="0" applyAlignment="1" applyBorder="1" applyFont="1">
      <alignment horizontal="center" shrinkToFit="0" vertical="center" wrapText="1"/>
    </xf>
    <xf borderId="19" fillId="4" fontId="5" numFmtId="0" xfId="0" applyAlignment="1" applyBorder="1" applyFont="1">
      <alignment horizontal="center" shrinkToFit="0" vertical="center" wrapText="1"/>
    </xf>
    <xf borderId="20" fillId="4" fontId="14" numFmtId="0" xfId="0" applyAlignment="1" applyBorder="1" applyFont="1">
      <alignment horizontal="center" shrinkToFit="0" vertical="center" wrapText="1"/>
    </xf>
    <xf borderId="21" fillId="4" fontId="14" numFmtId="0" xfId="0" applyAlignment="1" applyBorder="1" applyFont="1">
      <alignment horizontal="center" readingOrder="0" shrinkToFit="0" vertical="center" wrapText="1"/>
    </xf>
    <xf borderId="22" fillId="0" fontId="11" numFmtId="0" xfId="0" applyBorder="1" applyFont="1"/>
    <xf borderId="23" fillId="0" fontId="11" numFmtId="0" xfId="0" applyBorder="1" applyFont="1"/>
    <xf borderId="23" fillId="0" fontId="11" numFmtId="3" xfId="0" applyAlignment="1" applyBorder="1" applyFont="1" applyNumberFormat="1">
      <alignment horizontal="right"/>
    </xf>
    <xf borderId="12" fillId="6" fontId="11" numFmtId="0" xfId="0" applyAlignment="1" applyBorder="1" applyFont="1">
      <alignment horizontal="left" vertical="center"/>
    </xf>
    <xf borderId="24" fillId="0" fontId="6" numFmtId="0" xfId="0" applyBorder="1" applyFont="1"/>
    <xf borderId="25" fillId="6" fontId="14" numFmtId="0" xfId="0" applyBorder="1" applyFont="1"/>
    <xf borderId="3" fillId="4" fontId="14" numFmtId="171" xfId="0" applyAlignment="1" applyBorder="1" applyFont="1" applyNumberFormat="1">
      <alignment horizontal="center" shrinkToFit="0" vertical="center" wrapText="1"/>
    </xf>
    <xf borderId="0" fillId="0" fontId="15" numFmtId="0" xfId="0" applyFont="1"/>
    <xf borderId="26" fillId="0" fontId="11" numFmtId="0" xfId="0" applyBorder="1" applyFont="1"/>
    <xf borderId="27" fillId="0" fontId="11" numFmtId="0" xfId="0" applyBorder="1" applyFont="1"/>
    <xf borderId="27" fillId="0" fontId="11" numFmtId="3" xfId="0" applyAlignment="1" applyBorder="1" applyFont="1" applyNumberFormat="1">
      <alignment horizontal="right"/>
    </xf>
    <xf borderId="23" fillId="0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0"/>
  </cols>
  <sheetData>
    <row r="1">
      <c r="A1" s="1" t="s">
        <v>0</v>
      </c>
      <c r="B1" s="2" t="s">
        <v>1</v>
      </c>
    </row>
    <row r="2">
      <c r="A2" s="3" t="s">
        <v>2</v>
      </c>
      <c r="B2" s="4">
        <v>0.7</v>
      </c>
    </row>
    <row r="3">
      <c r="A3" s="5" t="s">
        <v>3</v>
      </c>
      <c r="B3" s="6">
        <v>0.045</v>
      </c>
    </row>
    <row r="4">
      <c r="A4" s="7" t="s">
        <v>4</v>
      </c>
      <c r="B4" s="8">
        <v>0.045</v>
      </c>
    </row>
    <row r="5">
      <c r="A5" s="7" t="s">
        <v>5</v>
      </c>
      <c r="B5" s="8">
        <v>0.05</v>
      </c>
    </row>
    <row r="6">
      <c r="A6" s="7" t="s">
        <v>6</v>
      </c>
      <c r="B6" s="8">
        <v>0.01</v>
      </c>
    </row>
    <row r="7">
      <c r="A7" s="9" t="s">
        <v>7</v>
      </c>
      <c r="B7" s="8">
        <v>0.02</v>
      </c>
    </row>
    <row r="8">
      <c r="A8" s="5" t="s">
        <v>8</v>
      </c>
      <c r="B8" s="6">
        <v>0.01</v>
      </c>
    </row>
    <row r="9">
      <c r="A9" s="7" t="s">
        <v>9</v>
      </c>
      <c r="B9" s="8">
        <v>0.02</v>
      </c>
    </row>
    <row r="10">
      <c r="A10" s="7" t="s">
        <v>10</v>
      </c>
      <c r="B10" s="8">
        <v>0.1</v>
      </c>
    </row>
    <row r="11">
      <c r="A11" s="10" t="s">
        <v>11</v>
      </c>
      <c r="B11" s="11">
        <f>sum(B3:B10)</f>
        <v>0.3</v>
      </c>
    </row>
  </sheetData>
  <hyperlinks>
    <hyperlink display="Category" location="Benchmarks!A1:B11" ref="A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FFCC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0"/>
    <col customWidth="1" min="2" max="2" width="19.14"/>
    <col customWidth="1" min="3" max="3" width="10.29"/>
    <col customWidth="1" min="4" max="5" width="6.0"/>
    <col customWidth="1" min="6" max="7" width="8.86"/>
  </cols>
  <sheetData>
    <row r="1" ht="12.75" customHeight="1">
      <c r="A1" s="12" t="s">
        <v>12</v>
      </c>
      <c r="B1" s="13" t="s">
        <v>13</v>
      </c>
      <c r="C1" s="14"/>
      <c r="D1" s="15"/>
      <c r="E1" s="15"/>
      <c r="F1" s="14"/>
      <c r="G1" s="14"/>
    </row>
    <row r="2" ht="12.75" customHeight="1">
      <c r="A2" s="16" t="s">
        <v>14</v>
      </c>
      <c r="B2" s="17">
        <f>sum(B3:B5)</f>
        <v>79194483.5</v>
      </c>
      <c r="C2" s="15"/>
      <c r="D2" s="15"/>
      <c r="E2" s="15"/>
      <c r="F2" s="14"/>
      <c r="G2" s="14"/>
    </row>
    <row r="3" ht="12.75" customHeight="1">
      <c r="A3" s="18" t="s">
        <v>15</v>
      </c>
      <c r="B3" s="19">
        <f>sum(RecurringRevenue!D4:D2115)</f>
        <v>68584167</v>
      </c>
      <c r="C3" s="14"/>
      <c r="D3" s="15"/>
      <c r="E3" s="15"/>
      <c r="F3" s="14"/>
      <c r="G3" s="14"/>
    </row>
    <row r="4" ht="12.75" customHeight="1">
      <c r="A4" s="18" t="s">
        <v>16</v>
      </c>
      <c r="B4" s="19">
        <f>sum(PSORevenue!D4:D326)</f>
        <v>9307488.2</v>
      </c>
      <c r="C4" s="14"/>
      <c r="D4" s="14"/>
      <c r="E4" s="14"/>
      <c r="F4" s="14"/>
      <c r="G4" s="14"/>
    </row>
    <row r="5" ht="12.75" customHeight="1">
      <c r="A5" s="18" t="s">
        <v>17</v>
      </c>
      <c r="B5" s="19">
        <f>sum(PerpetualRevenue!D4:D87)</f>
        <v>1302828.3</v>
      </c>
      <c r="C5" s="14"/>
      <c r="D5" s="14"/>
      <c r="E5" s="14"/>
      <c r="F5" s="14"/>
      <c r="G5" s="14"/>
    </row>
    <row r="6" ht="12.75" customHeight="1">
      <c r="A6" s="18"/>
      <c r="B6" s="20"/>
      <c r="C6" s="14"/>
      <c r="D6" s="14"/>
      <c r="E6" s="14"/>
      <c r="F6" s="14"/>
      <c r="G6" s="14"/>
    </row>
    <row r="7" ht="12.75" customHeight="1">
      <c r="A7" s="18"/>
      <c r="B7" s="20"/>
      <c r="C7" s="14"/>
      <c r="D7" s="14"/>
      <c r="E7" s="14"/>
      <c r="F7" s="14"/>
      <c r="G7" s="14"/>
    </row>
    <row r="8" ht="12.75" customHeight="1">
      <c r="A8" s="18" t="s">
        <v>18</v>
      </c>
      <c r="B8" s="19">
        <f>sum(Empl.!G4:G461)</f>
        <v>30544905.6</v>
      </c>
      <c r="C8" s="15"/>
      <c r="D8" s="14"/>
      <c r="E8" s="14"/>
      <c r="F8" s="14"/>
      <c r="G8" s="14"/>
    </row>
    <row r="9" ht="12.75" customHeight="1">
      <c r="A9" s="18" t="s">
        <v>19</v>
      </c>
      <c r="B9" s="21">
        <f>sum('COGS - NEmpl.'!F3:F851)</f>
        <v>14461557.9</v>
      </c>
      <c r="C9" s="15"/>
      <c r="D9" s="14"/>
      <c r="E9" s="14"/>
      <c r="F9" s="14"/>
      <c r="G9" s="14"/>
    </row>
    <row r="10" ht="12.75" customHeight="1">
      <c r="A10" s="18" t="s">
        <v>20</v>
      </c>
      <c r="B10" s="21">
        <f>sum('OPEX - NEmpl.'!F3:F1892)</f>
        <v>27170629.5</v>
      </c>
      <c r="C10" s="15"/>
      <c r="D10" s="14"/>
      <c r="E10" s="14"/>
      <c r="F10" s="14"/>
      <c r="G10" s="14"/>
    </row>
    <row r="11" ht="12.75" customHeight="1">
      <c r="A11" s="22" t="s">
        <v>21</v>
      </c>
      <c r="B11" s="19">
        <f>B9+B10</f>
        <v>41632187.4</v>
      </c>
      <c r="C11" s="15"/>
      <c r="D11" s="14"/>
      <c r="E11" s="14"/>
      <c r="F11" s="14"/>
      <c r="G11" s="14"/>
    </row>
    <row r="12" ht="12.75" customHeight="1">
      <c r="A12" s="16" t="s">
        <v>22</v>
      </c>
      <c r="B12" s="17">
        <f>B8+B11</f>
        <v>72177093</v>
      </c>
      <c r="C12" s="15"/>
      <c r="D12" s="14"/>
      <c r="E12" s="14"/>
      <c r="F12" s="14"/>
      <c r="G12" s="14"/>
    </row>
    <row r="13" ht="12.75" customHeight="1">
      <c r="A13" s="18" t="s">
        <v>2</v>
      </c>
      <c r="B13" s="19">
        <f>B2-B12</f>
        <v>7017390.5</v>
      </c>
      <c r="C13" s="23"/>
      <c r="D13" s="14"/>
      <c r="E13" s="14"/>
      <c r="F13" s="14"/>
      <c r="G13" s="14"/>
    </row>
    <row r="14" ht="12.75" customHeight="1">
      <c r="A14" s="18" t="s">
        <v>23</v>
      </c>
      <c r="B14" s="24">
        <f>B13/B2</f>
        <v>0.08860958731</v>
      </c>
      <c r="C14" s="23"/>
      <c r="D14" s="14"/>
      <c r="E14" s="14"/>
      <c r="F14" s="14"/>
      <c r="G14" s="14"/>
    </row>
    <row r="15" ht="12.75" customHeight="1">
      <c r="A15" s="25"/>
      <c r="B15" s="26"/>
      <c r="C15" s="23"/>
      <c r="D15" s="14"/>
      <c r="E15" s="14"/>
      <c r="F15" s="14"/>
      <c r="G15" s="14"/>
    </row>
    <row r="16" ht="12.75" customHeight="1">
      <c r="A16" s="27" t="s">
        <v>24</v>
      </c>
      <c r="B16" s="28"/>
      <c r="C16" s="15"/>
      <c r="D16" s="14"/>
      <c r="E16" s="14"/>
      <c r="F16" s="14"/>
      <c r="G16" s="14"/>
    </row>
    <row r="17" ht="12.75" customHeight="1">
      <c r="A17" s="18" t="s">
        <v>25</v>
      </c>
      <c r="B17" s="19">
        <f t="shared" ref="B17:B22" si="1">B26+B35</f>
        <v>18139886.5</v>
      </c>
      <c r="C17" s="14"/>
      <c r="D17" s="14"/>
      <c r="E17" s="14"/>
      <c r="F17" s="14"/>
      <c r="G17" s="14"/>
    </row>
    <row r="18" ht="12.75" customHeight="1">
      <c r="A18" s="29" t="s">
        <v>26</v>
      </c>
      <c r="B18" s="21">
        <f t="shared" si="1"/>
        <v>9986932.2</v>
      </c>
      <c r="C18" s="14"/>
      <c r="D18" s="14"/>
      <c r="E18" s="14"/>
      <c r="F18" s="14"/>
      <c r="G18" s="14"/>
    </row>
    <row r="19" ht="12.75" customHeight="1">
      <c r="A19" s="18" t="s">
        <v>27</v>
      </c>
      <c r="B19" s="19">
        <f t="shared" si="1"/>
        <v>7072600.6</v>
      </c>
      <c r="C19" s="14"/>
      <c r="D19" s="14"/>
      <c r="E19" s="14"/>
      <c r="F19" s="14"/>
      <c r="G19" s="14"/>
    </row>
    <row r="20" ht="12.75" customHeight="1">
      <c r="A20" s="18" t="s">
        <v>28</v>
      </c>
      <c r="B20" s="19">
        <f t="shared" si="1"/>
        <v>15772901.1</v>
      </c>
      <c r="C20" s="14"/>
      <c r="D20" s="14"/>
      <c r="E20" s="14"/>
      <c r="F20" s="14"/>
      <c r="G20" s="14"/>
    </row>
    <row r="21" ht="12.75" customHeight="1">
      <c r="A21" s="18" t="s">
        <v>29</v>
      </c>
      <c r="B21" s="19">
        <f t="shared" si="1"/>
        <v>17285457.3</v>
      </c>
      <c r="C21" s="14"/>
      <c r="D21" s="14"/>
      <c r="E21" s="14"/>
      <c r="F21" s="14"/>
      <c r="G21" s="14"/>
    </row>
    <row r="22" ht="12.75" customHeight="1">
      <c r="A22" s="18" t="s">
        <v>30</v>
      </c>
      <c r="B22" s="30">
        <f t="shared" si="1"/>
        <v>13906247.5</v>
      </c>
      <c r="C22" s="14"/>
      <c r="D22" s="14"/>
      <c r="E22" s="14"/>
      <c r="F22" s="14"/>
      <c r="G22" s="14"/>
    </row>
    <row r="23" ht="12.75" customHeight="1">
      <c r="A23" s="31" t="s">
        <v>31</v>
      </c>
      <c r="B23" s="32">
        <f>B17+sum(B19:B22)</f>
        <v>72177093</v>
      </c>
      <c r="C23" s="15"/>
      <c r="D23" s="14"/>
      <c r="E23" s="14"/>
      <c r="F23" s="14"/>
      <c r="G23" s="14"/>
    </row>
    <row r="24" ht="12.75" customHeight="1">
      <c r="A24" s="33"/>
      <c r="B24" s="34"/>
      <c r="C24" s="15"/>
      <c r="D24" s="14"/>
      <c r="E24" s="14"/>
      <c r="F24" s="14"/>
      <c r="G24" s="14"/>
    </row>
    <row r="25" ht="12.75" customHeight="1">
      <c r="A25" s="27" t="s">
        <v>32</v>
      </c>
      <c r="B25" s="35"/>
      <c r="C25" s="15"/>
      <c r="D25" s="14"/>
      <c r="E25" s="14"/>
      <c r="F25" s="14"/>
      <c r="G25" s="14"/>
    </row>
    <row r="26" ht="12.75" customHeight="1">
      <c r="A26" s="18" t="str">
        <f>A17</f>
        <v>Cost of Product</v>
      </c>
      <c r="B26" s="19">
        <f>sumif(Empl.!$D$4:$D$461, $A26, Empl.!$G$4:$G$461)</f>
        <v>6553936.4</v>
      </c>
      <c r="C26" s="14"/>
      <c r="D26" s="14"/>
      <c r="E26" s="14"/>
      <c r="F26" s="14"/>
      <c r="G26" s="14"/>
    </row>
    <row r="27" ht="12.75" customHeight="1">
      <c r="A27" s="29" t="s">
        <v>26</v>
      </c>
      <c r="B27" s="21">
        <f>sumif(Empl.!$E$4:$E$461, "Cloud Operations", Empl.!$G$4:$G$461)</f>
        <v>1638920.8</v>
      </c>
      <c r="C27" s="14"/>
      <c r="D27" s="14"/>
      <c r="E27" s="14"/>
      <c r="F27" s="14"/>
      <c r="G27" s="14"/>
    </row>
    <row r="28" ht="12.75" customHeight="1">
      <c r="A28" s="18" t="str">
        <f t="shared" ref="A28:A31" si="2">A19</f>
        <v>Cost of PSO</v>
      </c>
      <c r="B28" s="19">
        <f>sumif(Empl.!$D$4:$D$461, $A28, Empl.!$G$4:$G$461)</f>
        <v>4196992.8</v>
      </c>
      <c r="C28" s="14"/>
      <c r="D28" s="14"/>
      <c r="E28" s="14"/>
      <c r="F28" s="14"/>
      <c r="G28" s="14"/>
    </row>
    <row r="29" ht="12.75" customHeight="1">
      <c r="A29" s="18" t="str">
        <f t="shared" si="2"/>
        <v>G&amp;A</v>
      </c>
      <c r="B29" s="19">
        <f>sumif(Empl.!$D$4:$D$461, $A29, Empl.!$G$4:$G$461)</f>
        <v>6514516.8</v>
      </c>
      <c r="C29" s="14"/>
      <c r="D29" s="14"/>
      <c r="E29" s="14"/>
      <c r="F29" s="14"/>
      <c r="G29" s="14"/>
    </row>
    <row r="30" ht="12.75" customHeight="1">
      <c r="A30" s="18" t="str">
        <f t="shared" si="2"/>
        <v>R&amp;D</v>
      </c>
      <c r="B30" s="19">
        <f>sumif(Empl.!$D$4:$D$461, $A30, Empl.!$G$4:$G$461)</f>
        <v>9023520</v>
      </c>
      <c r="C30" s="14"/>
      <c r="D30" s="14"/>
      <c r="E30" s="14"/>
      <c r="F30" s="14"/>
      <c r="G30" s="14"/>
    </row>
    <row r="31" ht="12.75" customHeight="1">
      <c r="A31" s="18" t="str">
        <f t="shared" si="2"/>
        <v>S&amp;M</v>
      </c>
      <c r="B31" s="30">
        <f>sumif(Empl.!$D$4:$D$461, $A31, Empl.!$G$4:$G$461)</f>
        <v>4255939.6</v>
      </c>
      <c r="C31" s="14"/>
      <c r="D31" s="14"/>
      <c r="E31" s="14"/>
      <c r="F31" s="14"/>
      <c r="G31" s="14"/>
    </row>
    <row r="32" ht="12.75" customHeight="1">
      <c r="A32" s="31" t="s">
        <v>33</v>
      </c>
      <c r="B32" s="32">
        <f>B26+sum(B28:B31)</f>
        <v>30544905.6</v>
      </c>
      <c r="C32" s="15"/>
      <c r="D32" s="14"/>
      <c r="E32" s="14"/>
      <c r="F32" s="14"/>
      <c r="G32" s="14"/>
    </row>
    <row r="33" ht="12.75" customHeight="1">
      <c r="A33" s="36"/>
      <c r="B33" s="37"/>
      <c r="C33" s="15"/>
      <c r="D33" s="14"/>
      <c r="E33" s="14"/>
      <c r="F33" s="14"/>
      <c r="G33" s="14"/>
    </row>
    <row r="34" ht="12.75" customHeight="1">
      <c r="A34" s="27" t="s">
        <v>34</v>
      </c>
      <c r="B34" s="35"/>
      <c r="C34" s="15"/>
      <c r="D34" s="14"/>
      <c r="E34" s="14"/>
      <c r="F34" s="14"/>
      <c r="G34" s="14"/>
    </row>
    <row r="35" ht="12.75" customHeight="1">
      <c r="A35" s="18" t="str">
        <f>A26</f>
        <v>Cost of Product</v>
      </c>
      <c r="B35" s="19">
        <f>sumif('COGS - NEmpl.'!$B$3:$B$851, $A35, 'COGS - NEmpl.'!$F$3:$F$851)</f>
        <v>11585950.1</v>
      </c>
      <c r="C35" s="14"/>
      <c r="D35" s="14"/>
      <c r="E35" s="14"/>
      <c r="F35" s="14"/>
      <c r="G35" s="14"/>
    </row>
    <row r="36" ht="12.75" customHeight="1">
      <c r="A36" s="29" t="s">
        <v>26</v>
      </c>
      <c r="B36" s="21">
        <f>sumif('COGS - NEmpl.'!$C$3:$C$851, "Cloud Operations", 'COGS - NEmpl.'!$F$3:$F$851)</f>
        <v>8348011.4</v>
      </c>
      <c r="C36" s="14"/>
      <c r="D36" s="14"/>
      <c r="E36" s="14"/>
      <c r="F36" s="14"/>
      <c r="G36" s="14"/>
    </row>
    <row r="37" ht="12.75" customHeight="1">
      <c r="A37" s="18" t="str">
        <f t="shared" ref="A37:A40" si="3">A28</f>
        <v>Cost of PSO</v>
      </c>
      <c r="B37" s="19">
        <f>sumif('COGS - NEmpl.'!$B$3:$B$851, $A37, 'COGS - NEmpl.'!$F$3:$F$851)</f>
        <v>2875607.8</v>
      </c>
      <c r="C37" s="14"/>
      <c r="D37" s="14"/>
      <c r="E37" s="14"/>
      <c r="F37" s="14"/>
      <c r="G37" s="14"/>
    </row>
    <row r="38" ht="12.75" customHeight="1">
      <c r="A38" s="18" t="str">
        <f t="shared" si="3"/>
        <v>G&amp;A</v>
      </c>
      <c r="B38" s="19">
        <f>sumif('OPEX - NEmpl.'!$B$3:$B$1892, $A38, 'OPEX - NEmpl.'!$F$3:$F$1892)</f>
        <v>9258384.3</v>
      </c>
      <c r="C38" s="14"/>
      <c r="D38" s="14"/>
      <c r="E38" s="14"/>
      <c r="F38" s="14"/>
      <c r="G38" s="14"/>
    </row>
    <row r="39" ht="12.75" customHeight="1">
      <c r="A39" s="18" t="str">
        <f t="shared" si="3"/>
        <v>R&amp;D</v>
      </c>
      <c r="B39" s="19">
        <f>sumif('OPEX - NEmpl.'!$B$3:$B$1892, $A39, 'OPEX - NEmpl.'!$F$3:$F$1892)</f>
        <v>8261937.3</v>
      </c>
      <c r="C39" s="14"/>
      <c r="D39" s="14"/>
      <c r="E39" s="14"/>
      <c r="F39" s="14"/>
      <c r="G39" s="14"/>
    </row>
    <row r="40" ht="12.75" customHeight="1">
      <c r="A40" s="18" t="str">
        <f t="shared" si="3"/>
        <v>S&amp;M</v>
      </c>
      <c r="B40" s="30">
        <f>sumif('OPEX - NEmpl.'!$B$3:$B$1892, $A40, 'OPEX - NEmpl.'!$F$3:$F$1892)</f>
        <v>9650307.9</v>
      </c>
      <c r="C40" s="14"/>
      <c r="D40" s="14"/>
      <c r="E40" s="14"/>
      <c r="F40" s="14"/>
      <c r="G40" s="14"/>
    </row>
    <row r="41" ht="12.75" customHeight="1">
      <c r="A41" s="31" t="s">
        <v>33</v>
      </c>
      <c r="B41" s="32">
        <f>B35+sum(B37:B40)</f>
        <v>41632187.4</v>
      </c>
      <c r="C41" s="14"/>
      <c r="D41" s="14"/>
      <c r="E41" s="14"/>
      <c r="F41" s="14"/>
      <c r="G41" s="14"/>
    </row>
    <row r="42" ht="12.75" customHeight="1">
      <c r="A42" s="14"/>
      <c r="B42" s="14"/>
      <c r="C42" s="14"/>
      <c r="D42" s="14"/>
      <c r="E42" s="14"/>
      <c r="F42" s="14"/>
      <c r="G42" s="14"/>
    </row>
    <row r="43" ht="12.75" customHeight="1">
      <c r="A43" s="14"/>
      <c r="B43" s="14"/>
      <c r="C43" s="14"/>
      <c r="D43" s="14"/>
      <c r="E43" s="14"/>
      <c r="F43" s="14"/>
      <c r="G43" s="14"/>
    </row>
    <row r="44" ht="12.75" customHeight="1">
      <c r="A44" s="14"/>
      <c r="B44" s="14"/>
      <c r="C44" s="14"/>
      <c r="D44" s="14"/>
      <c r="E44" s="14"/>
      <c r="F44" s="14"/>
      <c r="G44" s="14"/>
    </row>
    <row r="45" ht="12.75" hidden="1" customHeight="1">
      <c r="A45" s="38" t="s">
        <v>35</v>
      </c>
      <c r="B45" s="39">
        <f>B23-B12</f>
        <v>-0.00000005960464478</v>
      </c>
      <c r="C45" s="14"/>
      <c r="D45" s="14"/>
      <c r="E45" s="14"/>
      <c r="F45" s="14"/>
      <c r="G45" s="14"/>
    </row>
    <row r="46" ht="12.75" hidden="1" customHeight="1">
      <c r="A46" s="40" t="s">
        <v>36</v>
      </c>
      <c r="B46" s="39">
        <f>B32-B8</f>
        <v>0.000000007450580597</v>
      </c>
      <c r="C46" s="14"/>
      <c r="D46" s="14"/>
      <c r="E46" s="14"/>
      <c r="F46" s="14"/>
      <c r="G46" s="14"/>
    </row>
    <row r="47" ht="12.75" hidden="1" customHeight="1">
      <c r="A47" s="40" t="s">
        <v>37</v>
      </c>
      <c r="B47" s="39">
        <f>B41-B11</f>
        <v>-0.00000006705522537</v>
      </c>
      <c r="C47" s="14"/>
      <c r="D47" s="14"/>
      <c r="E47" s="14"/>
      <c r="F47" s="14"/>
      <c r="G47" s="14"/>
    </row>
    <row r="48" ht="12.75" customHeight="1">
      <c r="A48" s="14"/>
      <c r="B48" s="14"/>
      <c r="C48" s="14"/>
      <c r="D48" s="14"/>
      <c r="E48" s="14"/>
      <c r="F48" s="14"/>
      <c r="G48" s="14"/>
    </row>
    <row r="49" ht="12.75" customHeight="1">
      <c r="A49" s="14"/>
      <c r="B49" s="14"/>
      <c r="C49" s="14"/>
      <c r="D49" s="14"/>
      <c r="E49" s="14"/>
      <c r="F49" s="14"/>
      <c r="G49" s="14"/>
    </row>
    <row r="50" ht="12.75" customHeight="1">
      <c r="A50" s="14"/>
      <c r="B50" s="14"/>
      <c r="C50" s="14"/>
      <c r="D50" s="14"/>
      <c r="E50" s="14"/>
      <c r="F50" s="14"/>
      <c r="G50" s="14"/>
    </row>
    <row r="51" ht="12.75" customHeight="1">
      <c r="A51" s="14"/>
      <c r="B51" s="14"/>
      <c r="C51" s="14"/>
      <c r="D51" s="14"/>
      <c r="E51" s="14"/>
      <c r="F51" s="14"/>
      <c r="G51" s="14"/>
    </row>
    <row r="52" ht="12.75" customHeight="1">
      <c r="A52" s="14"/>
      <c r="B52" s="14"/>
      <c r="C52" s="14"/>
      <c r="D52" s="14"/>
      <c r="E52" s="14"/>
      <c r="F52" s="14"/>
      <c r="G52" s="14"/>
    </row>
    <row r="53" ht="12.75" customHeight="1">
      <c r="A53" s="14"/>
      <c r="B53" s="14"/>
      <c r="C53" s="14"/>
      <c r="D53" s="14"/>
      <c r="E53" s="14"/>
      <c r="F53" s="14"/>
      <c r="G53" s="14"/>
    </row>
    <row r="54" ht="12.75" customHeight="1">
      <c r="A54" s="14"/>
      <c r="B54" s="14"/>
      <c r="C54" s="14"/>
      <c r="D54" s="14"/>
      <c r="E54" s="14"/>
      <c r="F54" s="14"/>
      <c r="G54" s="14"/>
    </row>
    <row r="55" ht="12.75" customHeight="1">
      <c r="A55" s="14"/>
      <c r="B55" s="14"/>
      <c r="C55" s="14"/>
      <c r="D55" s="14"/>
      <c r="E55" s="14"/>
      <c r="F55" s="14"/>
      <c r="G55" s="14"/>
    </row>
    <row r="56" ht="12.75" customHeight="1">
      <c r="A56" s="14"/>
      <c r="B56" s="14"/>
      <c r="C56" s="14"/>
      <c r="D56" s="14"/>
      <c r="E56" s="14"/>
      <c r="F56" s="14"/>
      <c r="G56" s="14"/>
    </row>
    <row r="57" ht="12.75" customHeight="1">
      <c r="A57" s="14"/>
      <c r="B57" s="14"/>
      <c r="C57" s="14"/>
      <c r="D57" s="14"/>
      <c r="E57" s="14"/>
      <c r="F57" s="14"/>
      <c r="G57" s="14"/>
    </row>
    <row r="58" ht="12.75" customHeight="1">
      <c r="A58" s="14"/>
      <c r="B58" s="14"/>
      <c r="C58" s="14"/>
      <c r="D58" s="14"/>
      <c r="E58" s="14"/>
      <c r="F58" s="14"/>
      <c r="G58" s="14"/>
    </row>
    <row r="59" ht="12.75" customHeight="1">
      <c r="A59" s="14"/>
      <c r="B59" s="14"/>
      <c r="C59" s="14"/>
      <c r="D59" s="14"/>
      <c r="E59" s="14"/>
      <c r="F59" s="14"/>
      <c r="G59" s="14"/>
    </row>
    <row r="60" ht="12.75" customHeight="1">
      <c r="A60" s="14"/>
      <c r="B60" s="14"/>
      <c r="C60" s="14"/>
      <c r="D60" s="14"/>
      <c r="E60" s="14"/>
      <c r="F60" s="14"/>
      <c r="G60" s="14"/>
    </row>
    <row r="61" ht="12.75" customHeight="1">
      <c r="A61" s="14"/>
      <c r="B61" s="14"/>
      <c r="C61" s="14"/>
      <c r="D61" s="14"/>
      <c r="E61" s="14"/>
      <c r="F61" s="14"/>
      <c r="G61" s="14"/>
    </row>
    <row r="62" ht="12.75" customHeight="1">
      <c r="A62" s="14"/>
      <c r="B62" s="14"/>
      <c r="C62" s="14"/>
      <c r="D62" s="14"/>
      <c r="E62" s="14"/>
      <c r="F62" s="14"/>
      <c r="G62" s="14"/>
    </row>
    <row r="63" ht="12.75" customHeight="1">
      <c r="A63" s="14"/>
      <c r="B63" s="14"/>
      <c r="C63" s="14"/>
      <c r="D63" s="14"/>
      <c r="E63" s="14"/>
      <c r="F63" s="14"/>
      <c r="G63" s="14"/>
    </row>
    <row r="64" ht="12.75" customHeight="1">
      <c r="A64" s="14"/>
      <c r="B64" s="14"/>
      <c r="C64" s="14"/>
      <c r="D64" s="14"/>
      <c r="E64" s="14"/>
      <c r="F64" s="14"/>
      <c r="G64" s="14"/>
    </row>
    <row r="65" ht="12.75" customHeight="1">
      <c r="A65" s="14"/>
      <c r="B65" s="14"/>
      <c r="C65" s="14"/>
      <c r="D65" s="14"/>
      <c r="E65" s="14"/>
      <c r="F65" s="14"/>
      <c r="G65" s="14"/>
    </row>
    <row r="66" ht="12.75" customHeight="1">
      <c r="A66" s="14"/>
      <c r="B66" s="14"/>
      <c r="C66" s="14"/>
      <c r="D66" s="14"/>
      <c r="E66" s="14"/>
      <c r="F66" s="14"/>
      <c r="G66" s="14"/>
    </row>
    <row r="67" ht="12.75" customHeight="1">
      <c r="A67" s="14"/>
      <c r="B67" s="14"/>
      <c r="C67" s="14"/>
      <c r="D67" s="14"/>
      <c r="E67" s="14"/>
      <c r="F67" s="14"/>
      <c r="G67" s="14"/>
    </row>
    <row r="68" ht="12.75" customHeight="1">
      <c r="A68" s="14"/>
      <c r="B68" s="14"/>
      <c r="C68" s="14"/>
      <c r="D68" s="14"/>
      <c r="E68" s="14"/>
      <c r="F68" s="14"/>
      <c r="G68" s="14"/>
    </row>
    <row r="69" ht="12.75" customHeight="1">
      <c r="A69" s="14"/>
      <c r="B69" s="14"/>
      <c r="C69" s="14"/>
      <c r="D69" s="14"/>
      <c r="E69" s="14"/>
      <c r="F69" s="14"/>
      <c r="G69" s="14"/>
    </row>
    <row r="70" ht="12.75" customHeight="1">
      <c r="A70" s="14"/>
      <c r="B70" s="14"/>
      <c r="C70" s="14"/>
      <c r="D70" s="14"/>
      <c r="E70" s="14"/>
      <c r="F70" s="14"/>
      <c r="G70" s="14"/>
    </row>
    <row r="71" ht="12.75" customHeight="1">
      <c r="A71" s="14"/>
      <c r="B71" s="14"/>
      <c r="C71" s="14"/>
      <c r="D71" s="14"/>
      <c r="E71" s="14"/>
      <c r="F71" s="14"/>
      <c r="G71" s="14"/>
    </row>
    <row r="72" ht="12.75" customHeight="1">
      <c r="A72" s="14"/>
      <c r="B72" s="14"/>
      <c r="C72" s="14"/>
      <c r="D72" s="14"/>
      <c r="E72" s="14"/>
      <c r="F72" s="14"/>
      <c r="G72" s="14"/>
    </row>
    <row r="73" ht="12.75" customHeight="1">
      <c r="A73" s="14"/>
      <c r="B73" s="14"/>
      <c r="C73" s="14"/>
      <c r="D73" s="14"/>
      <c r="E73" s="14"/>
      <c r="F73" s="14"/>
      <c r="G73" s="14"/>
    </row>
    <row r="74" ht="12.75" customHeight="1">
      <c r="A74" s="14"/>
      <c r="B74" s="14"/>
      <c r="C74" s="14"/>
      <c r="D74" s="14"/>
      <c r="E74" s="14"/>
      <c r="F74" s="14"/>
      <c r="G74" s="14"/>
    </row>
    <row r="75" ht="12.75" customHeight="1">
      <c r="A75" s="14"/>
      <c r="B75" s="14"/>
      <c r="C75" s="14"/>
      <c r="D75" s="14"/>
      <c r="E75" s="14"/>
      <c r="F75" s="14"/>
      <c r="G75" s="14"/>
    </row>
    <row r="76" ht="12.75" customHeight="1">
      <c r="A76" s="14"/>
      <c r="B76" s="14"/>
      <c r="C76" s="14"/>
      <c r="D76" s="14"/>
      <c r="E76" s="14"/>
      <c r="F76" s="14"/>
      <c r="G76" s="14"/>
    </row>
    <row r="77" ht="12.75" customHeight="1">
      <c r="A77" s="14"/>
      <c r="B77" s="14"/>
      <c r="C77" s="14"/>
      <c r="D77" s="14"/>
      <c r="E77" s="14"/>
      <c r="F77" s="14"/>
      <c r="G77" s="14"/>
    </row>
    <row r="78" ht="12.75" customHeight="1">
      <c r="A78" s="14"/>
      <c r="B78" s="14"/>
      <c r="C78" s="14"/>
      <c r="D78" s="14"/>
      <c r="E78" s="14"/>
      <c r="F78" s="14"/>
      <c r="G78" s="14"/>
    </row>
    <row r="79" ht="12.75" customHeight="1">
      <c r="A79" s="14"/>
      <c r="B79" s="14"/>
      <c r="C79" s="14"/>
      <c r="D79" s="14"/>
      <c r="E79" s="14"/>
      <c r="F79" s="14"/>
      <c r="G79" s="14"/>
    </row>
    <row r="80" ht="12.75" customHeight="1">
      <c r="A80" s="14"/>
      <c r="B80" s="14"/>
      <c r="C80" s="14"/>
      <c r="D80" s="14"/>
      <c r="E80" s="14"/>
      <c r="F80" s="14"/>
      <c r="G80" s="14"/>
    </row>
    <row r="81" ht="12.75" customHeight="1">
      <c r="A81" s="14"/>
      <c r="B81" s="14"/>
      <c r="C81" s="14"/>
      <c r="D81" s="14"/>
      <c r="E81" s="14"/>
      <c r="F81" s="14"/>
      <c r="G81" s="14"/>
    </row>
    <row r="82" ht="12.75" customHeight="1">
      <c r="A82" s="14"/>
      <c r="B82" s="14"/>
      <c r="C82" s="14"/>
      <c r="D82" s="14"/>
      <c r="E82" s="14"/>
      <c r="F82" s="14"/>
      <c r="G82" s="14"/>
    </row>
    <row r="83" ht="12.75" customHeight="1">
      <c r="A83" s="14"/>
      <c r="B83" s="14"/>
      <c r="C83" s="14"/>
      <c r="D83" s="14"/>
      <c r="E83" s="14"/>
      <c r="F83" s="14"/>
      <c r="G83" s="14"/>
    </row>
    <row r="84" ht="12.75" customHeight="1">
      <c r="A84" s="14"/>
      <c r="B84" s="14"/>
      <c r="C84" s="14"/>
      <c r="D84" s="14"/>
      <c r="E84" s="14"/>
      <c r="F84" s="14"/>
      <c r="G84" s="14"/>
    </row>
    <row r="85" ht="12.75" customHeight="1">
      <c r="A85" s="14"/>
      <c r="B85" s="14"/>
      <c r="C85" s="14"/>
      <c r="D85" s="14"/>
      <c r="E85" s="14"/>
      <c r="F85" s="14"/>
      <c r="G85" s="14"/>
    </row>
    <row r="86" ht="12.75" customHeight="1">
      <c r="A86" s="14"/>
      <c r="B86" s="14"/>
      <c r="C86" s="14"/>
      <c r="D86" s="14"/>
      <c r="E86" s="14"/>
      <c r="F86" s="14"/>
      <c r="G86" s="14"/>
    </row>
    <row r="87" ht="12.75" customHeight="1">
      <c r="A87" s="14"/>
      <c r="B87" s="14"/>
      <c r="C87" s="14"/>
      <c r="D87" s="14"/>
      <c r="E87" s="14"/>
      <c r="F87" s="14"/>
      <c r="G87" s="14"/>
    </row>
    <row r="88" ht="12.75" customHeight="1">
      <c r="A88" s="14"/>
      <c r="B88" s="14"/>
      <c r="C88" s="14"/>
      <c r="D88" s="14"/>
      <c r="E88" s="14"/>
      <c r="F88" s="14"/>
      <c r="G88" s="14"/>
    </row>
    <row r="89" ht="12.75" customHeight="1">
      <c r="A89" s="14"/>
      <c r="B89" s="14"/>
      <c r="C89" s="14"/>
      <c r="D89" s="14"/>
      <c r="E89" s="14"/>
      <c r="F89" s="14"/>
      <c r="G89" s="14"/>
    </row>
    <row r="90" ht="12.75" customHeight="1">
      <c r="A90" s="14"/>
      <c r="B90" s="14"/>
      <c r="C90" s="14"/>
      <c r="D90" s="14"/>
      <c r="E90" s="14"/>
      <c r="F90" s="14"/>
      <c r="G90" s="14"/>
    </row>
    <row r="91" ht="12.75" customHeight="1">
      <c r="A91" s="14"/>
      <c r="B91" s="14"/>
      <c r="C91" s="14"/>
      <c r="D91" s="14"/>
      <c r="E91" s="14"/>
      <c r="F91" s="14"/>
      <c r="G91" s="14"/>
    </row>
    <row r="92" ht="12.75" customHeight="1">
      <c r="A92" s="14"/>
      <c r="B92" s="14"/>
      <c r="C92" s="14"/>
      <c r="D92" s="14"/>
      <c r="E92" s="14"/>
      <c r="F92" s="14"/>
      <c r="G92" s="14"/>
    </row>
    <row r="93" ht="12.75" customHeight="1">
      <c r="A93" s="14"/>
      <c r="B93" s="14"/>
      <c r="C93" s="14"/>
      <c r="D93" s="14"/>
      <c r="E93" s="14"/>
      <c r="F93" s="14"/>
      <c r="G93" s="14"/>
    </row>
    <row r="94" ht="12.75" customHeight="1">
      <c r="A94" s="14"/>
      <c r="B94" s="14"/>
      <c r="C94" s="14"/>
      <c r="D94" s="14"/>
      <c r="E94" s="14"/>
      <c r="F94" s="14"/>
      <c r="G94" s="14"/>
    </row>
    <row r="95" ht="12.75" customHeight="1">
      <c r="A95" s="14"/>
      <c r="B95" s="14"/>
      <c r="C95" s="14"/>
      <c r="D95" s="14"/>
      <c r="E95" s="14"/>
      <c r="F95" s="14"/>
      <c r="G95" s="14"/>
    </row>
    <row r="96" ht="12.75" customHeight="1">
      <c r="A96" s="14"/>
      <c r="B96" s="14"/>
      <c r="C96" s="14"/>
      <c r="D96" s="14"/>
      <c r="E96" s="14"/>
      <c r="F96" s="14"/>
      <c r="G96" s="14"/>
    </row>
    <row r="97" ht="12.75" customHeight="1">
      <c r="A97" s="14"/>
      <c r="B97" s="14"/>
      <c r="C97" s="14"/>
      <c r="D97" s="14"/>
      <c r="E97" s="14"/>
      <c r="F97" s="14"/>
      <c r="G97" s="14"/>
    </row>
    <row r="98" ht="12.75" customHeight="1">
      <c r="A98" s="14"/>
      <c r="B98" s="14"/>
      <c r="C98" s="14"/>
      <c r="D98" s="14"/>
      <c r="E98" s="14"/>
      <c r="F98" s="14"/>
      <c r="G98" s="14"/>
    </row>
    <row r="99" ht="12.75" customHeight="1">
      <c r="A99" s="14"/>
      <c r="B99" s="14"/>
      <c r="C99" s="14"/>
      <c r="D99" s="14"/>
      <c r="E99" s="14"/>
      <c r="F99" s="14"/>
      <c r="G99" s="14"/>
    </row>
    <row r="100" ht="12.75" customHeight="1">
      <c r="A100" s="14"/>
      <c r="B100" s="14"/>
      <c r="C100" s="14"/>
      <c r="D100" s="14"/>
      <c r="E100" s="14"/>
      <c r="F100" s="14"/>
      <c r="G100" s="14"/>
    </row>
    <row r="101" ht="12.75" customHeight="1">
      <c r="A101" s="14"/>
      <c r="B101" s="14"/>
      <c r="C101" s="14"/>
      <c r="D101" s="14"/>
      <c r="E101" s="14"/>
      <c r="F101" s="14"/>
      <c r="G101" s="14"/>
    </row>
    <row r="102" ht="12.75" customHeight="1">
      <c r="A102" s="14"/>
      <c r="B102" s="14"/>
      <c r="C102" s="14"/>
      <c r="D102" s="14"/>
      <c r="E102" s="14"/>
      <c r="F102" s="14"/>
      <c r="G102" s="14"/>
    </row>
    <row r="103" ht="12.75" customHeight="1">
      <c r="A103" s="14"/>
      <c r="B103" s="14"/>
      <c r="C103" s="14"/>
      <c r="D103" s="14"/>
      <c r="E103" s="14"/>
      <c r="F103" s="14"/>
      <c r="G103" s="14"/>
    </row>
    <row r="104" ht="12.75" customHeight="1">
      <c r="A104" s="14"/>
      <c r="B104" s="14"/>
      <c r="C104" s="14"/>
      <c r="D104" s="14"/>
      <c r="E104" s="14"/>
      <c r="F104" s="14"/>
      <c r="G104" s="14"/>
    </row>
    <row r="105" ht="12.75" customHeight="1">
      <c r="A105" s="14"/>
      <c r="B105" s="14"/>
      <c r="C105" s="14"/>
      <c r="D105" s="14"/>
      <c r="E105" s="14"/>
      <c r="F105" s="14"/>
      <c r="G105" s="14"/>
    </row>
    <row r="106" ht="12.75" customHeight="1">
      <c r="A106" s="14"/>
      <c r="B106" s="14"/>
      <c r="C106" s="14"/>
      <c r="D106" s="14"/>
      <c r="E106" s="14"/>
      <c r="F106" s="14"/>
      <c r="G106" s="14"/>
    </row>
    <row r="107" ht="12.75" customHeight="1">
      <c r="A107" s="14"/>
      <c r="B107" s="14"/>
      <c r="C107" s="14"/>
      <c r="D107" s="14"/>
      <c r="E107" s="14"/>
      <c r="F107" s="14"/>
      <c r="G107" s="14"/>
    </row>
    <row r="108" ht="12.75" customHeight="1">
      <c r="A108" s="14"/>
      <c r="B108" s="14"/>
      <c r="C108" s="14"/>
      <c r="D108" s="14"/>
      <c r="E108" s="14"/>
      <c r="F108" s="14"/>
      <c r="G108" s="14"/>
    </row>
    <row r="109" ht="12.75" customHeight="1">
      <c r="A109" s="14"/>
      <c r="B109" s="14"/>
      <c r="C109" s="14"/>
      <c r="D109" s="14"/>
      <c r="E109" s="14"/>
      <c r="F109" s="14"/>
      <c r="G109" s="14"/>
    </row>
    <row r="110" ht="12.75" customHeight="1">
      <c r="A110" s="14"/>
      <c r="B110" s="14"/>
      <c r="C110" s="14"/>
      <c r="D110" s="14"/>
      <c r="E110" s="14"/>
      <c r="F110" s="14"/>
      <c r="G110" s="14"/>
    </row>
    <row r="111" ht="12.75" customHeight="1">
      <c r="A111" s="14"/>
      <c r="B111" s="14"/>
      <c r="C111" s="14"/>
      <c r="D111" s="14"/>
      <c r="E111" s="14"/>
      <c r="F111" s="14"/>
      <c r="G111" s="14"/>
    </row>
    <row r="112" ht="12.75" customHeight="1">
      <c r="A112" s="14"/>
      <c r="B112" s="14"/>
      <c r="C112" s="14"/>
      <c r="D112" s="14"/>
      <c r="E112" s="14"/>
      <c r="F112" s="14"/>
      <c r="G112" s="14"/>
    </row>
    <row r="113" ht="12.75" customHeight="1">
      <c r="A113" s="14"/>
      <c r="B113" s="14"/>
      <c r="C113" s="14"/>
      <c r="D113" s="14"/>
      <c r="E113" s="14"/>
      <c r="F113" s="14"/>
      <c r="G113" s="14"/>
    </row>
    <row r="114" ht="12.75" customHeight="1">
      <c r="A114" s="14"/>
      <c r="B114" s="14"/>
      <c r="C114" s="14"/>
      <c r="D114" s="14"/>
      <c r="E114" s="14"/>
      <c r="F114" s="14"/>
      <c r="G114" s="14"/>
    </row>
    <row r="115" ht="12.75" customHeight="1">
      <c r="A115" s="14"/>
      <c r="B115" s="14"/>
      <c r="C115" s="14"/>
      <c r="D115" s="14"/>
      <c r="E115" s="14"/>
      <c r="F115" s="14"/>
      <c r="G115" s="14"/>
    </row>
    <row r="116" ht="12.75" customHeight="1">
      <c r="A116" s="14"/>
      <c r="B116" s="14"/>
      <c r="C116" s="14"/>
      <c r="D116" s="14"/>
      <c r="E116" s="14"/>
      <c r="F116" s="14"/>
      <c r="G116" s="14"/>
    </row>
    <row r="117" ht="12.75" customHeight="1">
      <c r="A117" s="14"/>
      <c r="B117" s="14"/>
      <c r="C117" s="14"/>
      <c r="D117" s="14"/>
      <c r="E117" s="14"/>
      <c r="F117" s="14"/>
      <c r="G117" s="14"/>
    </row>
    <row r="118" ht="12.75" customHeight="1">
      <c r="A118" s="14"/>
      <c r="B118" s="14"/>
      <c r="C118" s="14"/>
      <c r="D118" s="14"/>
      <c r="E118" s="14"/>
      <c r="F118" s="14"/>
      <c r="G118" s="14"/>
    </row>
    <row r="119" ht="12.75" customHeight="1">
      <c r="A119" s="14"/>
      <c r="B119" s="14"/>
      <c r="C119" s="14"/>
      <c r="D119" s="14"/>
      <c r="E119" s="14"/>
      <c r="F119" s="14"/>
      <c r="G119" s="14"/>
    </row>
    <row r="120" ht="12.75" customHeight="1">
      <c r="A120" s="14"/>
      <c r="B120" s="14"/>
      <c r="C120" s="14"/>
      <c r="D120" s="14"/>
      <c r="E120" s="14"/>
      <c r="F120" s="14"/>
      <c r="G120" s="14"/>
    </row>
    <row r="121" ht="12.75" customHeight="1">
      <c r="A121" s="14"/>
      <c r="B121" s="14"/>
      <c r="C121" s="14"/>
      <c r="D121" s="14"/>
      <c r="E121" s="14"/>
      <c r="F121" s="14"/>
      <c r="G121" s="14"/>
    </row>
    <row r="122" ht="12.75" customHeight="1">
      <c r="A122" s="14"/>
      <c r="B122" s="14"/>
      <c r="C122" s="14"/>
      <c r="D122" s="14"/>
      <c r="E122" s="14"/>
      <c r="F122" s="14"/>
      <c r="G122" s="14"/>
    </row>
    <row r="123" ht="12.75" customHeight="1">
      <c r="A123" s="14"/>
      <c r="B123" s="14"/>
      <c r="C123" s="14"/>
      <c r="D123" s="14"/>
      <c r="E123" s="14"/>
      <c r="F123" s="14"/>
      <c r="G123" s="14"/>
    </row>
    <row r="124" ht="12.75" customHeight="1">
      <c r="A124" s="14"/>
      <c r="B124" s="14"/>
      <c r="C124" s="14"/>
      <c r="D124" s="14"/>
      <c r="E124" s="14"/>
      <c r="F124" s="14"/>
      <c r="G124" s="14"/>
    </row>
    <row r="125" ht="12.75" customHeight="1">
      <c r="A125" s="14"/>
      <c r="B125" s="14"/>
      <c r="C125" s="14"/>
      <c r="D125" s="14"/>
      <c r="E125" s="14"/>
      <c r="F125" s="14"/>
      <c r="G125" s="14"/>
    </row>
    <row r="126" ht="12.75" customHeight="1">
      <c r="A126" s="14"/>
      <c r="B126" s="14"/>
      <c r="C126" s="14"/>
      <c r="D126" s="14"/>
      <c r="E126" s="14"/>
      <c r="F126" s="14"/>
      <c r="G126" s="14"/>
    </row>
    <row r="127" ht="12.75" customHeight="1">
      <c r="A127" s="14"/>
      <c r="B127" s="14"/>
      <c r="C127" s="14"/>
      <c r="D127" s="14"/>
      <c r="E127" s="14"/>
      <c r="F127" s="14"/>
      <c r="G127" s="14"/>
    </row>
    <row r="128" ht="12.75" customHeight="1">
      <c r="A128" s="14"/>
      <c r="B128" s="14"/>
      <c r="C128" s="14"/>
      <c r="D128" s="14"/>
      <c r="E128" s="14"/>
      <c r="F128" s="14"/>
      <c r="G128" s="14"/>
    </row>
    <row r="129" ht="12.75" customHeight="1">
      <c r="A129" s="14"/>
      <c r="B129" s="14"/>
      <c r="C129" s="14"/>
      <c r="D129" s="14"/>
      <c r="E129" s="14"/>
      <c r="F129" s="14"/>
      <c r="G129" s="14"/>
    </row>
    <row r="130" ht="12.75" customHeight="1">
      <c r="A130" s="14"/>
      <c r="B130" s="14"/>
      <c r="C130" s="14"/>
      <c r="D130" s="14"/>
      <c r="E130" s="14"/>
      <c r="F130" s="14"/>
      <c r="G130" s="14"/>
    </row>
    <row r="131" ht="12.75" customHeight="1">
      <c r="A131" s="14"/>
      <c r="B131" s="14"/>
      <c r="C131" s="14"/>
      <c r="D131" s="14"/>
      <c r="E131" s="14"/>
      <c r="F131" s="14"/>
      <c r="G131" s="14"/>
    </row>
    <row r="132" ht="12.75" customHeight="1">
      <c r="A132" s="14"/>
      <c r="B132" s="14"/>
      <c r="C132" s="14"/>
      <c r="D132" s="14"/>
      <c r="E132" s="14"/>
      <c r="F132" s="14"/>
      <c r="G132" s="14"/>
    </row>
    <row r="133" ht="12.75" customHeight="1">
      <c r="A133" s="14"/>
      <c r="B133" s="14"/>
      <c r="C133" s="14"/>
      <c r="D133" s="14"/>
      <c r="E133" s="14"/>
      <c r="F133" s="14"/>
      <c r="G133" s="14"/>
    </row>
    <row r="134" ht="12.75" customHeight="1">
      <c r="A134" s="14"/>
      <c r="B134" s="14"/>
      <c r="C134" s="14"/>
      <c r="D134" s="14"/>
      <c r="E134" s="14"/>
      <c r="F134" s="14"/>
      <c r="G134" s="14"/>
    </row>
    <row r="135" ht="12.75" customHeight="1">
      <c r="A135" s="14"/>
      <c r="B135" s="14"/>
      <c r="C135" s="14"/>
      <c r="D135" s="14"/>
      <c r="E135" s="14"/>
      <c r="F135" s="14"/>
      <c r="G135" s="14"/>
    </row>
    <row r="136" ht="12.75" customHeight="1">
      <c r="A136" s="14"/>
      <c r="B136" s="14"/>
      <c r="C136" s="14"/>
      <c r="D136" s="14"/>
      <c r="E136" s="14"/>
      <c r="F136" s="14"/>
      <c r="G136" s="14"/>
    </row>
    <row r="137" ht="12.75" customHeight="1">
      <c r="A137" s="14"/>
      <c r="B137" s="14"/>
      <c r="C137" s="14"/>
      <c r="D137" s="14"/>
      <c r="E137" s="14"/>
      <c r="F137" s="14"/>
      <c r="G137" s="14"/>
    </row>
    <row r="138" ht="12.75" customHeight="1">
      <c r="A138" s="14"/>
      <c r="B138" s="14"/>
      <c r="C138" s="14"/>
      <c r="D138" s="14"/>
      <c r="E138" s="14"/>
      <c r="F138" s="14"/>
      <c r="G138" s="14"/>
    </row>
    <row r="139" ht="12.75" customHeight="1">
      <c r="A139" s="14"/>
      <c r="B139" s="14"/>
      <c r="C139" s="14"/>
      <c r="D139" s="14"/>
      <c r="E139" s="14"/>
      <c r="F139" s="14"/>
      <c r="G139" s="14"/>
    </row>
    <row r="140" ht="12.75" customHeight="1">
      <c r="A140" s="14"/>
      <c r="B140" s="14"/>
      <c r="C140" s="14"/>
      <c r="D140" s="14"/>
      <c r="E140" s="14"/>
      <c r="F140" s="14"/>
      <c r="G140" s="14"/>
    </row>
    <row r="141" ht="12.75" customHeight="1">
      <c r="A141" s="14"/>
      <c r="B141" s="14"/>
      <c r="C141" s="14"/>
      <c r="D141" s="14"/>
      <c r="E141" s="14"/>
      <c r="F141" s="14"/>
      <c r="G141" s="14"/>
    </row>
    <row r="142" ht="12.75" customHeight="1">
      <c r="A142" s="14"/>
      <c r="B142" s="14"/>
      <c r="C142" s="14"/>
      <c r="D142" s="14"/>
      <c r="E142" s="14"/>
      <c r="F142" s="14"/>
      <c r="G142" s="14"/>
    </row>
    <row r="143" ht="12.75" customHeight="1">
      <c r="A143" s="14"/>
      <c r="B143" s="14"/>
      <c r="C143" s="14"/>
      <c r="D143" s="14"/>
      <c r="E143" s="14"/>
      <c r="F143" s="14"/>
      <c r="G143" s="14"/>
    </row>
    <row r="144" ht="12.75" customHeight="1">
      <c r="A144" s="14"/>
      <c r="B144" s="14"/>
      <c r="C144" s="14"/>
      <c r="D144" s="14"/>
      <c r="E144" s="14"/>
      <c r="F144" s="14"/>
      <c r="G144" s="14"/>
    </row>
    <row r="145" ht="12.75" customHeight="1">
      <c r="A145" s="14"/>
      <c r="B145" s="14"/>
      <c r="C145" s="14"/>
      <c r="D145" s="14"/>
      <c r="E145" s="14"/>
      <c r="F145" s="14"/>
      <c r="G145" s="14"/>
    </row>
    <row r="146" ht="12.75" customHeight="1">
      <c r="A146" s="14"/>
      <c r="B146" s="14"/>
      <c r="C146" s="14"/>
      <c r="D146" s="14"/>
      <c r="E146" s="14"/>
      <c r="F146" s="14"/>
      <c r="G146" s="14"/>
    </row>
    <row r="147" ht="12.75" customHeight="1">
      <c r="A147" s="14"/>
      <c r="B147" s="14"/>
      <c r="C147" s="14"/>
      <c r="D147" s="14"/>
      <c r="E147" s="14"/>
      <c r="F147" s="14"/>
      <c r="G147" s="14"/>
    </row>
    <row r="148" ht="12.75" customHeight="1">
      <c r="A148" s="14"/>
      <c r="B148" s="14"/>
      <c r="C148" s="14"/>
      <c r="D148" s="14"/>
      <c r="E148" s="14"/>
      <c r="F148" s="14"/>
      <c r="G148" s="14"/>
    </row>
    <row r="149" ht="12.75" customHeight="1">
      <c r="A149" s="14"/>
      <c r="B149" s="14"/>
      <c r="C149" s="14"/>
      <c r="D149" s="14"/>
      <c r="E149" s="14"/>
      <c r="F149" s="14"/>
      <c r="G149" s="14"/>
    </row>
    <row r="150" ht="12.75" customHeight="1">
      <c r="A150" s="14"/>
      <c r="B150" s="14"/>
      <c r="C150" s="14"/>
      <c r="D150" s="14"/>
      <c r="E150" s="14"/>
      <c r="F150" s="14"/>
      <c r="G150" s="14"/>
    </row>
    <row r="151" ht="12.75" customHeight="1">
      <c r="A151" s="14"/>
      <c r="B151" s="14"/>
      <c r="C151" s="14"/>
      <c r="D151" s="14"/>
      <c r="E151" s="14"/>
      <c r="F151" s="14"/>
      <c r="G151" s="14"/>
    </row>
    <row r="152" ht="12.75" customHeight="1">
      <c r="A152" s="14"/>
      <c r="B152" s="14"/>
      <c r="C152" s="14"/>
      <c r="D152" s="14"/>
      <c r="E152" s="14"/>
      <c r="F152" s="14"/>
      <c r="G152" s="14"/>
    </row>
    <row r="153" ht="12.75" customHeight="1">
      <c r="A153" s="14"/>
      <c r="B153" s="14"/>
      <c r="C153" s="14"/>
      <c r="D153" s="14"/>
      <c r="E153" s="14"/>
      <c r="F153" s="14"/>
      <c r="G153" s="14"/>
    </row>
    <row r="154" ht="12.75" customHeight="1">
      <c r="A154" s="14"/>
      <c r="B154" s="14"/>
      <c r="C154" s="14"/>
      <c r="D154" s="14"/>
      <c r="E154" s="14"/>
      <c r="F154" s="14"/>
      <c r="G154" s="14"/>
    </row>
    <row r="155" ht="12.75" customHeight="1">
      <c r="A155" s="14"/>
      <c r="B155" s="14"/>
      <c r="C155" s="14"/>
      <c r="D155" s="14"/>
      <c r="E155" s="14"/>
      <c r="F155" s="14"/>
      <c r="G155" s="14"/>
    </row>
    <row r="156" ht="12.75" customHeight="1">
      <c r="A156" s="14"/>
      <c r="B156" s="14"/>
      <c r="C156" s="14"/>
      <c r="D156" s="14"/>
      <c r="E156" s="14"/>
      <c r="F156" s="14"/>
      <c r="G156" s="14"/>
    </row>
    <row r="157" ht="12.75" customHeight="1">
      <c r="A157" s="14"/>
      <c r="B157" s="14"/>
      <c r="C157" s="14"/>
      <c r="D157" s="14"/>
      <c r="E157" s="14"/>
      <c r="F157" s="14"/>
      <c r="G157" s="14"/>
    </row>
    <row r="158" ht="12.75" customHeight="1">
      <c r="A158" s="14"/>
      <c r="B158" s="14"/>
      <c r="C158" s="14"/>
      <c r="D158" s="14"/>
      <c r="E158" s="14"/>
      <c r="F158" s="14"/>
      <c r="G158" s="14"/>
    </row>
    <row r="159" ht="12.75" customHeight="1">
      <c r="A159" s="14"/>
      <c r="B159" s="14"/>
      <c r="C159" s="14"/>
      <c r="D159" s="14"/>
      <c r="E159" s="14"/>
      <c r="F159" s="14"/>
      <c r="G159" s="14"/>
    </row>
    <row r="160" ht="12.75" customHeight="1">
      <c r="A160" s="14"/>
      <c r="B160" s="14"/>
      <c r="C160" s="14"/>
      <c r="D160" s="14"/>
      <c r="E160" s="14"/>
      <c r="F160" s="14"/>
      <c r="G160" s="14"/>
    </row>
    <row r="161" ht="12.75" customHeight="1">
      <c r="A161" s="14"/>
      <c r="B161" s="14"/>
      <c r="C161" s="14"/>
      <c r="D161" s="14"/>
      <c r="E161" s="14"/>
      <c r="F161" s="14"/>
      <c r="G161" s="14"/>
    </row>
    <row r="162" ht="12.75" customHeight="1">
      <c r="A162" s="14"/>
      <c r="B162" s="14"/>
      <c r="C162" s="14"/>
      <c r="D162" s="14"/>
      <c r="E162" s="14"/>
      <c r="F162" s="14"/>
      <c r="G162" s="14"/>
    </row>
    <row r="163" ht="12.75" customHeight="1">
      <c r="A163" s="14"/>
      <c r="B163" s="14"/>
      <c r="C163" s="14"/>
      <c r="D163" s="14"/>
      <c r="E163" s="14"/>
      <c r="F163" s="14"/>
      <c r="G163" s="14"/>
    </row>
    <row r="164" ht="12.75" customHeight="1">
      <c r="A164" s="14"/>
      <c r="B164" s="14"/>
      <c r="C164" s="14"/>
      <c r="D164" s="14"/>
      <c r="E164" s="14"/>
      <c r="F164" s="14"/>
      <c r="G164" s="14"/>
    </row>
    <row r="165" ht="12.75" customHeight="1">
      <c r="A165" s="14"/>
      <c r="B165" s="14"/>
      <c r="C165" s="14"/>
      <c r="D165" s="14"/>
      <c r="E165" s="14"/>
      <c r="F165" s="14"/>
      <c r="G165" s="14"/>
    </row>
    <row r="166" ht="12.75" customHeight="1">
      <c r="A166" s="14"/>
      <c r="B166" s="14"/>
      <c r="C166" s="14"/>
      <c r="D166" s="14"/>
      <c r="E166" s="14"/>
      <c r="F166" s="14"/>
      <c r="G166" s="14"/>
    </row>
    <row r="167" ht="12.75" customHeight="1">
      <c r="A167" s="14"/>
      <c r="B167" s="14"/>
      <c r="C167" s="14"/>
      <c r="D167" s="14"/>
      <c r="E167" s="14"/>
      <c r="F167" s="14"/>
      <c r="G167" s="14"/>
    </row>
    <row r="168" ht="12.75" customHeight="1">
      <c r="A168" s="14"/>
      <c r="B168" s="14"/>
      <c r="C168" s="14"/>
      <c r="D168" s="14"/>
      <c r="E168" s="14"/>
      <c r="F168" s="14"/>
      <c r="G168" s="14"/>
    </row>
    <row r="169" ht="12.75" customHeight="1">
      <c r="A169" s="14"/>
      <c r="B169" s="14"/>
      <c r="C169" s="14"/>
      <c r="D169" s="14"/>
      <c r="E169" s="14"/>
      <c r="F169" s="14"/>
      <c r="G169" s="14"/>
    </row>
    <row r="170" ht="12.75" customHeight="1">
      <c r="A170" s="14"/>
      <c r="B170" s="14"/>
      <c r="C170" s="14"/>
      <c r="D170" s="14"/>
      <c r="E170" s="14"/>
      <c r="F170" s="14"/>
      <c r="G170" s="14"/>
    </row>
    <row r="171" ht="12.75" customHeight="1">
      <c r="A171" s="14"/>
      <c r="B171" s="14"/>
      <c r="C171" s="14"/>
      <c r="D171" s="14"/>
      <c r="E171" s="14"/>
      <c r="F171" s="14"/>
      <c r="G171" s="14"/>
    </row>
    <row r="172" ht="12.75" customHeight="1">
      <c r="A172" s="14"/>
      <c r="B172" s="14"/>
      <c r="C172" s="14"/>
      <c r="D172" s="14"/>
      <c r="E172" s="14"/>
      <c r="F172" s="14"/>
      <c r="G172" s="14"/>
    </row>
    <row r="173" ht="12.75" customHeight="1">
      <c r="A173" s="14"/>
      <c r="B173" s="14"/>
      <c r="C173" s="14"/>
      <c r="D173" s="14"/>
      <c r="E173" s="14"/>
      <c r="F173" s="14"/>
      <c r="G173" s="14"/>
    </row>
    <row r="174" ht="12.75" customHeight="1">
      <c r="A174" s="14"/>
      <c r="B174" s="14"/>
      <c r="C174" s="14"/>
      <c r="D174" s="14"/>
      <c r="E174" s="14"/>
      <c r="F174" s="14"/>
      <c r="G174" s="14"/>
    </row>
    <row r="175" ht="12.75" customHeight="1">
      <c r="A175" s="14"/>
      <c r="B175" s="14"/>
      <c r="C175" s="14"/>
      <c r="D175" s="14"/>
      <c r="E175" s="14"/>
      <c r="F175" s="14"/>
      <c r="G175" s="14"/>
    </row>
    <row r="176" ht="12.75" customHeight="1">
      <c r="A176" s="14"/>
      <c r="B176" s="14"/>
      <c r="C176" s="14"/>
      <c r="D176" s="14"/>
      <c r="E176" s="14"/>
      <c r="F176" s="14"/>
      <c r="G176" s="14"/>
    </row>
    <row r="177" ht="12.75" customHeight="1">
      <c r="A177" s="14"/>
      <c r="B177" s="14"/>
      <c r="C177" s="14"/>
      <c r="D177" s="14"/>
      <c r="E177" s="14"/>
      <c r="F177" s="14"/>
      <c r="G177" s="14"/>
    </row>
    <row r="178" ht="12.75" customHeight="1">
      <c r="A178" s="14"/>
      <c r="B178" s="14"/>
      <c r="C178" s="14"/>
      <c r="D178" s="14"/>
      <c r="E178" s="14"/>
      <c r="F178" s="14"/>
      <c r="G178" s="14"/>
    </row>
    <row r="179" ht="12.75" customHeight="1">
      <c r="A179" s="14"/>
      <c r="B179" s="14"/>
      <c r="C179" s="14"/>
      <c r="D179" s="14"/>
      <c r="E179" s="14"/>
      <c r="F179" s="14"/>
      <c r="G179" s="14"/>
    </row>
    <row r="180" ht="12.75" customHeight="1">
      <c r="A180" s="14"/>
      <c r="B180" s="14"/>
      <c r="C180" s="14"/>
      <c r="D180" s="14"/>
      <c r="E180" s="14"/>
      <c r="F180" s="14"/>
      <c r="G180" s="14"/>
    </row>
    <row r="181" ht="12.75" customHeight="1">
      <c r="A181" s="14"/>
      <c r="B181" s="14"/>
      <c r="C181" s="14"/>
      <c r="D181" s="14"/>
      <c r="E181" s="14"/>
      <c r="F181" s="14"/>
      <c r="G181" s="14"/>
    </row>
    <row r="182" ht="12.75" customHeight="1">
      <c r="A182" s="14"/>
      <c r="B182" s="14"/>
      <c r="C182" s="14"/>
      <c r="D182" s="14"/>
      <c r="E182" s="14"/>
      <c r="F182" s="14"/>
      <c r="G182" s="14"/>
    </row>
    <row r="183" ht="12.75" customHeight="1">
      <c r="A183" s="14"/>
      <c r="B183" s="14"/>
      <c r="C183" s="14"/>
      <c r="D183" s="14"/>
      <c r="E183" s="14"/>
      <c r="F183" s="14"/>
      <c r="G183" s="14"/>
    </row>
    <row r="184" ht="12.75" customHeight="1">
      <c r="A184" s="14"/>
      <c r="B184" s="14"/>
      <c r="C184" s="14"/>
      <c r="D184" s="14"/>
      <c r="E184" s="14"/>
      <c r="F184" s="14"/>
      <c r="G184" s="14"/>
    </row>
    <row r="185" ht="12.75" customHeight="1">
      <c r="A185" s="14"/>
      <c r="B185" s="14"/>
      <c r="C185" s="14"/>
      <c r="D185" s="14"/>
      <c r="E185" s="14"/>
      <c r="F185" s="14"/>
      <c r="G185" s="14"/>
    </row>
    <row r="186" ht="12.75" customHeight="1">
      <c r="A186" s="14"/>
      <c r="B186" s="14"/>
      <c r="C186" s="14"/>
      <c r="D186" s="14"/>
      <c r="E186" s="14"/>
      <c r="F186" s="14"/>
      <c r="G186" s="14"/>
    </row>
    <row r="187" ht="12.75" customHeight="1">
      <c r="A187" s="14"/>
      <c r="B187" s="14"/>
      <c r="C187" s="14"/>
      <c r="D187" s="14"/>
      <c r="E187" s="14"/>
      <c r="F187" s="14"/>
      <c r="G187" s="14"/>
    </row>
    <row r="188" ht="12.75" customHeight="1">
      <c r="A188" s="14"/>
      <c r="B188" s="14"/>
      <c r="C188" s="14"/>
      <c r="D188" s="14"/>
      <c r="E188" s="14"/>
      <c r="F188" s="14"/>
      <c r="G188" s="14"/>
    </row>
    <row r="189" ht="12.75" customHeight="1">
      <c r="A189" s="14"/>
      <c r="B189" s="14"/>
      <c r="C189" s="14"/>
      <c r="D189" s="14"/>
      <c r="E189" s="14"/>
      <c r="F189" s="14"/>
      <c r="G189" s="14"/>
    </row>
    <row r="190" ht="12.75" customHeight="1">
      <c r="A190" s="14"/>
      <c r="B190" s="14"/>
      <c r="C190" s="14"/>
      <c r="D190" s="14"/>
      <c r="E190" s="14"/>
      <c r="F190" s="14"/>
      <c r="G190" s="14"/>
    </row>
    <row r="191" ht="12.75" customHeight="1">
      <c r="A191" s="14"/>
      <c r="B191" s="14"/>
      <c r="C191" s="14"/>
      <c r="D191" s="14"/>
      <c r="E191" s="14"/>
      <c r="F191" s="14"/>
      <c r="G191" s="14"/>
    </row>
    <row r="192" ht="12.75" customHeight="1">
      <c r="A192" s="14"/>
      <c r="B192" s="14"/>
      <c r="C192" s="14"/>
      <c r="D192" s="14"/>
      <c r="E192" s="14"/>
      <c r="F192" s="14"/>
      <c r="G192" s="14"/>
    </row>
    <row r="193" ht="12.75" customHeight="1">
      <c r="A193" s="14"/>
      <c r="B193" s="14"/>
      <c r="C193" s="14"/>
      <c r="D193" s="14"/>
      <c r="E193" s="14"/>
      <c r="F193" s="14"/>
      <c r="G193" s="14"/>
    </row>
    <row r="194" ht="12.75" customHeight="1">
      <c r="A194" s="14"/>
      <c r="B194" s="14"/>
      <c r="C194" s="14"/>
      <c r="D194" s="14"/>
      <c r="E194" s="14"/>
      <c r="F194" s="14"/>
      <c r="G194" s="14"/>
    </row>
    <row r="195" ht="12.75" customHeight="1">
      <c r="A195" s="14"/>
      <c r="B195" s="14"/>
      <c r="C195" s="14"/>
      <c r="D195" s="14"/>
      <c r="E195" s="14"/>
      <c r="F195" s="14"/>
      <c r="G195" s="14"/>
    </row>
    <row r="196" ht="12.75" customHeight="1">
      <c r="A196" s="14"/>
      <c r="B196" s="14"/>
      <c r="C196" s="14"/>
      <c r="D196" s="14"/>
      <c r="E196" s="14"/>
      <c r="F196" s="14"/>
      <c r="G196" s="14"/>
    </row>
    <row r="197" ht="12.75" customHeight="1">
      <c r="A197" s="14"/>
      <c r="B197" s="14"/>
      <c r="C197" s="14"/>
      <c r="D197" s="14"/>
      <c r="E197" s="14"/>
      <c r="F197" s="14"/>
      <c r="G197" s="14"/>
    </row>
    <row r="198" ht="12.75" customHeight="1">
      <c r="A198" s="14"/>
      <c r="B198" s="14"/>
      <c r="C198" s="14"/>
      <c r="D198" s="14"/>
      <c r="E198" s="14"/>
      <c r="F198" s="14"/>
      <c r="G198" s="14"/>
    </row>
    <row r="199" ht="12.75" customHeight="1">
      <c r="A199" s="14"/>
      <c r="B199" s="14"/>
      <c r="C199" s="14"/>
      <c r="D199" s="14"/>
      <c r="E199" s="14"/>
      <c r="F199" s="14"/>
      <c r="G199" s="14"/>
    </row>
    <row r="200" ht="12.75" customHeight="1">
      <c r="A200" s="14"/>
      <c r="B200" s="14"/>
      <c r="C200" s="14"/>
      <c r="D200" s="14"/>
      <c r="E200" s="14"/>
      <c r="F200" s="14"/>
      <c r="G200" s="14"/>
    </row>
    <row r="201" ht="12.75" customHeight="1">
      <c r="A201" s="14"/>
      <c r="B201" s="14"/>
      <c r="C201" s="14"/>
      <c r="D201" s="14"/>
      <c r="E201" s="14"/>
      <c r="F201" s="14"/>
      <c r="G201" s="14"/>
    </row>
    <row r="202" ht="12.75" customHeight="1">
      <c r="A202" s="14"/>
      <c r="B202" s="14"/>
      <c r="C202" s="14"/>
      <c r="D202" s="14"/>
      <c r="E202" s="14"/>
      <c r="F202" s="14"/>
      <c r="G202" s="14"/>
    </row>
    <row r="203" ht="12.75" customHeight="1">
      <c r="A203" s="14"/>
      <c r="B203" s="14"/>
      <c r="C203" s="14"/>
      <c r="D203" s="14"/>
      <c r="E203" s="14"/>
      <c r="F203" s="14"/>
      <c r="G203" s="14"/>
    </row>
    <row r="204" ht="12.75" customHeight="1">
      <c r="A204" s="14"/>
      <c r="B204" s="14"/>
      <c r="C204" s="14"/>
      <c r="D204" s="14"/>
      <c r="E204" s="14"/>
      <c r="F204" s="14"/>
      <c r="G204" s="14"/>
    </row>
    <row r="205" ht="12.75" customHeight="1">
      <c r="A205" s="14"/>
      <c r="B205" s="14"/>
      <c r="C205" s="14"/>
      <c r="D205" s="14"/>
      <c r="E205" s="14"/>
      <c r="F205" s="14"/>
      <c r="G205" s="14"/>
    </row>
    <row r="206" ht="12.75" customHeight="1">
      <c r="A206" s="14"/>
      <c r="B206" s="14"/>
      <c r="C206" s="14"/>
      <c r="D206" s="14"/>
      <c r="E206" s="14"/>
      <c r="F206" s="14"/>
      <c r="G206" s="14"/>
    </row>
    <row r="207" ht="12.75" customHeight="1">
      <c r="A207" s="14"/>
      <c r="B207" s="14"/>
      <c r="C207" s="14"/>
      <c r="D207" s="14"/>
      <c r="E207" s="14"/>
      <c r="F207" s="14"/>
      <c r="G207" s="14"/>
    </row>
    <row r="208" ht="12.75" customHeight="1">
      <c r="A208" s="14"/>
      <c r="B208" s="14"/>
      <c r="C208" s="14"/>
      <c r="D208" s="14"/>
      <c r="E208" s="14"/>
      <c r="F208" s="14"/>
      <c r="G208" s="14"/>
    </row>
    <row r="209" ht="12.75" customHeight="1">
      <c r="A209" s="14"/>
      <c r="B209" s="14"/>
      <c r="C209" s="14"/>
      <c r="D209" s="14"/>
      <c r="E209" s="14"/>
      <c r="F209" s="14"/>
      <c r="G209" s="14"/>
    </row>
    <row r="210" ht="12.75" customHeight="1">
      <c r="A210" s="14"/>
      <c r="B210" s="14"/>
      <c r="C210" s="14"/>
      <c r="D210" s="14"/>
      <c r="E210" s="14"/>
      <c r="F210" s="14"/>
      <c r="G210" s="14"/>
    </row>
    <row r="211" ht="12.75" customHeight="1">
      <c r="A211" s="14"/>
      <c r="B211" s="14"/>
      <c r="C211" s="14"/>
      <c r="D211" s="14"/>
      <c r="E211" s="14"/>
      <c r="F211" s="14"/>
      <c r="G211" s="14"/>
    </row>
    <row r="212" ht="12.75" customHeight="1">
      <c r="A212" s="14"/>
      <c r="B212" s="14"/>
      <c r="C212" s="14"/>
      <c r="D212" s="14"/>
      <c r="E212" s="14"/>
      <c r="F212" s="14"/>
      <c r="G212" s="14"/>
    </row>
    <row r="213" ht="12.75" customHeight="1">
      <c r="A213" s="14"/>
      <c r="B213" s="14"/>
      <c r="C213" s="14"/>
      <c r="D213" s="14"/>
      <c r="E213" s="14"/>
      <c r="F213" s="14"/>
      <c r="G213" s="14"/>
    </row>
    <row r="214" ht="12.75" customHeight="1">
      <c r="A214" s="14"/>
      <c r="B214" s="14"/>
      <c r="C214" s="14"/>
      <c r="D214" s="14"/>
      <c r="E214" s="14"/>
      <c r="F214" s="14"/>
      <c r="G214" s="14"/>
    </row>
    <row r="215" ht="12.75" customHeight="1">
      <c r="A215" s="14"/>
      <c r="B215" s="14"/>
      <c r="C215" s="14"/>
      <c r="D215" s="14"/>
      <c r="E215" s="14"/>
      <c r="F215" s="14"/>
      <c r="G215" s="14"/>
    </row>
    <row r="216" ht="12.75" customHeight="1">
      <c r="A216" s="14"/>
      <c r="B216" s="14"/>
      <c r="C216" s="14"/>
      <c r="D216" s="14"/>
      <c r="E216" s="14"/>
      <c r="F216" s="14"/>
      <c r="G216" s="14"/>
    </row>
    <row r="217" ht="12.75" customHeight="1">
      <c r="A217" s="14"/>
      <c r="B217" s="14"/>
      <c r="C217" s="14"/>
      <c r="D217" s="14"/>
      <c r="E217" s="14"/>
      <c r="F217" s="14"/>
      <c r="G217" s="14"/>
    </row>
    <row r="218" ht="12.75" customHeight="1">
      <c r="A218" s="14"/>
      <c r="B218" s="14"/>
      <c r="C218" s="14"/>
      <c r="D218" s="14"/>
      <c r="E218" s="14"/>
      <c r="F218" s="14"/>
      <c r="G218" s="14"/>
    </row>
    <row r="219" ht="12.75" customHeight="1">
      <c r="A219" s="14"/>
      <c r="B219" s="14"/>
      <c r="C219" s="14"/>
      <c r="D219" s="14"/>
      <c r="E219" s="14"/>
      <c r="F219" s="14"/>
      <c r="G219" s="14"/>
    </row>
    <row r="220" ht="12.75" customHeight="1">
      <c r="A220" s="14"/>
      <c r="B220" s="14"/>
      <c r="C220" s="14"/>
      <c r="D220" s="14"/>
      <c r="E220" s="14"/>
      <c r="F220" s="14"/>
      <c r="G220" s="14"/>
    </row>
    <row r="221" ht="12.75" customHeight="1">
      <c r="A221" s="14"/>
      <c r="B221" s="14"/>
      <c r="C221" s="14"/>
      <c r="D221" s="14"/>
      <c r="E221" s="14"/>
      <c r="F221" s="14"/>
      <c r="G221" s="14"/>
    </row>
    <row r="222" ht="12.75" customHeight="1">
      <c r="A222" s="14"/>
      <c r="B222" s="14"/>
      <c r="C222" s="14"/>
      <c r="D222" s="14"/>
      <c r="E222" s="14"/>
      <c r="F222" s="14"/>
      <c r="G222" s="14"/>
    </row>
    <row r="223" ht="12.75" customHeight="1">
      <c r="A223" s="14"/>
      <c r="B223" s="14"/>
      <c r="C223" s="14"/>
      <c r="D223" s="14"/>
      <c r="E223" s="14"/>
      <c r="F223" s="14"/>
      <c r="G223" s="14"/>
    </row>
    <row r="224" ht="12.75" customHeight="1">
      <c r="A224" s="14"/>
      <c r="B224" s="14"/>
      <c r="C224" s="14"/>
      <c r="D224" s="14"/>
      <c r="E224" s="14"/>
      <c r="F224" s="14"/>
      <c r="G224" s="14"/>
    </row>
    <row r="225" ht="12.75" customHeight="1">
      <c r="A225" s="14"/>
      <c r="B225" s="14"/>
      <c r="C225" s="14"/>
      <c r="D225" s="14"/>
      <c r="E225" s="14"/>
      <c r="F225" s="14"/>
      <c r="G225" s="14"/>
    </row>
    <row r="226" ht="12.75" customHeight="1">
      <c r="A226" s="14"/>
      <c r="B226" s="14"/>
      <c r="C226" s="14"/>
      <c r="D226" s="14"/>
      <c r="E226" s="14"/>
      <c r="F226" s="14"/>
      <c r="G226" s="14"/>
    </row>
    <row r="227" ht="12.75" customHeight="1">
      <c r="A227" s="14"/>
      <c r="B227" s="14"/>
      <c r="C227" s="14"/>
      <c r="D227" s="14"/>
      <c r="E227" s="14"/>
      <c r="F227" s="14"/>
      <c r="G227" s="14"/>
    </row>
    <row r="228" ht="12.75" customHeight="1">
      <c r="A228" s="14"/>
      <c r="B228" s="14"/>
      <c r="C228" s="14"/>
      <c r="D228" s="14"/>
      <c r="E228" s="14"/>
      <c r="F228" s="14"/>
      <c r="G228" s="14"/>
    </row>
    <row r="229" ht="12.75" customHeight="1">
      <c r="A229" s="14"/>
      <c r="B229" s="14"/>
      <c r="C229" s="14"/>
      <c r="D229" s="14"/>
      <c r="E229" s="14"/>
      <c r="F229" s="14"/>
      <c r="G229" s="14"/>
    </row>
    <row r="230" ht="12.75" customHeight="1">
      <c r="A230" s="14"/>
      <c r="B230" s="14"/>
      <c r="C230" s="14"/>
      <c r="D230" s="14"/>
      <c r="E230" s="14"/>
      <c r="F230" s="14"/>
      <c r="G230" s="14"/>
    </row>
    <row r="231" ht="12.75" customHeight="1">
      <c r="A231" s="14"/>
      <c r="B231" s="14"/>
      <c r="C231" s="14"/>
      <c r="D231" s="14"/>
      <c r="E231" s="14"/>
      <c r="F231" s="14"/>
      <c r="G231" s="14"/>
    </row>
    <row r="232" ht="12.75" customHeight="1">
      <c r="A232" s="14"/>
      <c r="B232" s="14"/>
      <c r="C232" s="14"/>
      <c r="D232" s="14"/>
      <c r="E232" s="14"/>
      <c r="F232" s="14"/>
      <c r="G232" s="14"/>
    </row>
    <row r="233" ht="12.75" customHeight="1">
      <c r="A233" s="14"/>
      <c r="B233" s="14"/>
      <c r="C233" s="14"/>
      <c r="D233" s="14"/>
      <c r="E233" s="14"/>
      <c r="F233" s="14"/>
      <c r="G233" s="14"/>
    </row>
    <row r="234" ht="12.75" customHeight="1">
      <c r="A234" s="14"/>
      <c r="B234" s="14"/>
      <c r="C234" s="14"/>
      <c r="D234" s="14"/>
      <c r="E234" s="14"/>
      <c r="F234" s="14"/>
      <c r="G234" s="14"/>
    </row>
    <row r="235" ht="12.75" customHeight="1">
      <c r="A235" s="14"/>
      <c r="B235" s="14"/>
      <c r="C235" s="14"/>
      <c r="D235" s="14"/>
      <c r="E235" s="14"/>
      <c r="F235" s="14"/>
      <c r="G235" s="14"/>
    </row>
    <row r="236" ht="12.75" customHeight="1">
      <c r="A236" s="14"/>
      <c r="B236" s="14"/>
      <c r="C236" s="14"/>
      <c r="D236" s="14"/>
      <c r="E236" s="14"/>
      <c r="F236" s="14"/>
      <c r="G236" s="14"/>
    </row>
    <row r="237" ht="12.75" customHeight="1">
      <c r="A237" s="14"/>
      <c r="B237" s="14"/>
      <c r="C237" s="14"/>
      <c r="D237" s="14"/>
      <c r="E237" s="14"/>
      <c r="F237" s="14"/>
      <c r="G237" s="14"/>
    </row>
    <row r="238" ht="12.75" customHeight="1">
      <c r="A238" s="14"/>
      <c r="B238" s="14"/>
      <c r="C238" s="14"/>
      <c r="D238" s="14"/>
      <c r="E238" s="14"/>
      <c r="F238" s="14"/>
      <c r="G238" s="14"/>
    </row>
    <row r="239" ht="12.75" customHeight="1">
      <c r="A239" s="14"/>
      <c r="B239" s="14"/>
      <c r="C239" s="14"/>
      <c r="D239" s="14"/>
      <c r="E239" s="14"/>
      <c r="F239" s="14"/>
      <c r="G239" s="14"/>
    </row>
    <row r="240" ht="12.75" customHeight="1">
      <c r="A240" s="14"/>
      <c r="B240" s="14"/>
      <c r="C240" s="14"/>
      <c r="D240" s="14"/>
      <c r="E240" s="14"/>
      <c r="F240" s="14"/>
      <c r="G240" s="14"/>
    </row>
    <row r="241" ht="12.75" customHeight="1">
      <c r="A241" s="14"/>
      <c r="B241" s="14"/>
      <c r="C241" s="14"/>
      <c r="D241" s="14"/>
      <c r="E241" s="14"/>
      <c r="F241" s="14"/>
      <c r="G241" s="14"/>
    </row>
    <row r="242" ht="12.75" customHeight="1">
      <c r="A242" s="14"/>
      <c r="B242" s="14"/>
      <c r="C242" s="14"/>
      <c r="D242" s="14"/>
      <c r="E242" s="14"/>
      <c r="F242" s="14"/>
      <c r="G242" s="14"/>
    </row>
    <row r="243" ht="12.75" customHeight="1">
      <c r="A243" s="14"/>
      <c r="B243" s="14"/>
      <c r="C243" s="14"/>
      <c r="D243" s="14"/>
      <c r="E243" s="14"/>
      <c r="F243" s="14"/>
      <c r="G243" s="14"/>
    </row>
    <row r="244" ht="12.75" customHeight="1">
      <c r="A244" s="14"/>
      <c r="B244" s="14"/>
      <c r="C244" s="14"/>
      <c r="D244" s="14"/>
      <c r="E244" s="14"/>
      <c r="F244" s="14"/>
      <c r="G244" s="14"/>
    </row>
    <row r="245" ht="12.75" customHeight="1">
      <c r="A245" s="14"/>
      <c r="B245" s="14"/>
      <c r="C245" s="14"/>
      <c r="D245" s="14"/>
      <c r="E245" s="14"/>
      <c r="F245" s="14"/>
      <c r="G245" s="14"/>
    </row>
    <row r="246" ht="12.75" customHeight="1">
      <c r="A246" s="14"/>
      <c r="B246" s="14"/>
      <c r="C246" s="14"/>
      <c r="D246" s="14"/>
      <c r="E246" s="14"/>
      <c r="F246" s="14"/>
      <c r="G246" s="14"/>
    </row>
    <row r="247" ht="12.75" customHeight="1">
      <c r="A247" s="14"/>
      <c r="B247" s="14"/>
      <c r="C247" s="14"/>
      <c r="D247" s="14"/>
      <c r="E247" s="14"/>
      <c r="F247" s="14"/>
      <c r="G247" s="14"/>
    </row>
    <row r="248" ht="12.75" customHeight="1">
      <c r="A248" s="14"/>
      <c r="B248" s="14"/>
      <c r="C248" s="14"/>
      <c r="D248" s="14"/>
      <c r="E248" s="14"/>
      <c r="F248" s="14"/>
      <c r="G248" s="14"/>
    </row>
    <row r="249" ht="12.75" customHeight="1">
      <c r="A249" s="14"/>
      <c r="B249" s="14"/>
      <c r="C249" s="14"/>
      <c r="D249" s="14"/>
      <c r="E249" s="14"/>
      <c r="F249" s="14"/>
      <c r="G249" s="14"/>
    </row>
    <row r="250" ht="12.75" customHeight="1">
      <c r="A250" s="14"/>
      <c r="B250" s="14"/>
      <c r="C250" s="14"/>
      <c r="D250" s="14"/>
      <c r="E250" s="14"/>
      <c r="F250" s="14"/>
      <c r="G250" s="14"/>
    </row>
    <row r="251" ht="12.75" customHeight="1">
      <c r="A251" s="14"/>
      <c r="B251" s="14"/>
      <c r="C251" s="14"/>
      <c r="D251" s="14"/>
      <c r="E251" s="14"/>
      <c r="F251" s="14"/>
      <c r="G251" s="14"/>
    </row>
    <row r="252" ht="12.75" customHeight="1">
      <c r="A252" s="14"/>
      <c r="B252" s="14"/>
      <c r="C252" s="14"/>
      <c r="D252" s="14"/>
      <c r="E252" s="14"/>
      <c r="F252" s="14"/>
      <c r="G252" s="14"/>
    </row>
    <row r="253" ht="12.75" customHeight="1">
      <c r="A253" s="14"/>
      <c r="B253" s="14"/>
      <c r="C253" s="14"/>
      <c r="D253" s="14"/>
      <c r="E253" s="14"/>
      <c r="F253" s="14"/>
      <c r="G253" s="14"/>
    </row>
    <row r="254" ht="12.75" customHeight="1">
      <c r="A254" s="14"/>
      <c r="B254" s="14"/>
      <c r="C254" s="14"/>
      <c r="D254" s="14"/>
      <c r="E254" s="14"/>
      <c r="F254" s="14"/>
      <c r="G254" s="14"/>
    </row>
    <row r="255" ht="12.75" customHeight="1">
      <c r="A255" s="14"/>
      <c r="B255" s="14"/>
      <c r="C255" s="14"/>
      <c r="D255" s="14"/>
      <c r="E255" s="14"/>
      <c r="F255" s="14"/>
      <c r="G255" s="14"/>
    </row>
    <row r="256" ht="12.75" customHeight="1">
      <c r="A256" s="14"/>
      <c r="B256" s="14"/>
      <c r="C256" s="14"/>
      <c r="D256" s="14"/>
      <c r="E256" s="14"/>
      <c r="F256" s="14"/>
      <c r="G256" s="14"/>
    </row>
    <row r="257" ht="12.75" customHeight="1">
      <c r="A257" s="14"/>
      <c r="B257" s="14"/>
      <c r="C257" s="14"/>
      <c r="D257" s="14"/>
      <c r="E257" s="14"/>
      <c r="F257" s="14"/>
      <c r="G257" s="14"/>
    </row>
    <row r="258" ht="12.75" customHeight="1">
      <c r="A258" s="14"/>
      <c r="B258" s="14"/>
      <c r="C258" s="14"/>
      <c r="D258" s="14"/>
      <c r="E258" s="14"/>
      <c r="F258" s="14"/>
      <c r="G258" s="14"/>
    </row>
    <row r="259" ht="12.75" customHeight="1">
      <c r="A259" s="14"/>
      <c r="B259" s="14"/>
      <c r="C259" s="14"/>
      <c r="D259" s="14"/>
      <c r="E259" s="14"/>
      <c r="F259" s="14"/>
      <c r="G259" s="14"/>
    </row>
    <row r="260" ht="12.75" customHeight="1">
      <c r="A260" s="14"/>
      <c r="B260" s="14"/>
      <c r="C260" s="14"/>
      <c r="D260" s="14"/>
      <c r="E260" s="14"/>
      <c r="F260" s="14"/>
      <c r="G260" s="14"/>
    </row>
    <row r="261" ht="12.75" customHeight="1">
      <c r="A261" s="14"/>
      <c r="B261" s="14"/>
      <c r="C261" s="14"/>
      <c r="D261" s="14"/>
      <c r="E261" s="14"/>
      <c r="F261" s="14"/>
      <c r="G261" s="14"/>
    </row>
    <row r="262" ht="12.75" customHeight="1">
      <c r="A262" s="14"/>
      <c r="B262" s="14"/>
      <c r="C262" s="14"/>
      <c r="D262" s="14"/>
      <c r="E262" s="14"/>
      <c r="F262" s="14"/>
      <c r="G262" s="14"/>
    </row>
    <row r="263" ht="12.75" customHeight="1">
      <c r="A263" s="14"/>
      <c r="B263" s="14"/>
      <c r="C263" s="14"/>
      <c r="D263" s="14"/>
      <c r="E263" s="14"/>
      <c r="F263" s="14"/>
      <c r="G263" s="14"/>
    </row>
    <row r="264" ht="12.75" customHeight="1">
      <c r="A264" s="14"/>
      <c r="B264" s="14"/>
      <c r="C264" s="14"/>
      <c r="D264" s="14"/>
      <c r="E264" s="14"/>
      <c r="F264" s="14"/>
      <c r="G264" s="14"/>
    </row>
    <row r="265" ht="12.75" customHeight="1">
      <c r="A265" s="14"/>
      <c r="B265" s="14"/>
      <c r="C265" s="14"/>
      <c r="D265" s="14"/>
      <c r="E265" s="14"/>
      <c r="F265" s="14"/>
      <c r="G265" s="14"/>
    </row>
    <row r="266" ht="12.75" customHeight="1">
      <c r="A266" s="14"/>
      <c r="B266" s="14"/>
      <c r="C266" s="14"/>
      <c r="D266" s="14"/>
      <c r="E266" s="14"/>
      <c r="F266" s="14"/>
      <c r="G266" s="14"/>
    </row>
    <row r="267" ht="12.75" customHeight="1">
      <c r="A267" s="14"/>
      <c r="B267" s="14"/>
      <c r="C267" s="14"/>
      <c r="D267" s="14"/>
      <c r="E267" s="14"/>
      <c r="F267" s="14"/>
      <c r="G267" s="14"/>
    </row>
    <row r="268" ht="12.75" customHeight="1">
      <c r="A268" s="14"/>
      <c r="B268" s="14"/>
      <c r="C268" s="14"/>
      <c r="D268" s="14"/>
      <c r="E268" s="14"/>
      <c r="F268" s="14"/>
      <c r="G268" s="14"/>
    </row>
    <row r="269" ht="12.75" customHeight="1">
      <c r="A269" s="14"/>
      <c r="B269" s="14"/>
      <c r="C269" s="14"/>
      <c r="D269" s="14"/>
      <c r="E269" s="14"/>
      <c r="F269" s="14"/>
      <c r="G269" s="14"/>
    </row>
    <row r="270" ht="12.75" customHeight="1">
      <c r="A270" s="14"/>
      <c r="B270" s="14"/>
      <c r="C270" s="14"/>
      <c r="D270" s="14"/>
      <c r="E270" s="14"/>
      <c r="F270" s="14"/>
      <c r="G270" s="14"/>
    </row>
    <row r="271" ht="12.75" customHeight="1">
      <c r="A271" s="14"/>
      <c r="B271" s="14"/>
      <c r="C271" s="14"/>
      <c r="D271" s="14"/>
      <c r="E271" s="14"/>
      <c r="F271" s="14"/>
      <c r="G271" s="14"/>
    </row>
    <row r="272" ht="12.75" customHeight="1">
      <c r="A272" s="14"/>
      <c r="B272" s="14"/>
      <c r="C272" s="14"/>
      <c r="D272" s="14"/>
      <c r="E272" s="14"/>
      <c r="F272" s="14"/>
      <c r="G272" s="14"/>
    </row>
    <row r="273" ht="12.75" customHeight="1">
      <c r="A273" s="14"/>
      <c r="B273" s="14"/>
      <c r="C273" s="14"/>
      <c r="D273" s="14"/>
      <c r="E273" s="14"/>
      <c r="F273" s="14"/>
      <c r="G273" s="14"/>
    </row>
    <row r="274" ht="12.75" customHeight="1">
      <c r="A274" s="14"/>
      <c r="B274" s="14"/>
      <c r="C274" s="14"/>
      <c r="D274" s="14"/>
      <c r="E274" s="14"/>
      <c r="F274" s="14"/>
      <c r="G274" s="14"/>
    </row>
    <row r="275" ht="12.75" customHeight="1">
      <c r="A275" s="14"/>
      <c r="B275" s="14"/>
      <c r="C275" s="14"/>
      <c r="D275" s="14"/>
      <c r="E275" s="14"/>
      <c r="F275" s="14"/>
      <c r="G275" s="14"/>
    </row>
    <row r="276" ht="12.75" customHeight="1">
      <c r="A276" s="14"/>
      <c r="B276" s="14"/>
      <c r="C276" s="14"/>
      <c r="D276" s="14"/>
      <c r="E276" s="14"/>
      <c r="F276" s="14"/>
      <c r="G276" s="14"/>
    </row>
    <row r="277" ht="12.75" customHeight="1">
      <c r="A277" s="14"/>
      <c r="B277" s="14"/>
      <c r="C277" s="14"/>
      <c r="D277" s="14"/>
      <c r="E277" s="14"/>
      <c r="F277" s="14"/>
      <c r="G277" s="14"/>
    </row>
    <row r="278" ht="12.75" customHeight="1">
      <c r="A278" s="14"/>
      <c r="B278" s="14"/>
      <c r="C278" s="14"/>
      <c r="D278" s="14"/>
      <c r="E278" s="14"/>
      <c r="F278" s="14"/>
      <c r="G278" s="14"/>
    </row>
    <row r="279" ht="12.75" customHeight="1">
      <c r="A279" s="14"/>
      <c r="B279" s="14"/>
      <c r="C279" s="14"/>
      <c r="D279" s="14"/>
      <c r="E279" s="14"/>
      <c r="F279" s="14"/>
      <c r="G279" s="14"/>
    </row>
    <row r="280" ht="12.75" customHeight="1">
      <c r="A280" s="14"/>
      <c r="B280" s="14"/>
      <c r="C280" s="14"/>
      <c r="D280" s="14"/>
      <c r="E280" s="14"/>
      <c r="F280" s="14"/>
      <c r="G280" s="14"/>
    </row>
    <row r="281" ht="12.75" customHeight="1">
      <c r="A281" s="14"/>
      <c r="B281" s="14"/>
      <c r="C281" s="14"/>
      <c r="D281" s="14"/>
      <c r="E281" s="14"/>
      <c r="F281" s="14"/>
      <c r="G281" s="14"/>
    </row>
    <row r="282" ht="12.75" customHeight="1">
      <c r="A282" s="14"/>
      <c r="B282" s="14"/>
      <c r="C282" s="14"/>
      <c r="D282" s="14"/>
      <c r="E282" s="14"/>
      <c r="F282" s="14"/>
      <c r="G282" s="14"/>
    </row>
    <row r="283" ht="12.75" customHeight="1">
      <c r="A283" s="14"/>
      <c r="B283" s="14"/>
      <c r="C283" s="14"/>
      <c r="D283" s="14"/>
      <c r="E283" s="14"/>
      <c r="F283" s="14"/>
      <c r="G283" s="14"/>
    </row>
    <row r="284" ht="12.75" customHeight="1">
      <c r="A284" s="14"/>
      <c r="B284" s="14"/>
      <c r="C284" s="14"/>
      <c r="D284" s="14"/>
      <c r="E284" s="14"/>
      <c r="F284" s="14"/>
      <c r="G284" s="14"/>
    </row>
    <row r="285" ht="12.75" customHeight="1">
      <c r="A285" s="14"/>
      <c r="B285" s="14"/>
      <c r="C285" s="14"/>
      <c r="D285" s="14"/>
      <c r="E285" s="14"/>
      <c r="F285" s="14"/>
      <c r="G285" s="14"/>
    </row>
    <row r="286" ht="12.75" customHeight="1">
      <c r="A286" s="14"/>
      <c r="B286" s="14"/>
      <c r="C286" s="14"/>
      <c r="D286" s="14"/>
      <c r="E286" s="14"/>
      <c r="F286" s="14"/>
      <c r="G286" s="14"/>
    </row>
    <row r="287" ht="12.75" customHeight="1">
      <c r="A287" s="14"/>
      <c r="B287" s="14"/>
      <c r="C287" s="14"/>
      <c r="D287" s="14"/>
      <c r="E287" s="14"/>
      <c r="F287" s="14"/>
      <c r="G287" s="14"/>
    </row>
    <row r="288" ht="12.75" customHeight="1">
      <c r="A288" s="14"/>
      <c r="B288" s="14"/>
      <c r="C288" s="14"/>
      <c r="D288" s="14"/>
      <c r="E288" s="14"/>
      <c r="F288" s="14"/>
      <c r="G288" s="14"/>
    </row>
    <row r="289" ht="12.75" customHeight="1">
      <c r="A289" s="14"/>
      <c r="B289" s="14"/>
      <c r="C289" s="14"/>
      <c r="D289" s="14"/>
      <c r="E289" s="14"/>
      <c r="F289" s="14"/>
      <c r="G289" s="14"/>
    </row>
    <row r="290" ht="12.75" customHeight="1">
      <c r="A290" s="14"/>
      <c r="B290" s="14"/>
      <c r="C290" s="14"/>
      <c r="D290" s="14"/>
      <c r="E290" s="14"/>
      <c r="F290" s="14"/>
      <c r="G290" s="14"/>
    </row>
    <row r="291" ht="12.75" customHeight="1">
      <c r="A291" s="14"/>
      <c r="B291" s="14"/>
      <c r="C291" s="14"/>
      <c r="D291" s="14"/>
      <c r="E291" s="14"/>
      <c r="F291" s="14"/>
      <c r="G291" s="14"/>
    </row>
    <row r="292" ht="12.75" customHeight="1">
      <c r="A292" s="14"/>
      <c r="B292" s="14"/>
      <c r="C292" s="14"/>
      <c r="D292" s="14"/>
      <c r="E292" s="14"/>
      <c r="F292" s="14"/>
      <c r="G292" s="14"/>
    </row>
    <row r="293" ht="12.75" customHeight="1">
      <c r="A293" s="14"/>
      <c r="B293" s="14"/>
      <c r="C293" s="14"/>
      <c r="D293" s="14"/>
      <c r="E293" s="14"/>
      <c r="F293" s="14"/>
      <c r="G293" s="14"/>
    </row>
    <row r="294" ht="12.75" customHeight="1">
      <c r="A294" s="14"/>
      <c r="B294" s="14"/>
      <c r="C294" s="14"/>
      <c r="D294" s="14"/>
      <c r="E294" s="14"/>
      <c r="F294" s="14"/>
      <c r="G294" s="14"/>
    </row>
    <row r="295" ht="12.75" customHeight="1">
      <c r="A295" s="14"/>
      <c r="B295" s="14"/>
      <c r="C295" s="14"/>
      <c r="D295" s="14"/>
      <c r="E295" s="14"/>
      <c r="F295" s="14"/>
      <c r="G295" s="14"/>
    </row>
    <row r="296" ht="12.75" customHeight="1">
      <c r="A296" s="14"/>
      <c r="B296" s="14"/>
      <c r="C296" s="14"/>
      <c r="D296" s="14"/>
      <c r="E296" s="14"/>
      <c r="F296" s="14"/>
      <c r="G296" s="14"/>
    </row>
    <row r="297" ht="12.75" customHeight="1">
      <c r="A297" s="14"/>
      <c r="B297" s="14"/>
      <c r="C297" s="14"/>
      <c r="D297" s="14"/>
      <c r="E297" s="14"/>
      <c r="F297" s="14"/>
      <c r="G297" s="14"/>
    </row>
    <row r="298" ht="12.75" customHeight="1">
      <c r="A298" s="14"/>
      <c r="B298" s="14"/>
      <c r="C298" s="14"/>
      <c r="D298" s="14"/>
      <c r="E298" s="14"/>
      <c r="F298" s="14"/>
      <c r="G298" s="14"/>
    </row>
    <row r="299" ht="12.75" customHeight="1">
      <c r="A299" s="14"/>
      <c r="B299" s="14"/>
      <c r="C299" s="14"/>
      <c r="D299" s="14"/>
      <c r="E299" s="14"/>
      <c r="F299" s="14"/>
      <c r="G299" s="14"/>
    </row>
    <row r="300" ht="12.75" customHeight="1">
      <c r="A300" s="14"/>
      <c r="B300" s="14"/>
      <c r="C300" s="14"/>
      <c r="D300" s="14"/>
      <c r="E300" s="14"/>
      <c r="F300" s="14"/>
      <c r="G300" s="14"/>
    </row>
    <row r="301" ht="12.75" customHeight="1">
      <c r="A301" s="14"/>
      <c r="B301" s="14"/>
      <c r="C301" s="14"/>
      <c r="D301" s="14"/>
      <c r="E301" s="14"/>
      <c r="F301" s="14"/>
      <c r="G301" s="14"/>
    </row>
    <row r="302" ht="12.75" customHeight="1">
      <c r="A302" s="14"/>
      <c r="B302" s="14"/>
      <c r="C302" s="14"/>
      <c r="D302" s="14"/>
      <c r="E302" s="14"/>
      <c r="F302" s="14"/>
      <c r="G302" s="14"/>
    </row>
    <row r="303" ht="12.75" customHeight="1">
      <c r="A303" s="14"/>
      <c r="B303" s="14"/>
      <c r="C303" s="14"/>
      <c r="D303" s="14"/>
      <c r="E303" s="14"/>
      <c r="F303" s="14"/>
      <c r="G303" s="14"/>
    </row>
    <row r="304" ht="12.75" customHeight="1">
      <c r="A304" s="14"/>
      <c r="B304" s="14"/>
      <c r="C304" s="14"/>
      <c r="D304" s="14"/>
      <c r="E304" s="14"/>
      <c r="F304" s="14"/>
      <c r="G304" s="14"/>
    </row>
    <row r="305" ht="12.75" customHeight="1">
      <c r="A305" s="14"/>
      <c r="B305" s="14"/>
      <c r="C305" s="14"/>
      <c r="D305" s="14"/>
      <c r="E305" s="14"/>
      <c r="F305" s="14"/>
      <c r="G305" s="14"/>
    </row>
    <row r="306" ht="12.75" customHeight="1">
      <c r="A306" s="14"/>
      <c r="B306" s="14"/>
      <c r="C306" s="14"/>
      <c r="D306" s="14"/>
      <c r="E306" s="14"/>
      <c r="F306" s="14"/>
      <c r="G306" s="14"/>
    </row>
    <row r="307" ht="12.75" customHeight="1">
      <c r="A307" s="14"/>
      <c r="B307" s="14"/>
      <c r="C307" s="14"/>
      <c r="D307" s="14"/>
      <c r="E307" s="14"/>
      <c r="F307" s="14"/>
      <c r="G307" s="14"/>
    </row>
    <row r="308" ht="12.75" customHeight="1">
      <c r="A308" s="14"/>
      <c r="B308" s="14"/>
      <c r="C308" s="14"/>
      <c r="D308" s="14"/>
      <c r="E308" s="14"/>
      <c r="F308" s="14"/>
      <c r="G308" s="14"/>
    </row>
    <row r="309" ht="12.75" customHeight="1">
      <c r="A309" s="14"/>
      <c r="B309" s="14"/>
      <c r="C309" s="14"/>
      <c r="D309" s="14"/>
      <c r="E309" s="14"/>
      <c r="F309" s="14"/>
      <c r="G309" s="14"/>
    </row>
    <row r="310" ht="12.75" customHeight="1">
      <c r="A310" s="14"/>
      <c r="B310" s="14"/>
      <c r="C310" s="14"/>
      <c r="D310" s="14"/>
      <c r="E310" s="14"/>
      <c r="F310" s="14"/>
      <c r="G310" s="14"/>
    </row>
    <row r="311" ht="12.75" customHeight="1">
      <c r="A311" s="14"/>
      <c r="B311" s="14"/>
      <c r="C311" s="14"/>
      <c r="D311" s="14"/>
      <c r="E311" s="14"/>
      <c r="F311" s="14"/>
      <c r="G311" s="14"/>
    </row>
    <row r="312" ht="12.75" customHeight="1">
      <c r="A312" s="14"/>
      <c r="B312" s="14"/>
      <c r="C312" s="14"/>
      <c r="D312" s="14"/>
      <c r="E312" s="14"/>
      <c r="F312" s="14"/>
      <c r="G312" s="14"/>
    </row>
    <row r="313" ht="12.75" customHeight="1">
      <c r="A313" s="14"/>
      <c r="B313" s="14"/>
      <c r="C313" s="14"/>
      <c r="D313" s="14"/>
      <c r="E313" s="14"/>
      <c r="F313" s="14"/>
      <c r="G313" s="14"/>
    </row>
    <row r="314" ht="12.75" customHeight="1">
      <c r="A314" s="14"/>
      <c r="B314" s="14"/>
      <c r="C314" s="14"/>
      <c r="D314" s="14"/>
      <c r="E314" s="14"/>
      <c r="F314" s="14"/>
      <c r="G314" s="14"/>
    </row>
    <row r="315" ht="12.75" customHeight="1">
      <c r="A315" s="14"/>
      <c r="B315" s="14"/>
      <c r="C315" s="14"/>
      <c r="D315" s="14"/>
      <c r="E315" s="14"/>
      <c r="F315" s="14"/>
      <c r="G315" s="14"/>
    </row>
    <row r="316" ht="12.75" customHeight="1">
      <c r="A316" s="14"/>
      <c r="B316" s="14"/>
      <c r="C316" s="14"/>
      <c r="D316" s="14"/>
      <c r="E316" s="14"/>
      <c r="F316" s="14"/>
      <c r="G316" s="14"/>
    </row>
    <row r="317" ht="12.75" customHeight="1">
      <c r="A317" s="14"/>
      <c r="B317" s="14"/>
      <c r="C317" s="14"/>
      <c r="D317" s="14"/>
      <c r="E317" s="14"/>
      <c r="F317" s="14"/>
      <c r="G317" s="14"/>
    </row>
    <row r="318" ht="12.75" customHeight="1">
      <c r="A318" s="14"/>
      <c r="B318" s="14"/>
      <c r="C318" s="14"/>
      <c r="D318" s="14"/>
      <c r="E318" s="14"/>
      <c r="F318" s="14"/>
      <c r="G318" s="14"/>
    </row>
    <row r="319" ht="12.75" customHeight="1">
      <c r="A319" s="14"/>
      <c r="B319" s="14"/>
      <c r="C319" s="14"/>
      <c r="D319" s="14"/>
      <c r="E319" s="14"/>
      <c r="F319" s="14"/>
      <c r="G319" s="14"/>
    </row>
    <row r="320" ht="12.75" customHeight="1">
      <c r="A320" s="14"/>
      <c r="B320" s="14"/>
      <c r="C320" s="14"/>
      <c r="D320" s="14"/>
      <c r="E320" s="14"/>
      <c r="F320" s="14"/>
      <c r="G320" s="14"/>
    </row>
    <row r="321" ht="12.75" customHeight="1">
      <c r="A321" s="14"/>
      <c r="B321" s="14"/>
      <c r="C321" s="14"/>
      <c r="D321" s="14"/>
      <c r="E321" s="14"/>
      <c r="F321" s="14"/>
      <c r="G321" s="14"/>
    </row>
    <row r="322" ht="12.75" customHeight="1">
      <c r="A322" s="14"/>
      <c r="B322" s="14"/>
      <c r="C322" s="14"/>
      <c r="D322" s="14"/>
      <c r="E322" s="14"/>
      <c r="F322" s="14"/>
      <c r="G322" s="14"/>
    </row>
    <row r="323" ht="12.75" customHeight="1">
      <c r="A323" s="14"/>
      <c r="B323" s="14"/>
      <c r="C323" s="14"/>
      <c r="D323" s="14"/>
      <c r="E323" s="14"/>
      <c r="F323" s="14"/>
      <c r="G323" s="14"/>
    </row>
    <row r="324" ht="12.75" customHeight="1">
      <c r="A324" s="14"/>
      <c r="B324" s="14"/>
      <c r="C324" s="14"/>
      <c r="D324" s="14"/>
      <c r="E324" s="14"/>
      <c r="F324" s="14"/>
      <c r="G324" s="14"/>
    </row>
    <row r="325" ht="12.75" customHeight="1">
      <c r="A325" s="14"/>
      <c r="B325" s="14"/>
      <c r="C325" s="14"/>
      <c r="D325" s="14"/>
      <c r="E325" s="14"/>
      <c r="F325" s="14"/>
      <c r="G325" s="14"/>
    </row>
    <row r="326" ht="12.75" customHeight="1">
      <c r="A326" s="14"/>
      <c r="B326" s="14"/>
      <c r="C326" s="14"/>
      <c r="D326" s="14"/>
      <c r="E326" s="14"/>
      <c r="F326" s="14"/>
      <c r="G326" s="14"/>
    </row>
    <row r="327" ht="12.75" customHeight="1">
      <c r="A327" s="14"/>
      <c r="B327" s="14"/>
      <c r="C327" s="14"/>
      <c r="D327" s="14"/>
      <c r="E327" s="14"/>
      <c r="F327" s="14"/>
      <c r="G327" s="14"/>
    </row>
    <row r="328" ht="12.75" customHeight="1">
      <c r="A328" s="14"/>
      <c r="B328" s="14"/>
      <c r="C328" s="14"/>
      <c r="D328" s="14"/>
      <c r="E328" s="14"/>
      <c r="F328" s="14"/>
      <c r="G328" s="14"/>
    </row>
    <row r="329" ht="12.75" customHeight="1">
      <c r="A329" s="14"/>
      <c r="B329" s="14"/>
      <c r="C329" s="14"/>
      <c r="D329" s="14"/>
      <c r="E329" s="14"/>
      <c r="F329" s="14"/>
      <c r="G329" s="14"/>
    </row>
    <row r="330" ht="12.75" customHeight="1">
      <c r="A330" s="14"/>
      <c r="B330" s="14"/>
      <c r="C330" s="14"/>
      <c r="D330" s="14"/>
      <c r="E330" s="14"/>
      <c r="F330" s="14"/>
      <c r="G330" s="14"/>
    </row>
    <row r="331" ht="12.75" customHeight="1">
      <c r="A331" s="14"/>
      <c r="B331" s="14"/>
      <c r="C331" s="14"/>
      <c r="D331" s="14"/>
      <c r="E331" s="14"/>
      <c r="F331" s="14"/>
      <c r="G331" s="14"/>
    </row>
    <row r="332" ht="12.75" customHeight="1">
      <c r="A332" s="14"/>
      <c r="B332" s="14"/>
      <c r="C332" s="14"/>
      <c r="D332" s="14"/>
      <c r="E332" s="14"/>
      <c r="F332" s="14"/>
      <c r="G332" s="14"/>
    </row>
    <row r="333" ht="12.75" customHeight="1">
      <c r="A333" s="14"/>
      <c r="B333" s="14"/>
      <c r="C333" s="14"/>
      <c r="D333" s="14"/>
      <c r="E333" s="14"/>
      <c r="F333" s="14"/>
      <c r="G333" s="14"/>
    </row>
    <row r="334" ht="12.75" customHeight="1">
      <c r="A334" s="14"/>
      <c r="B334" s="14"/>
      <c r="C334" s="14"/>
      <c r="D334" s="14"/>
      <c r="E334" s="14"/>
      <c r="F334" s="14"/>
      <c r="G334" s="14"/>
    </row>
    <row r="335" ht="12.75" customHeight="1">
      <c r="A335" s="14"/>
      <c r="B335" s="14"/>
      <c r="C335" s="14"/>
      <c r="D335" s="14"/>
      <c r="E335" s="14"/>
      <c r="F335" s="14"/>
      <c r="G335" s="14"/>
    </row>
    <row r="336" ht="12.75" customHeight="1">
      <c r="A336" s="14"/>
      <c r="B336" s="14"/>
      <c r="C336" s="14"/>
      <c r="D336" s="14"/>
      <c r="E336" s="14"/>
      <c r="F336" s="14"/>
      <c r="G336" s="14"/>
    </row>
    <row r="337" ht="12.75" customHeight="1">
      <c r="A337" s="14"/>
      <c r="B337" s="14"/>
      <c r="C337" s="14"/>
      <c r="D337" s="14"/>
      <c r="E337" s="14"/>
      <c r="F337" s="14"/>
      <c r="G337" s="14"/>
    </row>
    <row r="338" ht="12.75" customHeight="1">
      <c r="A338" s="14"/>
      <c r="B338" s="14"/>
      <c r="C338" s="14"/>
      <c r="D338" s="14"/>
      <c r="E338" s="14"/>
      <c r="F338" s="14"/>
      <c r="G338" s="14"/>
    </row>
    <row r="339" ht="12.75" customHeight="1">
      <c r="A339" s="14"/>
      <c r="B339" s="14"/>
      <c r="C339" s="14"/>
      <c r="D339" s="14"/>
      <c r="E339" s="14"/>
      <c r="F339" s="14"/>
      <c r="G339" s="14"/>
    </row>
    <row r="340" ht="12.75" customHeight="1">
      <c r="A340" s="14"/>
      <c r="B340" s="14"/>
      <c r="C340" s="14"/>
      <c r="D340" s="14"/>
      <c r="E340" s="14"/>
      <c r="F340" s="14"/>
      <c r="G340" s="14"/>
    </row>
    <row r="341" ht="12.75" customHeight="1">
      <c r="A341" s="14"/>
      <c r="B341" s="14"/>
      <c r="C341" s="14"/>
      <c r="D341" s="14"/>
      <c r="E341" s="14"/>
      <c r="F341" s="14"/>
      <c r="G341" s="14"/>
    </row>
    <row r="342" ht="12.75" customHeight="1">
      <c r="A342" s="14"/>
      <c r="B342" s="14"/>
      <c r="C342" s="14"/>
      <c r="D342" s="14"/>
      <c r="E342" s="14"/>
      <c r="F342" s="14"/>
      <c r="G342" s="14"/>
    </row>
    <row r="343" ht="12.75" customHeight="1">
      <c r="A343" s="14"/>
      <c r="B343" s="14"/>
      <c r="C343" s="14"/>
      <c r="D343" s="14"/>
      <c r="E343" s="14"/>
      <c r="F343" s="14"/>
      <c r="G343" s="14"/>
    </row>
    <row r="344" ht="12.75" customHeight="1">
      <c r="A344" s="14"/>
      <c r="B344" s="14"/>
      <c r="C344" s="14"/>
      <c r="D344" s="14"/>
      <c r="E344" s="14"/>
      <c r="F344" s="14"/>
      <c r="G344" s="14"/>
    </row>
    <row r="345" ht="12.75" customHeight="1">
      <c r="A345" s="14"/>
      <c r="B345" s="14"/>
      <c r="C345" s="14"/>
      <c r="D345" s="14"/>
      <c r="E345" s="14"/>
      <c r="F345" s="14"/>
      <c r="G345" s="14"/>
    </row>
    <row r="346" ht="12.75" customHeight="1">
      <c r="A346" s="14"/>
      <c r="B346" s="14"/>
      <c r="C346" s="14"/>
      <c r="D346" s="14"/>
      <c r="E346" s="14"/>
      <c r="F346" s="14"/>
      <c r="G346" s="14"/>
    </row>
    <row r="347" ht="12.75" customHeight="1">
      <c r="A347" s="14"/>
      <c r="B347" s="14"/>
      <c r="C347" s="14"/>
      <c r="D347" s="14"/>
      <c r="E347" s="14"/>
      <c r="F347" s="14"/>
      <c r="G347" s="14"/>
    </row>
    <row r="348" ht="12.75" customHeight="1">
      <c r="A348" s="14"/>
      <c r="B348" s="14"/>
      <c r="C348" s="14"/>
      <c r="D348" s="14"/>
      <c r="E348" s="14"/>
      <c r="F348" s="14"/>
      <c r="G348" s="14"/>
    </row>
    <row r="349" ht="12.75" customHeight="1">
      <c r="A349" s="14"/>
      <c r="B349" s="14"/>
      <c r="C349" s="14"/>
      <c r="D349" s="14"/>
      <c r="E349" s="14"/>
      <c r="F349" s="14"/>
      <c r="G349" s="14"/>
    </row>
    <row r="350" ht="12.75" customHeight="1">
      <c r="A350" s="14"/>
      <c r="B350" s="14"/>
      <c r="C350" s="14"/>
      <c r="D350" s="14"/>
      <c r="E350" s="14"/>
      <c r="F350" s="14"/>
      <c r="G350" s="14"/>
    </row>
    <row r="351" ht="12.75" customHeight="1">
      <c r="A351" s="14"/>
      <c r="B351" s="14"/>
      <c r="C351" s="14"/>
      <c r="D351" s="14"/>
      <c r="E351" s="14"/>
      <c r="F351" s="14"/>
      <c r="G351" s="14"/>
    </row>
    <row r="352" ht="12.75" customHeight="1">
      <c r="A352" s="14"/>
      <c r="B352" s="14"/>
      <c r="C352" s="14"/>
      <c r="D352" s="14"/>
      <c r="E352" s="14"/>
      <c r="F352" s="14"/>
      <c r="G352" s="14"/>
    </row>
    <row r="353" ht="12.75" customHeight="1">
      <c r="A353" s="14"/>
      <c r="B353" s="14"/>
      <c r="C353" s="14"/>
      <c r="D353" s="14"/>
      <c r="E353" s="14"/>
      <c r="F353" s="14"/>
      <c r="G353" s="14"/>
    </row>
    <row r="354" ht="12.75" customHeight="1">
      <c r="A354" s="14"/>
      <c r="B354" s="14"/>
      <c r="C354" s="14"/>
      <c r="D354" s="14"/>
      <c r="E354" s="14"/>
      <c r="F354" s="14"/>
      <c r="G354" s="14"/>
    </row>
    <row r="355" ht="12.75" customHeight="1">
      <c r="A355" s="14"/>
      <c r="B355" s="14"/>
      <c r="C355" s="14"/>
      <c r="D355" s="14"/>
      <c r="E355" s="14"/>
      <c r="F355" s="14"/>
      <c r="G355" s="14"/>
    </row>
    <row r="356" ht="12.75" customHeight="1">
      <c r="A356" s="14"/>
      <c r="B356" s="14"/>
      <c r="C356" s="14"/>
      <c r="D356" s="14"/>
      <c r="E356" s="14"/>
      <c r="F356" s="14"/>
      <c r="G356" s="14"/>
    </row>
    <row r="357" ht="12.75" customHeight="1">
      <c r="A357" s="14"/>
      <c r="B357" s="14"/>
      <c r="C357" s="14"/>
      <c r="D357" s="14"/>
      <c r="E357" s="14"/>
      <c r="F357" s="14"/>
      <c r="G357" s="14"/>
    </row>
    <row r="358" ht="12.75" customHeight="1">
      <c r="A358" s="14"/>
      <c r="B358" s="14"/>
      <c r="C358" s="14"/>
      <c r="D358" s="14"/>
      <c r="E358" s="14"/>
      <c r="F358" s="14"/>
      <c r="G358" s="14"/>
    </row>
    <row r="359" ht="12.75" customHeight="1">
      <c r="A359" s="14"/>
      <c r="B359" s="14"/>
      <c r="C359" s="14"/>
      <c r="D359" s="14"/>
      <c r="E359" s="14"/>
      <c r="F359" s="14"/>
      <c r="G359" s="14"/>
    </row>
    <row r="360" ht="12.75" customHeight="1">
      <c r="A360" s="14"/>
      <c r="B360" s="14"/>
      <c r="C360" s="14"/>
      <c r="D360" s="14"/>
      <c r="E360" s="14"/>
      <c r="F360" s="14"/>
      <c r="G360" s="14"/>
    </row>
    <row r="361" ht="12.75" customHeight="1">
      <c r="A361" s="14"/>
      <c r="B361" s="14"/>
      <c r="C361" s="14"/>
      <c r="D361" s="14"/>
      <c r="E361" s="14"/>
      <c r="F361" s="14"/>
      <c r="G361" s="14"/>
    </row>
    <row r="362" ht="12.75" customHeight="1">
      <c r="A362" s="14"/>
      <c r="B362" s="14"/>
      <c r="C362" s="14"/>
      <c r="D362" s="14"/>
      <c r="E362" s="14"/>
      <c r="F362" s="14"/>
      <c r="G362" s="14"/>
    </row>
    <row r="363" ht="12.75" customHeight="1">
      <c r="A363" s="14"/>
      <c r="B363" s="14"/>
      <c r="C363" s="14"/>
      <c r="D363" s="14"/>
      <c r="E363" s="14"/>
      <c r="F363" s="14"/>
      <c r="G363" s="14"/>
    </row>
    <row r="364" ht="12.75" customHeight="1">
      <c r="A364" s="14"/>
      <c r="B364" s="14"/>
      <c r="C364" s="14"/>
      <c r="D364" s="14"/>
      <c r="E364" s="14"/>
      <c r="F364" s="14"/>
      <c r="G364" s="14"/>
    </row>
    <row r="365" ht="12.75" customHeight="1">
      <c r="A365" s="14"/>
      <c r="B365" s="14"/>
      <c r="C365" s="14"/>
      <c r="D365" s="14"/>
      <c r="E365" s="14"/>
      <c r="F365" s="14"/>
      <c r="G365" s="14"/>
    </row>
    <row r="366" ht="12.75" customHeight="1">
      <c r="A366" s="14"/>
      <c r="B366" s="14"/>
      <c r="C366" s="14"/>
      <c r="D366" s="14"/>
      <c r="E366" s="14"/>
      <c r="F366" s="14"/>
      <c r="G366" s="14"/>
    </row>
    <row r="367" ht="12.75" customHeight="1">
      <c r="A367" s="14"/>
      <c r="B367" s="14"/>
      <c r="C367" s="14"/>
      <c r="D367" s="14"/>
      <c r="E367" s="14"/>
      <c r="F367" s="14"/>
      <c r="G367" s="14"/>
    </row>
    <row r="368" ht="12.75" customHeight="1">
      <c r="A368" s="14"/>
      <c r="B368" s="14"/>
      <c r="C368" s="14"/>
      <c r="D368" s="14"/>
      <c r="E368" s="14"/>
      <c r="F368" s="14"/>
      <c r="G368" s="14"/>
    </row>
    <row r="369" ht="12.75" customHeight="1">
      <c r="A369" s="14"/>
      <c r="B369" s="14"/>
      <c r="C369" s="14"/>
      <c r="D369" s="14"/>
      <c r="E369" s="14"/>
      <c r="F369" s="14"/>
      <c r="G369" s="14"/>
    </row>
    <row r="370" ht="12.75" customHeight="1">
      <c r="A370" s="14"/>
      <c r="B370" s="14"/>
      <c r="C370" s="14"/>
      <c r="D370" s="14"/>
      <c r="E370" s="14"/>
      <c r="F370" s="14"/>
      <c r="G370" s="14"/>
    </row>
    <row r="371" ht="12.75" customHeight="1">
      <c r="A371" s="14"/>
      <c r="B371" s="14"/>
      <c r="C371" s="14"/>
      <c r="D371" s="14"/>
      <c r="E371" s="14"/>
      <c r="F371" s="14"/>
      <c r="G371" s="14"/>
    </row>
    <row r="372" ht="12.75" customHeight="1">
      <c r="A372" s="14"/>
      <c r="B372" s="14"/>
      <c r="C372" s="14"/>
      <c r="D372" s="14"/>
      <c r="E372" s="14"/>
      <c r="F372" s="14"/>
      <c r="G372" s="14"/>
    </row>
    <row r="373" ht="12.75" customHeight="1">
      <c r="A373" s="14"/>
      <c r="B373" s="14"/>
      <c r="C373" s="14"/>
      <c r="D373" s="14"/>
      <c r="E373" s="14"/>
      <c r="F373" s="14"/>
      <c r="G373" s="14"/>
    </row>
    <row r="374" ht="12.75" customHeight="1">
      <c r="A374" s="14"/>
      <c r="B374" s="14"/>
      <c r="C374" s="14"/>
      <c r="D374" s="14"/>
      <c r="E374" s="14"/>
      <c r="F374" s="14"/>
      <c r="G374" s="14"/>
    </row>
    <row r="375" ht="12.75" customHeight="1">
      <c r="A375" s="14"/>
      <c r="B375" s="14"/>
      <c r="C375" s="14"/>
      <c r="D375" s="14"/>
      <c r="E375" s="14"/>
      <c r="F375" s="14"/>
      <c r="G375" s="14"/>
    </row>
    <row r="376" ht="12.75" customHeight="1">
      <c r="A376" s="14"/>
      <c r="B376" s="14"/>
      <c r="C376" s="14"/>
      <c r="D376" s="14"/>
      <c r="E376" s="14"/>
      <c r="F376" s="14"/>
      <c r="G376" s="14"/>
    </row>
    <row r="377" ht="12.75" customHeight="1">
      <c r="A377" s="14"/>
      <c r="B377" s="14"/>
      <c r="C377" s="14"/>
      <c r="D377" s="14"/>
      <c r="E377" s="14"/>
      <c r="F377" s="14"/>
      <c r="G377" s="14"/>
    </row>
    <row r="378" ht="12.75" customHeight="1">
      <c r="A378" s="14"/>
      <c r="B378" s="14"/>
      <c r="C378" s="14"/>
      <c r="D378" s="14"/>
      <c r="E378" s="14"/>
      <c r="F378" s="14"/>
      <c r="G378" s="14"/>
    </row>
    <row r="379" ht="12.75" customHeight="1">
      <c r="A379" s="14"/>
      <c r="B379" s="14"/>
      <c r="C379" s="14"/>
      <c r="D379" s="14"/>
      <c r="E379" s="14"/>
      <c r="F379" s="14"/>
      <c r="G379" s="14"/>
    </row>
    <row r="380" ht="12.75" customHeight="1">
      <c r="A380" s="14"/>
      <c r="B380" s="14"/>
      <c r="C380" s="14"/>
      <c r="D380" s="14"/>
      <c r="E380" s="14"/>
      <c r="F380" s="14"/>
      <c r="G380" s="14"/>
    </row>
    <row r="381" ht="12.75" customHeight="1">
      <c r="A381" s="14"/>
      <c r="B381" s="14"/>
      <c r="C381" s="14"/>
      <c r="D381" s="14"/>
      <c r="E381" s="14"/>
      <c r="F381" s="14"/>
      <c r="G381" s="14"/>
    </row>
    <row r="382" ht="12.75" customHeight="1">
      <c r="A382" s="14"/>
      <c r="B382" s="14"/>
      <c r="C382" s="14"/>
      <c r="D382" s="14"/>
      <c r="E382" s="14"/>
      <c r="F382" s="14"/>
      <c r="G382" s="14"/>
    </row>
    <row r="383" ht="12.75" customHeight="1">
      <c r="A383" s="14"/>
      <c r="B383" s="14"/>
      <c r="C383" s="14"/>
      <c r="D383" s="14"/>
      <c r="E383" s="14"/>
      <c r="F383" s="14"/>
      <c r="G383" s="14"/>
    </row>
    <row r="384" ht="12.75" customHeight="1">
      <c r="A384" s="14"/>
      <c r="B384" s="14"/>
      <c r="C384" s="14"/>
      <c r="D384" s="14"/>
      <c r="E384" s="14"/>
      <c r="F384" s="14"/>
      <c r="G384" s="14"/>
    </row>
    <row r="385" ht="12.75" customHeight="1">
      <c r="A385" s="14"/>
      <c r="B385" s="14"/>
      <c r="C385" s="14"/>
      <c r="D385" s="14"/>
      <c r="E385" s="14"/>
      <c r="F385" s="14"/>
      <c r="G385" s="14"/>
    </row>
    <row r="386" ht="12.75" customHeight="1">
      <c r="A386" s="14"/>
      <c r="B386" s="14"/>
      <c r="C386" s="14"/>
      <c r="D386" s="14"/>
      <c r="E386" s="14"/>
      <c r="F386" s="14"/>
      <c r="G386" s="14"/>
    </row>
    <row r="387" ht="12.75" customHeight="1">
      <c r="A387" s="14"/>
      <c r="B387" s="14"/>
      <c r="C387" s="14"/>
      <c r="D387" s="14"/>
      <c r="E387" s="14"/>
      <c r="F387" s="14"/>
      <c r="G387" s="14"/>
    </row>
    <row r="388" ht="12.75" customHeight="1">
      <c r="A388" s="14"/>
      <c r="B388" s="14"/>
      <c r="C388" s="14"/>
      <c r="D388" s="14"/>
      <c r="E388" s="14"/>
      <c r="F388" s="14"/>
      <c r="G388" s="14"/>
    </row>
    <row r="389" ht="12.75" customHeight="1">
      <c r="A389" s="14"/>
      <c r="B389" s="14"/>
      <c r="C389" s="14"/>
      <c r="D389" s="14"/>
      <c r="E389" s="14"/>
      <c r="F389" s="14"/>
      <c r="G389" s="14"/>
    </row>
    <row r="390" ht="12.75" customHeight="1">
      <c r="A390" s="14"/>
      <c r="B390" s="14"/>
      <c r="C390" s="14"/>
      <c r="D390" s="14"/>
      <c r="E390" s="14"/>
      <c r="F390" s="14"/>
      <c r="G390" s="14"/>
    </row>
    <row r="391" ht="12.75" customHeight="1">
      <c r="A391" s="14"/>
      <c r="B391" s="14"/>
      <c r="C391" s="14"/>
      <c r="D391" s="14"/>
      <c r="E391" s="14"/>
      <c r="F391" s="14"/>
      <c r="G391" s="14"/>
    </row>
    <row r="392" ht="12.75" customHeight="1">
      <c r="A392" s="14"/>
      <c r="B392" s="14"/>
      <c r="C392" s="14"/>
      <c r="D392" s="14"/>
      <c r="E392" s="14"/>
      <c r="F392" s="14"/>
      <c r="G392" s="14"/>
    </row>
    <row r="393" ht="12.75" customHeight="1">
      <c r="A393" s="14"/>
      <c r="B393" s="14"/>
      <c r="C393" s="14"/>
      <c r="D393" s="14"/>
      <c r="E393" s="14"/>
      <c r="F393" s="14"/>
      <c r="G393" s="14"/>
    </row>
    <row r="394" ht="12.75" customHeight="1">
      <c r="A394" s="14"/>
      <c r="B394" s="14"/>
      <c r="C394" s="14"/>
      <c r="D394" s="14"/>
      <c r="E394" s="14"/>
      <c r="F394" s="14"/>
      <c r="G394" s="14"/>
    </row>
    <row r="395" ht="12.75" customHeight="1">
      <c r="A395" s="14"/>
      <c r="B395" s="14"/>
      <c r="C395" s="14"/>
      <c r="D395" s="14"/>
      <c r="E395" s="14"/>
      <c r="F395" s="14"/>
      <c r="G395" s="14"/>
    </row>
    <row r="396" ht="12.75" customHeight="1">
      <c r="A396" s="14"/>
      <c r="B396" s="14"/>
      <c r="C396" s="14"/>
      <c r="D396" s="14"/>
      <c r="E396" s="14"/>
      <c r="F396" s="14"/>
      <c r="G396" s="14"/>
    </row>
    <row r="397" ht="12.75" customHeight="1">
      <c r="A397" s="14"/>
      <c r="B397" s="14"/>
      <c r="C397" s="14"/>
      <c r="D397" s="14"/>
      <c r="E397" s="14"/>
      <c r="F397" s="14"/>
      <c r="G397" s="14"/>
    </row>
    <row r="398" ht="12.75" customHeight="1">
      <c r="A398" s="14"/>
      <c r="B398" s="14"/>
      <c r="C398" s="14"/>
      <c r="D398" s="14"/>
      <c r="E398" s="14"/>
      <c r="F398" s="14"/>
      <c r="G398" s="14"/>
    </row>
    <row r="399" ht="12.75" customHeight="1">
      <c r="A399" s="14"/>
      <c r="B399" s="14"/>
      <c r="C399" s="14"/>
      <c r="D399" s="14"/>
      <c r="E399" s="14"/>
      <c r="F399" s="14"/>
      <c r="G399" s="14"/>
    </row>
    <row r="400" ht="12.75" customHeight="1">
      <c r="A400" s="14"/>
      <c r="B400" s="14"/>
      <c r="C400" s="14"/>
      <c r="D400" s="14"/>
      <c r="E400" s="14"/>
      <c r="F400" s="14"/>
      <c r="G400" s="14"/>
    </row>
    <row r="401" ht="12.75" customHeight="1">
      <c r="A401" s="14"/>
      <c r="B401" s="14"/>
      <c r="C401" s="14"/>
      <c r="D401" s="14"/>
      <c r="E401" s="14"/>
      <c r="F401" s="14"/>
      <c r="G401" s="14"/>
    </row>
    <row r="402" ht="12.75" customHeight="1">
      <c r="A402" s="14"/>
      <c r="B402" s="14"/>
      <c r="C402" s="14"/>
      <c r="D402" s="14"/>
      <c r="E402" s="14"/>
      <c r="F402" s="14"/>
      <c r="G402" s="14"/>
    </row>
    <row r="403" ht="12.75" customHeight="1">
      <c r="A403" s="14"/>
      <c r="B403" s="14"/>
      <c r="C403" s="14"/>
      <c r="D403" s="14"/>
      <c r="E403" s="14"/>
      <c r="F403" s="14"/>
      <c r="G403" s="14"/>
    </row>
    <row r="404" ht="12.75" customHeight="1">
      <c r="A404" s="14"/>
      <c r="B404" s="14"/>
      <c r="C404" s="14"/>
      <c r="D404" s="14"/>
      <c r="E404" s="14"/>
      <c r="F404" s="14"/>
      <c r="G404" s="14"/>
    </row>
    <row r="405" ht="12.75" customHeight="1">
      <c r="A405" s="14"/>
      <c r="B405" s="14"/>
      <c r="C405" s="14"/>
      <c r="D405" s="14"/>
      <c r="E405" s="14"/>
      <c r="F405" s="14"/>
      <c r="G405" s="14"/>
    </row>
    <row r="406" ht="12.75" customHeight="1">
      <c r="A406" s="14"/>
      <c r="B406" s="14"/>
      <c r="C406" s="14"/>
      <c r="D406" s="14"/>
      <c r="E406" s="14"/>
      <c r="F406" s="14"/>
      <c r="G406" s="14"/>
    </row>
    <row r="407" ht="12.75" customHeight="1">
      <c r="A407" s="14"/>
      <c r="B407" s="14"/>
      <c r="C407" s="14"/>
      <c r="D407" s="14"/>
      <c r="E407" s="14"/>
      <c r="F407" s="14"/>
      <c r="G407" s="14"/>
    </row>
    <row r="408" ht="12.75" customHeight="1">
      <c r="A408" s="14"/>
      <c r="B408" s="14"/>
      <c r="C408" s="14"/>
      <c r="D408" s="14"/>
      <c r="E408" s="14"/>
      <c r="F408" s="14"/>
      <c r="G408" s="14"/>
    </row>
    <row r="409" ht="12.75" customHeight="1">
      <c r="A409" s="14"/>
      <c r="B409" s="14"/>
      <c r="C409" s="14"/>
      <c r="D409" s="14"/>
      <c r="E409" s="14"/>
      <c r="F409" s="14"/>
      <c r="G409" s="14"/>
    </row>
    <row r="410" ht="12.75" customHeight="1">
      <c r="A410" s="14"/>
      <c r="B410" s="14"/>
      <c r="C410" s="14"/>
      <c r="D410" s="14"/>
      <c r="E410" s="14"/>
      <c r="F410" s="14"/>
      <c r="G410" s="14"/>
    </row>
    <row r="411" ht="12.75" customHeight="1">
      <c r="A411" s="14"/>
      <c r="B411" s="14"/>
      <c r="C411" s="14"/>
      <c r="D411" s="14"/>
      <c r="E411" s="14"/>
      <c r="F411" s="14"/>
      <c r="G411" s="14"/>
    </row>
    <row r="412" ht="12.75" customHeight="1">
      <c r="A412" s="14"/>
      <c r="B412" s="14"/>
      <c r="C412" s="14"/>
      <c r="D412" s="14"/>
      <c r="E412" s="14"/>
      <c r="F412" s="14"/>
      <c r="G412" s="14"/>
    </row>
    <row r="413" ht="12.75" customHeight="1">
      <c r="A413" s="14"/>
      <c r="B413" s="14"/>
      <c r="C413" s="14"/>
      <c r="D413" s="14"/>
      <c r="E413" s="14"/>
      <c r="F413" s="14"/>
      <c r="G413" s="14"/>
    </row>
    <row r="414" ht="12.75" customHeight="1">
      <c r="A414" s="14"/>
      <c r="B414" s="14"/>
      <c r="C414" s="14"/>
      <c r="D414" s="14"/>
      <c r="E414" s="14"/>
      <c r="F414" s="14"/>
      <c r="G414" s="14"/>
    </row>
    <row r="415" ht="12.75" customHeight="1">
      <c r="A415" s="14"/>
      <c r="B415" s="14"/>
      <c r="C415" s="14"/>
      <c r="D415" s="14"/>
      <c r="E415" s="14"/>
      <c r="F415" s="14"/>
      <c r="G415" s="14"/>
    </row>
    <row r="416" ht="12.75" customHeight="1">
      <c r="A416" s="14"/>
      <c r="B416" s="14"/>
      <c r="C416" s="14"/>
      <c r="D416" s="14"/>
      <c r="E416" s="14"/>
      <c r="F416" s="14"/>
      <c r="G416" s="14"/>
    </row>
    <row r="417" ht="12.75" customHeight="1">
      <c r="A417" s="14"/>
      <c r="B417" s="14"/>
      <c r="C417" s="14"/>
      <c r="D417" s="14"/>
      <c r="E417" s="14"/>
      <c r="F417" s="14"/>
      <c r="G417" s="14"/>
    </row>
    <row r="418" ht="12.75" customHeight="1">
      <c r="A418" s="14"/>
      <c r="B418" s="14"/>
      <c r="C418" s="14"/>
      <c r="D418" s="14"/>
      <c r="E418" s="14"/>
      <c r="F418" s="14"/>
      <c r="G418" s="14"/>
    </row>
    <row r="419" ht="12.75" customHeight="1">
      <c r="A419" s="14"/>
      <c r="B419" s="14"/>
      <c r="C419" s="14"/>
      <c r="D419" s="14"/>
      <c r="E419" s="14"/>
      <c r="F419" s="14"/>
      <c r="G419" s="14"/>
    </row>
    <row r="420" ht="12.75" customHeight="1">
      <c r="A420" s="14"/>
      <c r="B420" s="14"/>
      <c r="C420" s="14"/>
      <c r="D420" s="14"/>
      <c r="E420" s="14"/>
      <c r="F420" s="14"/>
      <c r="G420" s="14"/>
    </row>
    <row r="421" ht="12.75" customHeight="1">
      <c r="A421" s="14"/>
      <c r="B421" s="14"/>
      <c r="C421" s="14"/>
      <c r="D421" s="14"/>
      <c r="E421" s="14"/>
      <c r="F421" s="14"/>
      <c r="G421" s="14"/>
    </row>
    <row r="422" ht="12.75" customHeight="1">
      <c r="A422" s="14"/>
      <c r="B422" s="14"/>
      <c r="C422" s="14"/>
      <c r="D422" s="14"/>
      <c r="E422" s="14"/>
      <c r="F422" s="14"/>
      <c r="G422" s="14"/>
    </row>
    <row r="423" ht="12.75" customHeight="1">
      <c r="A423" s="14"/>
      <c r="B423" s="14"/>
      <c r="C423" s="14"/>
      <c r="D423" s="14"/>
      <c r="E423" s="14"/>
      <c r="F423" s="14"/>
      <c r="G423" s="14"/>
    </row>
    <row r="424" ht="12.75" customHeight="1">
      <c r="A424" s="14"/>
      <c r="B424" s="14"/>
      <c r="C424" s="14"/>
      <c r="D424" s="14"/>
      <c r="E424" s="14"/>
      <c r="F424" s="14"/>
      <c r="G424" s="14"/>
    </row>
    <row r="425" ht="12.75" customHeight="1">
      <c r="A425" s="14"/>
      <c r="B425" s="14"/>
      <c r="C425" s="14"/>
      <c r="D425" s="14"/>
      <c r="E425" s="14"/>
      <c r="F425" s="14"/>
      <c r="G425" s="14"/>
    </row>
    <row r="426" ht="12.75" customHeight="1">
      <c r="A426" s="14"/>
      <c r="B426" s="14"/>
      <c r="C426" s="14"/>
      <c r="D426" s="14"/>
      <c r="E426" s="14"/>
      <c r="F426" s="14"/>
      <c r="G426" s="14"/>
    </row>
    <row r="427" ht="12.75" customHeight="1">
      <c r="A427" s="14"/>
      <c r="B427" s="14"/>
      <c r="C427" s="14"/>
      <c r="D427" s="14"/>
      <c r="E427" s="14"/>
      <c r="F427" s="14"/>
      <c r="G427" s="14"/>
    </row>
    <row r="428" ht="12.75" customHeight="1">
      <c r="A428" s="14"/>
      <c r="B428" s="14"/>
      <c r="C428" s="14"/>
      <c r="D428" s="14"/>
      <c r="E428" s="14"/>
      <c r="F428" s="14"/>
      <c r="G428" s="14"/>
    </row>
    <row r="429" ht="12.75" customHeight="1">
      <c r="A429" s="14"/>
      <c r="B429" s="14"/>
      <c r="C429" s="14"/>
      <c r="D429" s="14"/>
      <c r="E429" s="14"/>
      <c r="F429" s="14"/>
      <c r="G429" s="14"/>
    </row>
    <row r="430" ht="12.75" customHeight="1">
      <c r="A430" s="14"/>
      <c r="B430" s="14"/>
      <c r="C430" s="14"/>
      <c r="D430" s="14"/>
      <c r="E430" s="14"/>
      <c r="F430" s="14"/>
      <c r="G430" s="14"/>
    </row>
    <row r="431" ht="12.75" customHeight="1">
      <c r="A431" s="14"/>
      <c r="B431" s="14"/>
      <c r="C431" s="14"/>
      <c r="D431" s="14"/>
      <c r="E431" s="14"/>
      <c r="F431" s="14"/>
      <c r="G431" s="14"/>
    </row>
    <row r="432" ht="12.75" customHeight="1">
      <c r="A432" s="14"/>
      <c r="B432" s="14"/>
      <c r="C432" s="14"/>
      <c r="D432" s="14"/>
      <c r="E432" s="14"/>
      <c r="F432" s="14"/>
      <c r="G432" s="14"/>
    </row>
    <row r="433" ht="12.75" customHeight="1">
      <c r="A433" s="14"/>
      <c r="B433" s="14"/>
      <c r="C433" s="14"/>
      <c r="D433" s="14"/>
      <c r="E433" s="14"/>
      <c r="F433" s="14"/>
      <c r="G433" s="14"/>
    </row>
    <row r="434" ht="12.75" customHeight="1">
      <c r="A434" s="14"/>
      <c r="B434" s="14"/>
      <c r="C434" s="14"/>
      <c r="D434" s="14"/>
      <c r="E434" s="14"/>
      <c r="F434" s="14"/>
      <c r="G434" s="14"/>
    </row>
    <row r="435" ht="12.75" customHeight="1">
      <c r="A435" s="14"/>
      <c r="B435" s="14"/>
      <c r="C435" s="14"/>
      <c r="D435" s="14"/>
      <c r="E435" s="14"/>
      <c r="F435" s="14"/>
      <c r="G435" s="14"/>
    </row>
    <row r="436" ht="12.75" customHeight="1">
      <c r="A436" s="14"/>
      <c r="B436" s="14"/>
      <c r="C436" s="14"/>
      <c r="D436" s="14"/>
      <c r="E436" s="14"/>
      <c r="F436" s="14"/>
      <c r="G436" s="14"/>
    </row>
    <row r="437" ht="12.75" customHeight="1">
      <c r="A437" s="14"/>
      <c r="B437" s="14"/>
      <c r="C437" s="14"/>
      <c r="D437" s="14"/>
      <c r="E437" s="14"/>
      <c r="F437" s="14"/>
      <c r="G437" s="14"/>
    </row>
    <row r="438" ht="12.75" customHeight="1">
      <c r="A438" s="14"/>
      <c r="B438" s="14"/>
      <c r="C438" s="14"/>
      <c r="D438" s="14"/>
      <c r="E438" s="14"/>
      <c r="F438" s="14"/>
      <c r="G438" s="14"/>
    </row>
    <row r="439" ht="12.75" customHeight="1">
      <c r="A439" s="14"/>
      <c r="B439" s="14"/>
      <c r="C439" s="14"/>
      <c r="D439" s="14"/>
      <c r="E439" s="14"/>
      <c r="F439" s="14"/>
      <c r="G439" s="14"/>
    </row>
    <row r="440" ht="12.75" customHeight="1">
      <c r="A440" s="14"/>
      <c r="B440" s="14"/>
      <c r="C440" s="14"/>
      <c r="D440" s="14"/>
      <c r="E440" s="14"/>
      <c r="F440" s="14"/>
      <c r="G440" s="14"/>
    </row>
    <row r="441" ht="12.75" customHeight="1">
      <c r="A441" s="14"/>
      <c r="B441" s="14"/>
      <c r="C441" s="14"/>
      <c r="D441" s="14"/>
      <c r="E441" s="14"/>
      <c r="F441" s="14"/>
      <c r="G441" s="14"/>
    </row>
    <row r="442" ht="12.75" customHeight="1">
      <c r="A442" s="14"/>
      <c r="B442" s="14"/>
      <c r="C442" s="14"/>
      <c r="D442" s="14"/>
      <c r="E442" s="14"/>
      <c r="F442" s="14"/>
      <c r="G442" s="14"/>
    </row>
    <row r="443" ht="12.75" customHeight="1">
      <c r="A443" s="14"/>
      <c r="B443" s="14"/>
      <c r="C443" s="14"/>
      <c r="D443" s="14"/>
      <c r="E443" s="14"/>
      <c r="F443" s="14"/>
      <c r="G443" s="14"/>
    </row>
    <row r="444" ht="12.75" customHeight="1">
      <c r="A444" s="14"/>
      <c r="B444" s="14"/>
      <c r="C444" s="14"/>
      <c r="D444" s="14"/>
      <c r="E444" s="14"/>
      <c r="F444" s="14"/>
      <c r="G444" s="14"/>
    </row>
    <row r="445" ht="12.75" customHeight="1">
      <c r="A445" s="14"/>
      <c r="B445" s="14"/>
      <c r="C445" s="14"/>
      <c r="D445" s="14"/>
      <c r="E445" s="14"/>
      <c r="F445" s="14"/>
      <c r="G445" s="14"/>
    </row>
    <row r="446" ht="12.75" customHeight="1">
      <c r="A446" s="14"/>
      <c r="B446" s="14"/>
      <c r="C446" s="14"/>
      <c r="D446" s="14"/>
      <c r="E446" s="14"/>
      <c r="F446" s="14"/>
      <c r="G446" s="14"/>
    </row>
    <row r="447" ht="12.75" customHeight="1">
      <c r="A447" s="14"/>
      <c r="B447" s="14"/>
      <c r="C447" s="14"/>
      <c r="D447" s="14"/>
      <c r="E447" s="14"/>
      <c r="F447" s="14"/>
      <c r="G447" s="14"/>
    </row>
    <row r="448" ht="12.75" customHeight="1">
      <c r="A448" s="14"/>
      <c r="B448" s="14"/>
      <c r="C448" s="14"/>
      <c r="D448" s="14"/>
      <c r="E448" s="14"/>
      <c r="F448" s="14"/>
      <c r="G448" s="14"/>
    </row>
    <row r="449" ht="12.75" customHeight="1">
      <c r="A449" s="14"/>
      <c r="B449" s="14"/>
      <c r="C449" s="14"/>
      <c r="D449" s="14"/>
      <c r="E449" s="14"/>
      <c r="F449" s="14"/>
      <c r="G449" s="14"/>
    </row>
    <row r="450" ht="12.75" customHeight="1">
      <c r="A450" s="14"/>
      <c r="B450" s="14"/>
      <c r="C450" s="14"/>
      <c r="D450" s="14"/>
      <c r="E450" s="14"/>
      <c r="F450" s="14"/>
      <c r="G450" s="14"/>
    </row>
    <row r="451" ht="12.75" customHeight="1">
      <c r="A451" s="14"/>
      <c r="B451" s="14"/>
      <c r="C451" s="14"/>
      <c r="D451" s="14"/>
      <c r="E451" s="14"/>
      <c r="F451" s="14"/>
      <c r="G451" s="14"/>
    </row>
    <row r="452" ht="12.75" customHeight="1">
      <c r="A452" s="14"/>
      <c r="B452" s="14"/>
      <c r="C452" s="14"/>
      <c r="D452" s="14"/>
      <c r="E452" s="14"/>
      <c r="F452" s="14"/>
      <c r="G452" s="14"/>
    </row>
    <row r="453" ht="12.75" customHeight="1">
      <c r="A453" s="14"/>
      <c r="B453" s="14"/>
      <c r="C453" s="14"/>
      <c r="D453" s="14"/>
      <c r="E453" s="14"/>
      <c r="F453" s="14"/>
      <c r="G453" s="14"/>
    </row>
    <row r="454" ht="12.75" customHeight="1">
      <c r="A454" s="14"/>
      <c r="B454" s="14"/>
      <c r="C454" s="14"/>
      <c r="D454" s="14"/>
      <c r="E454" s="14"/>
      <c r="F454" s="14"/>
      <c r="G454" s="14"/>
    </row>
    <row r="455" ht="12.75" customHeight="1">
      <c r="A455" s="14"/>
      <c r="B455" s="14"/>
      <c r="C455" s="14"/>
      <c r="D455" s="14"/>
      <c r="E455" s="14"/>
      <c r="F455" s="14"/>
      <c r="G455" s="14"/>
    </row>
    <row r="456" ht="12.75" customHeight="1">
      <c r="A456" s="14"/>
      <c r="B456" s="14"/>
      <c r="C456" s="14"/>
      <c r="D456" s="14"/>
      <c r="E456" s="14"/>
      <c r="F456" s="14"/>
      <c r="G456" s="14"/>
    </row>
    <row r="457" ht="12.75" customHeight="1">
      <c r="A457" s="14"/>
      <c r="B457" s="14"/>
      <c r="C457" s="14"/>
      <c r="D457" s="14"/>
      <c r="E457" s="14"/>
      <c r="F457" s="14"/>
      <c r="G457" s="14"/>
    </row>
    <row r="458" ht="12.75" customHeight="1">
      <c r="A458" s="14"/>
      <c r="B458" s="14"/>
      <c r="C458" s="14"/>
      <c r="D458" s="14"/>
      <c r="E458" s="14"/>
      <c r="F458" s="14"/>
      <c r="G458" s="14"/>
    </row>
    <row r="459" ht="12.75" customHeight="1">
      <c r="A459" s="14"/>
      <c r="B459" s="14"/>
      <c r="C459" s="14"/>
      <c r="D459" s="14"/>
      <c r="E459" s="14"/>
      <c r="F459" s="14"/>
      <c r="G459" s="14"/>
    </row>
    <row r="460" ht="12.75" customHeight="1">
      <c r="A460" s="14"/>
      <c r="B460" s="14"/>
      <c r="C460" s="14"/>
      <c r="D460" s="14"/>
      <c r="E460" s="14"/>
      <c r="F460" s="14"/>
      <c r="G460" s="14"/>
    </row>
    <row r="461" ht="12.75" customHeight="1">
      <c r="A461" s="14"/>
      <c r="B461" s="14"/>
      <c r="C461" s="14"/>
      <c r="D461" s="14"/>
      <c r="E461" s="14"/>
      <c r="F461" s="14"/>
      <c r="G461" s="14"/>
    </row>
    <row r="462" ht="12.75" customHeight="1">
      <c r="A462" s="14"/>
      <c r="B462" s="14"/>
      <c r="C462" s="14"/>
      <c r="D462" s="14"/>
      <c r="E462" s="14"/>
      <c r="F462" s="14"/>
      <c r="G462" s="14"/>
    </row>
    <row r="463" ht="12.75" customHeight="1">
      <c r="A463" s="14"/>
      <c r="B463" s="14"/>
      <c r="C463" s="14"/>
      <c r="D463" s="14"/>
      <c r="E463" s="14"/>
      <c r="F463" s="14"/>
      <c r="G463" s="14"/>
    </row>
    <row r="464" ht="12.75" customHeight="1">
      <c r="A464" s="14"/>
      <c r="B464" s="14"/>
      <c r="C464" s="14"/>
      <c r="D464" s="14"/>
      <c r="E464" s="14"/>
      <c r="F464" s="14"/>
      <c r="G464" s="14"/>
    </row>
    <row r="465" ht="12.75" customHeight="1">
      <c r="A465" s="14"/>
      <c r="B465" s="14"/>
      <c r="C465" s="14"/>
      <c r="D465" s="14"/>
      <c r="E465" s="14"/>
      <c r="F465" s="14"/>
      <c r="G465" s="14"/>
    </row>
    <row r="466" ht="12.75" customHeight="1">
      <c r="A466" s="14"/>
      <c r="B466" s="14"/>
      <c r="C466" s="14"/>
      <c r="D466" s="14"/>
      <c r="E466" s="14"/>
      <c r="F466" s="14"/>
      <c r="G466" s="14"/>
    </row>
    <row r="467" ht="12.75" customHeight="1">
      <c r="A467" s="14"/>
      <c r="B467" s="14"/>
      <c r="C467" s="14"/>
      <c r="D467" s="14"/>
      <c r="E467" s="14"/>
      <c r="F467" s="14"/>
      <c r="G467" s="14"/>
    </row>
    <row r="468" ht="12.75" customHeight="1">
      <c r="A468" s="14"/>
      <c r="B468" s="14"/>
      <c r="C468" s="14"/>
      <c r="D468" s="14"/>
      <c r="E468" s="14"/>
      <c r="F468" s="14"/>
      <c r="G468" s="14"/>
    </row>
    <row r="469" ht="12.75" customHeight="1">
      <c r="A469" s="14"/>
      <c r="B469" s="14"/>
      <c r="C469" s="14"/>
      <c r="D469" s="14"/>
      <c r="E469" s="14"/>
      <c r="F469" s="14"/>
      <c r="G469" s="14"/>
    </row>
    <row r="470" ht="12.75" customHeight="1">
      <c r="A470" s="14"/>
      <c r="B470" s="14"/>
      <c r="C470" s="14"/>
      <c r="D470" s="14"/>
      <c r="E470" s="14"/>
      <c r="F470" s="14"/>
      <c r="G470" s="14"/>
    </row>
    <row r="471" ht="12.75" customHeight="1">
      <c r="A471" s="14"/>
      <c r="B471" s="14"/>
      <c r="C471" s="14"/>
      <c r="D471" s="14"/>
      <c r="E471" s="14"/>
      <c r="F471" s="14"/>
      <c r="G471" s="14"/>
    </row>
    <row r="472" ht="12.75" customHeight="1">
      <c r="A472" s="14"/>
      <c r="B472" s="14"/>
      <c r="C472" s="14"/>
      <c r="D472" s="14"/>
      <c r="E472" s="14"/>
      <c r="F472" s="14"/>
      <c r="G472" s="14"/>
    </row>
    <row r="473" ht="12.75" customHeight="1">
      <c r="A473" s="14"/>
      <c r="B473" s="14"/>
      <c r="C473" s="14"/>
      <c r="D473" s="14"/>
      <c r="E473" s="14"/>
      <c r="F473" s="14"/>
      <c r="G473" s="14"/>
    </row>
    <row r="474" ht="12.75" customHeight="1">
      <c r="A474" s="14"/>
      <c r="B474" s="14"/>
      <c r="C474" s="14"/>
      <c r="D474" s="14"/>
      <c r="E474" s="14"/>
      <c r="F474" s="14"/>
      <c r="G474" s="14"/>
    </row>
    <row r="475" ht="12.75" customHeight="1">
      <c r="A475" s="14"/>
      <c r="B475" s="14"/>
      <c r="C475" s="14"/>
      <c r="D475" s="14"/>
      <c r="E475" s="14"/>
      <c r="F475" s="14"/>
      <c r="G475" s="14"/>
    </row>
    <row r="476" ht="12.75" customHeight="1">
      <c r="A476" s="14"/>
      <c r="B476" s="14"/>
      <c r="C476" s="14"/>
      <c r="D476" s="14"/>
      <c r="E476" s="14"/>
      <c r="F476" s="14"/>
      <c r="G476" s="14"/>
    </row>
    <row r="477" ht="12.75" customHeight="1">
      <c r="A477" s="14"/>
      <c r="B477" s="14"/>
      <c r="C477" s="14"/>
      <c r="D477" s="14"/>
      <c r="E477" s="14"/>
      <c r="F477" s="14"/>
      <c r="G477" s="14"/>
    </row>
    <row r="478" ht="12.75" customHeight="1">
      <c r="A478" s="14"/>
      <c r="B478" s="14"/>
      <c r="C478" s="14"/>
      <c r="D478" s="14"/>
      <c r="E478" s="14"/>
      <c r="F478" s="14"/>
      <c r="G478" s="14"/>
    </row>
    <row r="479" ht="12.75" customHeight="1">
      <c r="A479" s="14"/>
      <c r="B479" s="14"/>
      <c r="C479" s="14"/>
      <c r="D479" s="14"/>
      <c r="E479" s="14"/>
      <c r="F479" s="14"/>
      <c r="G479" s="14"/>
    </row>
    <row r="480" ht="12.75" customHeight="1">
      <c r="A480" s="14"/>
      <c r="B480" s="14"/>
      <c r="C480" s="14"/>
      <c r="D480" s="14"/>
      <c r="E480" s="14"/>
      <c r="F480" s="14"/>
      <c r="G480" s="14"/>
    </row>
    <row r="481" ht="12.75" customHeight="1">
      <c r="A481" s="14"/>
      <c r="B481" s="14"/>
      <c r="C481" s="14"/>
      <c r="D481" s="14"/>
      <c r="E481" s="14"/>
      <c r="F481" s="14"/>
      <c r="G481" s="14"/>
    </row>
    <row r="482" ht="12.75" customHeight="1">
      <c r="A482" s="14"/>
      <c r="B482" s="14"/>
      <c r="C482" s="14"/>
      <c r="D482" s="14"/>
      <c r="E482" s="14"/>
      <c r="F482" s="14"/>
      <c r="G482" s="14"/>
    </row>
    <row r="483" ht="12.75" customHeight="1">
      <c r="A483" s="14"/>
      <c r="B483" s="14"/>
      <c r="C483" s="14"/>
      <c r="D483" s="14"/>
      <c r="E483" s="14"/>
      <c r="F483" s="14"/>
      <c r="G483" s="14"/>
    </row>
    <row r="484" ht="12.75" customHeight="1">
      <c r="A484" s="14"/>
      <c r="B484" s="14"/>
      <c r="C484" s="14"/>
      <c r="D484" s="14"/>
      <c r="E484" s="14"/>
      <c r="F484" s="14"/>
      <c r="G484" s="14"/>
    </row>
    <row r="485" ht="12.75" customHeight="1">
      <c r="A485" s="14"/>
      <c r="B485" s="14"/>
      <c r="C485" s="14"/>
      <c r="D485" s="14"/>
      <c r="E485" s="14"/>
      <c r="F485" s="14"/>
      <c r="G485" s="14"/>
    </row>
    <row r="486" ht="12.75" customHeight="1">
      <c r="A486" s="14"/>
      <c r="B486" s="14"/>
      <c r="C486" s="14"/>
      <c r="D486" s="14"/>
      <c r="E486" s="14"/>
      <c r="F486" s="14"/>
      <c r="G486" s="14"/>
    </row>
    <row r="487" ht="12.75" customHeight="1">
      <c r="A487" s="14"/>
      <c r="B487" s="14"/>
      <c r="C487" s="14"/>
      <c r="D487" s="14"/>
      <c r="E487" s="14"/>
      <c r="F487" s="14"/>
      <c r="G487" s="14"/>
    </row>
    <row r="488" ht="12.75" customHeight="1">
      <c r="A488" s="14"/>
      <c r="B488" s="14"/>
      <c r="C488" s="14"/>
      <c r="D488" s="14"/>
      <c r="E488" s="14"/>
      <c r="F488" s="14"/>
      <c r="G488" s="14"/>
    </row>
    <row r="489" ht="12.75" customHeight="1">
      <c r="A489" s="14"/>
      <c r="B489" s="14"/>
      <c r="C489" s="14"/>
      <c r="D489" s="14"/>
      <c r="E489" s="14"/>
      <c r="F489" s="14"/>
      <c r="G489" s="14"/>
    </row>
    <row r="490" ht="12.75" customHeight="1">
      <c r="A490" s="14"/>
      <c r="B490" s="14"/>
      <c r="C490" s="14"/>
      <c r="D490" s="14"/>
      <c r="E490" s="14"/>
      <c r="F490" s="14"/>
      <c r="G490" s="14"/>
    </row>
    <row r="491" ht="12.75" customHeight="1">
      <c r="A491" s="14"/>
      <c r="B491" s="14"/>
      <c r="C491" s="14"/>
      <c r="D491" s="14"/>
      <c r="E491" s="14"/>
      <c r="F491" s="14"/>
      <c r="G491" s="14"/>
    </row>
    <row r="492" ht="12.75" customHeight="1">
      <c r="A492" s="14"/>
      <c r="B492" s="14"/>
      <c r="C492" s="14"/>
      <c r="D492" s="14"/>
      <c r="E492" s="14"/>
      <c r="F492" s="14"/>
      <c r="G492" s="14"/>
    </row>
    <row r="493" ht="12.75" customHeight="1">
      <c r="A493" s="14"/>
      <c r="B493" s="14"/>
      <c r="C493" s="14"/>
      <c r="D493" s="14"/>
      <c r="E493" s="14"/>
      <c r="F493" s="14"/>
      <c r="G493" s="14"/>
    </row>
    <row r="494" ht="12.75" customHeight="1">
      <c r="A494" s="14"/>
      <c r="B494" s="14"/>
      <c r="C494" s="14"/>
      <c r="D494" s="14"/>
      <c r="E494" s="14"/>
      <c r="F494" s="14"/>
      <c r="G494" s="14"/>
    </row>
    <row r="495" ht="12.75" customHeight="1">
      <c r="A495" s="14"/>
      <c r="B495" s="14"/>
      <c r="C495" s="14"/>
      <c r="D495" s="14"/>
      <c r="E495" s="14"/>
      <c r="F495" s="14"/>
      <c r="G495" s="14"/>
    </row>
    <row r="496" ht="12.75" customHeight="1">
      <c r="A496" s="14"/>
      <c r="B496" s="14"/>
      <c r="C496" s="14"/>
      <c r="D496" s="14"/>
      <c r="E496" s="14"/>
      <c r="F496" s="14"/>
      <c r="G496" s="14"/>
    </row>
    <row r="497" ht="12.75" customHeight="1">
      <c r="A497" s="14"/>
      <c r="B497" s="14"/>
      <c r="C497" s="14"/>
      <c r="D497" s="14"/>
      <c r="E497" s="14"/>
      <c r="F497" s="14"/>
      <c r="G497" s="14"/>
    </row>
    <row r="498" ht="12.75" customHeight="1">
      <c r="A498" s="14"/>
      <c r="B498" s="14"/>
      <c r="C498" s="14"/>
      <c r="D498" s="14"/>
      <c r="E498" s="14"/>
      <c r="F498" s="14"/>
      <c r="G498" s="14"/>
    </row>
    <row r="499" ht="12.75" customHeight="1">
      <c r="A499" s="14"/>
      <c r="B499" s="14"/>
      <c r="C499" s="14"/>
      <c r="D499" s="14"/>
      <c r="E499" s="14"/>
      <c r="F499" s="14"/>
      <c r="G499" s="14"/>
    </row>
    <row r="500" ht="12.75" customHeight="1">
      <c r="A500" s="14"/>
      <c r="B500" s="14"/>
      <c r="C500" s="14"/>
      <c r="D500" s="14"/>
      <c r="E500" s="14"/>
      <c r="F500" s="14"/>
      <c r="G500" s="14"/>
    </row>
    <row r="501" ht="12.75" customHeight="1">
      <c r="A501" s="14"/>
      <c r="B501" s="14"/>
      <c r="C501" s="14"/>
      <c r="D501" s="14"/>
      <c r="E501" s="14"/>
      <c r="F501" s="14"/>
      <c r="G501" s="14"/>
    </row>
    <row r="502" ht="12.75" customHeight="1">
      <c r="A502" s="14"/>
      <c r="B502" s="14"/>
      <c r="C502" s="14"/>
      <c r="D502" s="14"/>
      <c r="E502" s="14"/>
      <c r="F502" s="14"/>
      <c r="G502" s="14"/>
    </row>
    <row r="503" ht="12.75" customHeight="1">
      <c r="A503" s="14"/>
      <c r="B503" s="14"/>
      <c r="C503" s="14"/>
      <c r="D503" s="14"/>
      <c r="E503" s="14"/>
      <c r="F503" s="14"/>
      <c r="G503" s="14"/>
    </row>
    <row r="504" ht="12.75" customHeight="1">
      <c r="A504" s="14"/>
      <c r="B504" s="14"/>
      <c r="C504" s="14"/>
      <c r="D504" s="14"/>
      <c r="E504" s="14"/>
      <c r="F504" s="14"/>
      <c r="G504" s="14"/>
    </row>
    <row r="505" ht="12.75" customHeight="1">
      <c r="A505" s="14"/>
      <c r="B505" s="14"/>
      <c r="C505" s="14"/>
      <c r="D505" s="14"/>
      <c r="E505" s="14"/>
      <c r="F505" s="14"/>
      <c r="G505" s="14"/>
    </row>
    <row r="506" ht="12.75" customHeight="1">
      <c r="A506" s="14"/>
      <c r="B506" s="14"/>
      <c r="C506" s="14"/>
      <c r="D506" s="14"/>
      <c r="E506" s="14"/>
      <c r="F506" s="14"/>
      <c r="G506" s="14"/>
    </row>
    <row r="507" ht="12.75" customHeight="1">
      <c r="A507" s="14"/>
      <c r="B507" s="14"/>
      <c r="C507" s="14"/>
      <c r="D507" s="14"/>
      <c r="E507" s="14"/>
      <c r="F507" s="14"/>
      <c r="G507" s="14"/>
    </row>
    <row r="508" ht="12.75" customHeight="1">
      <c r="A508" s="14"/>
      <c r="B508" s="14"/>
      <c r="C508" s="14"/>
      <c r="D508" s="14"/>
      <c r="E508" s="14"/>
      <c r="F508" s="14"/>
      <c r="G508" s="14"/>
    </row>
    <row r="509" ht="12.75" customHeight="1">
      <c r="A509" s="14"/>
      <c r="B509" s="14"/>
      <c r="C509" s="14"/>
      <c r="D509" s="14"/>
      <c r="E509" s="14"/>
      <c r="F509" s="14"/>
      <c r="G509" s="14"/>
    </row>
    <row r="510" ht="12.75" customHeight="1">
      <c r="A510" s="14"/>
      <c r="B510" s="14"/>
      <c r="C510" s="14"/>
      <c r="D510" s="14"/>
      <c r="E510" s="14"/>
      <c r="F510" s="14"/>
      <c r="G510" s="14"/>
    </row>
    <row r="511" ht="12.75" customHeight="1">
      <c r="A511" s="14"/>
      <c r="B511" s="14"/>
      <c r="C511" s="14"/>
      <c r="D511" s="14"/>
      <c r="E511" s="14"/>
      <c r="F511" s="14"/>
      <c r="G511" s="14"/>
    </row>
    <row r="512" ht="12.75" customHeight="1">
      <c r="A512" s="14"/>
      <c r="B512" s="14"/>
      <c r="C512" s="14"/>
      <c r="D512" s="14"/>
      <c r="E512" s="14"/>
      <c r="F512" s="14"/>
      <c r="G512" s="14"/>
    </row>
    <row r="513" ht="12.75" customHeight="1">
      <c r="A513" s="14"/>
      <c r="B513" s="14"/>
      <c r="C513" s="14"/>
      <c r="D513" s="14"/>
      <c r="E513" s="14"/>
      <c r="F513" s="14"/>
      <c r="G513" s="14"/>
    </row>
    <row r="514" ht="12.75" customHeight="1">
      <c r="A514" s="14"/>
      <c r="B514" s="14"/>
      <c r="C514" s="14"/>
      <c r="D514" s="14"/>
      <c r="E514" s="14"/>
      <c r="F514" s="14"/>
      <c r="G514" s="14"/>
    </row>
    <row r="515" ht="12.75" customHeight="1">
      <c r="A515" s="14"/>
      <c r="B515" s="14"/>
      <c r="C515" s="14"/>
      <c r="D515" s="14"/>
      <c r="E515" s="14"/>
      <c r="F515" s="14"/>
      <c r="G515" s="14"/>
    </row>
    <row r="516" ht="12.75" customHeight="1">
      <c r="A516" s="14"/>
      <c r="B516" s="14"/>
      <c r="C516" s="14"/>
      <c r="D516" s="14"/>
      <c r="E516" s="14"/>
      <c r="F516" s="14"/>
      <c r="G516" s="14"/>
    </row>
    <row r="517" ht="12.75" customHeight="1">
      <c r="A517" s="14"/>
      <c r="B517" s="14"/>
      <c r="C517" s="14"/>
      <c r="D517" s="14"/>
      <c r="E517" s="14"/>
      <c r="F517" s="14"/>
      <c r="G517" s="14"/>
    </row>
    <row r="518" ht="12.75" customHeight="1">
      <c r="A518" s="14"/>
      <c r="B518" s="14"/>
      <c r="C518" s="14"/>
      <c r="D518" s="14"/>
      <c r="E518" s="14"/>
      <c r="F518" s="14"/>
      <c r="G518" s="14"/>
    </row>
    <row r="519" ht="12.75" customHeight="1">
      <c r="A519" s="14"/>
      <c r="B519" s="14"/>
      <c r="C519" s="14"/>
      <c r="D519" s="14"/>
      <c r="E519" s="14"/>
      <c r="F519" s="14"/>
      <c r="G519" s="14"/>
    </row>
    <row r="520" ht="12.75" customHeight="1">
      <c r="A520" s="14"/>
      <c r="B520" s="14"/>
      <c r="C520" s="14"/>
      <c r="D520" s="14"/>
      <c r="E520" s="14"/>
      <c r="F520" s="14"/>
      <c r="G520" s="14"/>
    </row>
    <row r="521" ht="12.75" customHeight="1">
      <c r="A521" s="14"/>
      <c r="B521" s="14"/>
      <c r="C521" s="14"/>
      <c r="D521" s="14"/>
      <c r="E521" s="14"/>
      <c r="F521" s="14"/>
      <c r="G521" s="14"/>
    </row>
    <row r="522" ht="12.75" customHeight="1">
      <c r="A522" s="14"/>
      <c r="B522" s="14"/>
      <c r="C522" s="14"/>
      <c r="D522" s="14"/>
      <c r="E522" s="14"/>
      <c r="F522" s="14"/>
      <c r="G522" s="14"/>
    </row>
    <row r="523" ht="12.75" customHeight="1">
      <c r="A523" s="14"/>
      <c r="B523" s="14"/>
      <c r="C523" s="14"/>
      <c r="D523" s="14"/>
      <c r="E523" s="14"/>
      <c r="F523" s="14"/>
      <c r="G523" s="14"/>
    </row>
    <row r="524" ht="12.75" customHeight="1">
      <c r="A524" s="14"/>
      <c r="B524" s="14"/>
      <c r="C524" s="14"/>
      <c r="D524" s="14"/>
      <c r="E524" s="14"/>
      <c r="F524" s="14"/>
      <c r="G524" s="14"/>
    </row>
    <row r="525" ht="12.75" customHeight="1">
      <c r="A525" s="14"/>
      <c r="B525" s="14"/>
      <c r="C525" s="14"/>
      <c r="D525" s="14"/>
      <c r="E525" s="14"/>
      <c r="F525" s="14"/>
      <c r="G525" s="14"/>
    </row>
    <row r="526" ht="12.75" customHeight="1">
      <c r="A526" s="14"/>
      <c r="B526" s="14"/>
      <c r="C526" s="14"/>
      <c r="D526" s="14"/>
      <c r="E526" s="14"/>
      <c r="F526" s="14"/>
      <c r="G526" s="14"/>
    </row>
    <row r="527" ht="12.75" customHeight="1">
      <c r="A527" s="14"/>
      <c r="B527" s="14"/>
      <c r="C527" s="14"/>
      <c r="D527" s="14"/>
      <c r="E527" s="14"/>
      <c r="F527" s="14"/>
      <c r="G527" s="14"/>
    </row>
    <row r="528" ht="12.75" customHeight="1">
      <c r="A528" s="14"/>
      <c r="B528" s="14"/>
      <c r="C528" s="14"/>
      <c r="D528" s="14"/>
      <c r="E528" s="14"/>
      <c r="F528" s="14"/>
      <c r="G528" s="14"/>
    </row>
    <row r="529" ht="12.75" customHeight="1">
      <c r="A529" s="14"/>
      <c r="B529" s="14"/>
      <c r="C529" s="14"/>
      <c r="D529" s="14"/>
      <c r="E529" s="14"/>
      <c r="F529" s="14"/>
      <c r="G529" s="14"/>
    </row>
    <row r="530" ht="12.75" customHeight="1">
      <c r="A530" s="14"/>
      <c r="B530" s="14"/>
      <c r="C530" s="14"/>
      <c r="D530" s="14"/>
      <c r="E530" s="14"/>
      <c r="F530" s="14"/>
      <c r="G530" s="14"/>
    </row>
    <row r="531" ht="12.75" customHeight="1">
      <c r="A531" s="14"/>
      <c r="B531" s="14"/>
      <c r="C531" s="14"/>
      <c r="D531" s="14"/>
      <c r="E531" s="14"/>
      <c r="F531" s="14"/>
      <c r="G531" s="14"/>
    </row>
    <row r="532" ht="12.75" customHeight="1">
      <c r="A532" s="14"/>
      <c r="B532" s="14"/>
      <c r="C532" s="14"/>
      <c r="D532" s="14"/>
      <c r="E532" s="14"/>
      <c r="F532" s="14"/>
      <c r="G532" s="14"/>
    </row>
    <row r="533" ht="12.75" customHeight="1">
      <c r="A533" s="14"/>
      <c r="B533" s="14"/>
      <c r="C533" s="14"/>
      <c r="D533" s="14"/>
      <c r="E533" s="14"/>
      <c r="F533" s="14"/>
      <c r="G533" s="14"/>
    </row>
    <row r="534" ht="12.75" customHeight="1">
      <c r="A534" s="14"/>
      <c r="B534" s="14"/>
      <c r="C534" s="14"/>
      <c r="D534" s="14"/>
      <c r="E534" s="14"/>
      <c r="F534" s="14"/>
      <c r="G534" s="14"/>
    </row>
    <row r="535" ht="12.75" customHeight="1">
      <c r="A535" s="14"/>
      <c r="B535" s="14"/>
      <c r="C535" s="14"/>
      <c r="D535" s="14"/>
      <c r="E535" s="14"/>
      <c r="F535" s="14"/>
      <c r="G535" s="14"/>
    </row>
    <row r="536" ht="12.75" customHeight="1">
      <c r="A536" s="14"/>
      <c r="B536" s="14"/>
      <c r="C536" s="14"/>
      <c r="D536" s="14"/>
      <c r="E536" s="14"/>
      <c r="F536" s="14"/>
      <c r="G536" s="14"/>
    </row>
    <row r="537" ht="12.75" customHeight="1">
      <c r="A537" s="14"/>
      <c r="B537" s="14"/>
      <c r="C537" s="14"/>
      <c r="D537" s="14"/>
      <c r="E537" s="14"/>
      <c r="F537" s="14"/>
      <c r="G537" s="14"/>
    </row>
    <row r="538" ht="12.75" customHeight="1">
      <c r="A538" s="14"/>
      <c r="B538" s="14"/>
      <c r="C538" s="14"/>
      <c r="D538" s="14"/>
      <c r="E538" s="14"/>
      <c r="F538" s="14"/>
      <c r="G538" s="14"/>
    </row>
    <row r="539" ht="12.75" customHeight="1">
      <c r="A539" s="14"/>
      <c r="B539" s="14"/>
      <c r="C539" s="14"/>
      <c r="D539" s="14"/>
      <c r="E539" s="14"/>
      <c r="F539" s="14"/>
      <c r="G539" s="14"/>
    </row>
    <row r="540" ht="12.75" customHeight="1">
      <c r="A540" s="14"/>
      <c r="B540" s="14"/>
      <c r="C540" s="14"/>
      <c r="D540" s="14"/>
      <c r="E540" s="14"/>
      <c r="F540" s="14"/>
      <c r="G540" s="14"/>
    </row>
    <row r="541" ht="12.75" customHeight="1">
      <c r="A541" s="14"/>
      <c r="B541" s="14"/>
      <c r="C541" s="14"/>
      <c r="D541" s="14"/>
      <c r="E541" s="14"/>
      <c r="F541" s="14"/>
      <c r="G541" s="14"/>
    </row>
    <row r="542" ht="12.75" customHeight="1">
      <c r="A542" s="14"/>
      <c r="B542" s="14"/>
      <c r="C542" s="14"/>
      <c r="D542" s="14"/>
      <c r="E542" s="14"/>
      <c r="F542" s="14"/>
      <c r="G542" s="14"/>
    </row>
    <row r="543" ht="12.75" customHeight="1">
      <c r="A543" s="14"/>
      <c r="B543" s="14"/>
      <c r="C543" s="14"/>
      <c r="D543" s="14"/>
      <c r="E543" s="14"/>
      <c r="F543" s="14"/>
      <c r="G543" s="14"/>
    </row>
    <row r="544" ht="12.75" customHeight="1">
      <c r="A544" s="14"/>
      <c r="B544" s="14"/>
      <c r="C544" s="14"/>
      <c r="D544" s="14"/>
      <c r="E544" s="14"/>
      <c r="F544" s="14"/>
      <c r="G544" s="14"/>
    </row>
    <row r="545" ht="12.75" customHeight="1">
      <c r="A545" s="14"/>
      <c r="B545" s="14"/>
      <c r="C545" s="14"/>
      <c r="D545" s="14"/>
      <c r="E545" s="14"/>
      <c r="F545" s="14"/>
      <c r="G545" s="14"/>
    </row>
    <row r="546" ht="12.75" customHeight="1">
      <c r="A546" s="14"/>
      <c r="B546" s="14"/>
      <c r="C546" s="14"/>
      <c r="D546" s="14"/>
      <c r="E546" s="14"/>
      <c r="F546" s="14"/>
      <c r="G546" s="14"/>
    </row>
    <row r="547" ht="12.75" customHeight="1">
      <c r="A547" s="14"/>
      <c r="B547" s="14"/>
      <c r="C547" s="14"/>
      <c r="D547" s="14"/>
      <c r="E547" s="14"/>
      <c r="F547" s="14"/>
      <c r="G547" s="14"/>
    </row>
    <row r="548" ht="12.75" customHeight="1">
      <c r="A548" s="14"/>
      <c r="B548" s="14"/>
      <c r="C548" s="14"/>
      <c r="D548" s="14"/>
      <c r="E548" s="14"/>
      <c r="F548" s="14"/>
      <c r="G548" s="14"/>
    </row>
    <row r="549" ht="12.75" customHeight="1">
      <c r="A549" s="14"/>
      <c r="B549" s="14"/>
      <c r="C549" s="14"/>
      <c r="D549" s="14"/>
      <c r="E549" s="14"/>
      <c r="F549" s="14"/>
      <c r="G549" s="14"/>
    </row>
    <row r="550" ht="12.75" customHeight="1">
      <c r="A550" s="14"/>
      <c r="B550" s="14"/>
      <c r="C550" s="14"/>
      <c r="D550" s="14"/>
      <c r="E550" s="14"/>
      <c r="F550" s="14"/>
      <c r="G550" s="14"/>
    </row>
    <row r="551" ht="12.75" customHeight="1">
      <c r="A551" s="14"/>
      <c r="B551" s="14"/>
      <c r="C551" s="14"/>
      <c r="D551" s="14"/>
      <c r="E551" s="14"/>
      <c r="F551" s="14"/>
      <c r="G551" s="14"/>
    </row>
    <row r="552" ht="12.75" customHeight="1">
      <c r="A552" s="14"/>
      <c r="B552" s="14"/>
      <c r="C552" s="14"/>
      <c r="D552" s="14"/>
      <c r="E552" s="14"/>
      <c r="F552" s="14"/>
      <c r="G552" s="14"/>
    </row>
    <row r="553" ht="12.75" customHeight="1">
      <c r="A553" s="14"/>
      <c r="B553" s="14"/>
      <c r="C553" s="14"/>
      <c r="D553" s="14"/>
      <c r="E553" s="14"/>
      <c r="F553" s="14"/>
      <c r="G553" s="14"/>
    </row>
    <row r="554" ht="12.75" customHeight="1">
      <c r="A554" s="14"/>
      <c r="B554" s="14"/>
      <c r="C554" s="14"/>
      <c r="D554" s="14"/>
      <c r="E554" s="14"/>
      <c r="F554" s="14"/>
      <c r="G554" s="14"/>
    </row>
    <row r="555" ht="12.75" customHeight="1">
      <c r="A555" s="14"/>
      <c r="B555" s="14"/>
      <c r="C555" s="14"/>
      <c r="D555" s="14"/>
      <c r="E555" s="14"/>
      <c r="F555" s="14"/>
      <c r="G555" s="14"/>
    </row>
    <row r="556" ht="12.75" customHeight="1">
      <c r="A556" s="14"/>
      <c r="B556" s="14"/>
      <c r="C556" s="14"/>
      <c r="D556" s="14"/>
      <c r="E556" s="14"/>
      <c r="F556" s="14"/>
      <c r="G556" s="14"/>
    </row>
    <row r="557" ht="12.75" customHeight="1">
      <c r="A557" s="14"/>
      <c r="B557" s="14"/>
      <c r="C557" s="14"/>
      <c r="D557" s="14"/>
      <c r="E557" s="14"/>
      <c r="F557" s="14"/>
      <c r="G557" s="14"/>
    </row>
    <row r="558" ht="12.75" customHeight="1">
      <c r="A558" s="14"/>
      <c r="B558" s="14"/>
      <c r="C558" s="14"/>
      <c r="D558" s="14"/>
      <c r="E558" s="14"/>
      <c r="F558" s="14"/>
      <c r="G558" s="14"/>
    </row>
    <row r="559" ht="12.75" customHeight="1">
      <c r="A559" s="14"/>
      <c r="B559" s="14"/>
      <c r="C559" s="14"/>
      <c r="D559" s="14"/>
      <c r="E559" s="14"/>
      <c r="F559" s="14"/>
      <c r="G559" s="14"/>
    </row>
    <row r="560" ht="12.75" customHeight="1">
      <c r="A560" s="14"/>
      <c r="B560" s="14"/>
      <c r="C560" s="14"/>
      <c r="D560" s="14"/>
      <c r="E560" s="14"/>
      <c r="F560" s="14"/>
      <c r="G560" s="14"/>
    </row>
    <row r="561" ht="12.75" customHeight="1">
      <c r="A561" s="14"/>
      <c r="B561" s="14"/>
      <c r="C561" s="14"/>
      <c r="D561" s="14"/>
      <c r="E561" s="14"/>
      <c r="F561" s="14"/>
      <c r="G561" s="14"/>
    </row>
    <row r="562" ht="12.75" customHeight="1">
      <c r="A562" s="14"/>
      <c r="B562" s="14"/>
      <c r="C562" s="14"/>
      <c r="D562" s="14"/>
      <c r="E562" s="14"/>
      <c r="F562" s="14"/>
      <c r="G562" s="14"/>
    </row>
    <row r="563" ht="12.75" customHeight="1">
      <c r="A563" s="14"/>
      <c r="B563" s="14"/>
      <c r="C563" s="14"/>
      <c r="D563" s="14"/>
      <c r="E563" s="14"/>
      <c r="F563" s="14"/>
      <c r="G563" s="14"/>
    </row>
    <row r="564" ht="12.75" customHeight="1">
      <c r="A564" s="14"/>
      <c r="B564" s="14"/>
      <c r="C564" s="14"/>
      <c r="D564" s="14"/>
      <c r="E564" s="14"/>
      <c r="F564" s="14"/>
      <c r="G564" s="14"/>
    </row>
    <row r="565" ht="12.75" customHeight="1">
      <c r="A565" s="14"/>
      <c r="B565" s="14"/>
      <c r="C565" s="14"/>
      <c r="D565" s="14"/>
      <c r="E565" s="14"/>
      <c r="F565" s="14"/>
      <c r="G565" s="14"/>
    </row>
    <row r="566" ht="12.75" customHeight="1">
      <c r="A566" s="14"/>
      <c r="B566" s="14"/>
      <c r="C566" s="14"/>
      <c r="D566" s="14"/>
      <c r="E566" s="14"/>
      <c r="F566" s="14"/>
      <c r="G566" s="14"/>
    </row>
    <row r="567" ht="12.75" customHeight="1">
      <c r="A567" s="14"/>
      <c r="B567" s="14"/>
      <c r="C567" s="14"/>
      <c r="D567" s="14"/>
      <c r="E567" s="14"/>
      <c r="F567" s="14"/>
      <c r="G567" s="14"/>
    </row>
    <row r="568" ht="12.75" customHeight="1">
      <c r="A568" s="14"/>
      <c r="B568" s="14"/>
      <c r="C568" s="14"/>
      <c r="D568" s="14"/>
      <c r="E568" s="14"/>
      <c r="F568" s="14"/>
      <c r="G568" s="14"/>
    </row>
    <row r="569" ht="12.75" customHeight="1">
      <c r="A569" s="14"/>
      <c r="B569" s="14"/>
      <c r="C569" s="14"/>
      <c r="D569" s="14"/>
      <c r="E569" s="14"/>
      <c r="F569" s="14"/>
      <c r="G569" s="14"/>
    </row>
    <row r="570" ht="12.75" customHeight="1">
      <c r="A570" s="14"/>
      <c r="B570" s="14"/>
      <c r="C570" s="14"/>
      <c r="D570" s="14"/>
      <c r="E570" s="14"/>
      <c r="F570" s="14"/>
      <c r="G570" s="14"/>
    </row>
    <row r="571" ht="12.75" customHeight="1">
      <c r="A571" s="14"/>
      <c r="B571" s="14"/>
      <c r="C571" s="14"/>
      <c r="D571" s="14"/>
      <c r="E571" s="14"/>
      <c r="F571" s="14"/>
      <c r="G571" s="14"/>
    </row>
    <row r="572" ht="12.75" customHeight="1">
      <c r="A572" s="14"/>
      <c r="B572" s="14"/>
      <c r="C572" s="14"/>
      <c r="D572" s="14"/>
      <c r="E572" s="14"/>
      <c r="F572" s="14"/>
      <c r="G572" s="14"/>
    </row>
    <row r="573" ht="12.75" customHeight="1">
      <c r="A573" s="14"/>
      <c r="B573" s="14"/>
      <c r="C573" s="14"/>
      <c r="D573" s="14"/>
      <c r="E573" s="14"/>
      <c r="F573" s="14"/>
      <c r="G573" s="14"/>
    </row>
    <row r="574" ht="12.75" customHeight="1">
      <c r="A574" s="14"/>
      <c r="B574" s="14"/>
      <c r="C574" s="14"/>
      <c r="D574" s="14"/>
      <c r="E574" s="14"/>
      <c r="F574" s="14"/>
      <c r="G574" s="14"/>
    </row>
    <row r="575" ht="12.75" customHeight="1">
      <c r="A575" s="14"/>
      <c r="B575" s="14"/>
      <c r="C575" s="14"/>
      <c r="D575" s="14"/>
      <c r="E575" s="14"/>
      <c r="F575" s="14"/>
      <c r="G575" s="14"/>
    </row>
    <row r="576" ht="12.75" customHeight="1">
      <c r="A576" s="14"/>
      <c r="B576" s="14"/>
      <c r="C576" s="14"/>
      <c r="D576" s="14"/>
      <c r="E576" s="14"/>
      <c r="F576" s="14"/>
      <c r="G576" s="14"/>
    </row>
    <row r="577" ht="12.75" customHeight="1">
      <c r="A577" s="14"/>
      <c r="B577" s="14"/>
      <c r="C577" s="14"/>
      <c r="D577" s="14"/>
      <c r="E577" s="14"/>
      <c r="F577" s="14"/>
      <c r="G577" s="14"/>
    </row>
    <row r="578" ht="12.75" customHeight="1">
      <c r="A578" s="14"/>
      <c r="B578" s="14"/>
      <c r="C578" s="14"/>
      <c r="D578" s="14"/>
      <c r="E578" s="14"/>
      <c r="F578" s="14"/>
      <c r="G578" s="14"/>
    </row>
    <row r="579" ht="12.75" customHeight="1">
      <c r="A579" s="14"/>
      <c r="B579" s="14"/>
      <c r="C579" s="14"/>
      <c r="D579" s="14"/>
      <c r="E579" s="14"/>
      <c r="F579" s="14"/>
      <c r="G579" s="14"/>
    </row>
    <row r="580" ht="12.75" customHeight="1">
      <c r="A580" s="14"/>
      <c r="B580" s="14"/>
      <c r="C580" s="14"/>
      <c r="D580" s="14"/>
      <c r="E580" s="14"/>
      <c r="F580" s="14"/>
      <c r="G580" s="14"/>
    </row>
    <row r="581" ht="12.75" customHeight="1">
      <c r="A581" s="14"/>
      <c r="B581" s="14"/>
      <c r="C581" s="14"/>
      <c r="D581" s="14"/>
      <c r="E581" s="14"/>
      <c r="F581" s="14"/>
      <c r="G581" s="14"/>
    </row>
    <row r="582" ht="12.75" customHeight="1">
      <c r="A582" s="14"/>
      <c r="B582" s="14"/>
      <c r="C582" s="14"/>
      <c r="D582" s="14"/>
      <c r="E582" s="14"/>
      <c r="F582" s="14"/>
      <c r="G582" s="14"/>
    </row>
    <row r="583" ht="12.75" customHeight="1">
      <c r="A583" s="14"/>
      <c r="B583" s="14"/>
      <c r="C583" s="14"/>
      <c r="D583" s="14"/>
      <c r="E583" s="14"/>
      <c r="F583" s="14"/>
      <c r="G583" s="14"/>
    </row>
    <row r="584" ht="12.75" customHeight="1">
      <c r="A584" s="14"/>
      <c r="B584" s="14"/>
      <c r="C584" s="14"/>
      <c r="D584" s="14"/>
      <c r="E584" s="14"/>
      <c r="F584" s="14"/>
      <c r="G584" s="14"/>
    </row>
    <row r="585" ht="12.75" customHeight="1">
      <c r="A585" s="14"/>
      <c r="B585" s="14"/>
      <c r="C585" s="14"/>
      <c r="D585" s="14"/>
      <c r="E585" s="14"/>
      <c r="F585" s="14"/>
      <c r="G585" s="14"/>
    </row>
    <row r="586" ht="12.75" customHeight="1">
      <c r="A586" s="14"/>
      <c r="B586" s="14"/>
      <c r="C586" s="14"/>
      <c r="D586" s="14"/>
      <c r="E586" s="14"/>
      <c r="F586" s="14"/>
      <c r="G586" s="14"/>
    </row>
    <row r="587" ht="12.75" customHeight="1">
      <c r="A587" s="14"/>
      <c r="B587" s="14"/>
      <c r="C587" s="14"/>
      <c r="D587" s="14"/>
      <c r="E587" s="14"/>
      <c r="F587" s="14"/>
      <c r="G587" s="14"/>
    </row>
    <row r="588" ht="12.75" customHeight="1">
      <c r="A588" s="14"/>
      <c r="B588" s="14"/>
      <c r="C588" s="14"/>
      <c r="D588" s="14"/>
      <c r="E588" s="14"/>
      <c r="F588" s="14"/>
      <c r="G588" s="14"/>
    </row>
    <row r="589" ht="12.75" customHeight="1">
      <c r="A589" s="14"/>
      <c r="B589" s="14"/>
      <c r="C589" s="14"/>
      <c r="D589" s="14"/>
      <c r="E589" s="14"/>
      <c r="F589" s="14"/>
      <c r="G589" s="14"/>
    </row>
    <row r="590" ht="12.75" customHeight="1">
      <c r="A590" s="14"/>
      <c r="B590" s="14"/>
      <c r="C590" s="14"/>
      <c r="D590" s="14"/>
      <c r="E590" s="14"/>
      <c r="F590" s="14"/>
      <c r="G590" s="14"/>
    </row>
    <row r="591" ht="12.75" customHeight="1">
      <c r="A591" s="14"/>
      <c r="B591" s="14"/>
      <c r="C591" s="14"/>
      <c r="D591" s="14"/>
      <c r="E591" s="14"/>
      <c r="F591" s="14"/>
      <c r="G591" s="14"/>
    </row>
    <row r="592" ht="12.75" customHeight="1">
      <c r="A592" s="14"/>
      <c r="B592" s="14"/>
      <c r="C592" s="14"/>
      <c r="D592" s="14"/>
      <c r="E592" s="14"/>
      <c r="F592" s="14"/>
      <c r="G592" s="14"/>
    </row>
    <row r="593" ht="12.75" customHeight="1">
      <c r="A593" s="14"/>
      <c r="B593" s="14"/>
      <c r="C593" s="14"/>
      <c r="D593" s="14"/>
      <c r="E593" s="14"/>
      <c r="F593" s="14"/>
      <c r="G593" s="14"/>
    </row>
    <row r="594" ht="12.75" customHeight="1">
      <c r="A594" s="14"/>
      <c r="B594" s="14"/>
      <c r="C594" s="14"/>
      <c r="D594" s="14"/>
      <c r="E594" s="14"/>
      <c r="F594" s="14"/>
      <c r="G594" s="14"/>
    </row>
    <row r="595" ht="12.75" customHeight="1">
      <c r="A595" s="14"/>
      <c r="B595" s="14"/>
      <c r="C595" s="14"/>
      <c r="D595" s="14"/>
      <c r="E595" s="14"/>
      <c r="F595" s="14"/>
      <c r="G595" s="14"/>
    </row>
    <row r="596" ht="12.75" customHeight="1">
      <c r="A596" s="14"/>
      <c r="B596" s="14"/>
      <c r="C596" s="14"/>
      <c r="D596" s="14"/>
      <c r="E596" s="14"/>
      <c r="F596" s="14"/>
      <c r="G596" s="14"/>
    </row>
    <row r="597" ht="12.75" customHeight="1">
      <c r="A597" s="14"/>
      <c r="B597" s="14"/>
      <c r="C597" s="14"/>
      <c r="D597" s="14"/>
      <c r="E597" s="14"/>
      <c r="F597" s="14"/>
      <c r="G597" s="14"/>
    </row>
    <row r="598" ht="12.75" customHeight="1">
      <c r="A598" s="14"/>
      <c r="B598" s="14"/>
      <c r="C598" s="14"/>
      <c r="D598" s="14"/>
      <c r="E598" s="14"/>
      <c r="F598" s="14"/>
      <c r="G598" s="14"/>
    </row>
    <row r="599" ht="12.75" customHeight="1">
      <c r="A599" s="14"/>
      <c r="B599" s="14"/>
      <c r="C599" s="14"/>
      <c r="D599" s="14"/>
      <c r="E599" s="14"/>
      <c r="F599" s="14"/>
      <c r="G599" s="14"/>
    </row>
    <row r="600" ht="12.75" customHeight="1">
      <c r="A600" s="14"/>
      <c r="B600" s="14"/>
      <c r="C600" s="14"/>
      <c r="D600" s="14"/>
      <c r="E600" s="14"/>
      <c r="F600" s="14"/>
      <c r="G600" s="14"/>
    </row>
    <row r="601" ht="12.75" customHeight="1">
      <c r="A601" s="14"/>
      <c r="B601" s="14"/>
      <c r="C601" s="14"/>
      <c r="D601" s="14"/>
      <c r="E601" s="14"/>
      <c r="F601" s="14"/>
      <c r="G601" s="14"/>
    </row>
    <row r="602" ht="12.75" customHeight="1">
      <c r="A602" s="14"/>
      <c r="B602" s="14"/>
      <c r="C602" s="14"/>
      <c r="D602" s="14"/>
      <c r="E602" s="14"/>
      <c r="F602" s="14"/>
      <c r="G602" s="14"/>
    </row>
    <row r="603" ht="12.75" customHeight="1">
      <c r="A603" s="14"/>
      <c r="B603" s="14"/>
      <c r="C603" s="14"/>
      <c r="D603" s="14"/>
      <c r="E603" s="14"/>
      <c r="F603" s="14"/>
      <c r="G603" s="14"/>
    </row>
    <row r="604" ht="12.75" customHeight="1">
      <c r="A604" s="14"/>
      <c r="B604" s="14"/>
      <c r="C604" s="14"/>
      <c r="D604" s="14"/>
      <c r="E604" s="14"/>
      <c r="F604" s="14"/>
      <c r="G604" s="14"/>
    </row>
    <row r="605" ht="12.75" customHeight="1">
      <c r="A605" s="14"/>
      <c r="B605" s="14"/>
      <c r="C605" s="14"/>
      <c r="D605" s="14"/>
      <c r="E605" s="14"/>
      <c r="F605" s="14"/>
      <c r="G605" s="14"/>
    </row>
    <row r="606" ht="12.75" customHeight="1">
      <c r="A606" s="14"/>
      <c r="B606" s="14"/>
      <c r="C606" s="14"/>
      <c r="D606" s="14"/>
      <c r="E606" s="14"/>
      <c r="F606" s="14"/>
      <c r="G606" s="14"/>
    </row>
    <row r="607" ht="12.75" customHeight="1">
      <c r="A607" s="14"/>
      <c r="B607" s="14"/>
      <c r="C607" s="14"/>
      <c r="D607" s="14"/>
      <c r="E607" s="14"/>
      <c r="F607" s="14"/>
      <c r="G607" s="14"/>
    </row>
    <row r="608" ht="12.75" customHeight="1">
      <c r="A608" s="14"/>
      <c r="B608" s="14"/>
      <c r="C608" s="14"/>
      <c r="D608" s="14"/>
      <c r="E608" s="14"/>
      <c r="F608" s="14"/>
      <c r="G608" s="14"/>
    </row>
    <row r="609" ht="12.75" customHeight="1">
      <c r="A609" s="14"/>
      <c r="B609" s="14"/>
      <c r="C609" s="14"/>
      <c r="D609" s="14"/>
      <c r="E609" s="14"/>
      <c r="F609" s="14"/>
      <c r="G609" s="14"/>
    </row>
    <row r="610" ht="12.75" customHeight="1">
      <c r="A610" s="14"/>
      <c r="B610" s="14"/>
      <c r="C610" s="14"/>
      <c r="D610" s="14"/>
      <c r="E610" s="14"/>
      <c r="F610" s="14"/>
      <c r="G610" s="14"/>
    </row>
    <row r="611" ht="12.75" customHeight="1">
      <c r="A611" s="14"/>
      <c r="B611" s="14"/>
      <c r="C611" s="14"/>
      <c r="D611" s="14"/>
      <c r="E611" s="14"/>
      <c r="F611" s="14"/>
      <c r="G611" s="14"/>
    </row>
    <row r="612" ht="12.75" customHeight="1">
      <c r="A612" s="14"/>
      <c r="B612" s="14"/>
      <c r="C612" s="14"/>
      <c r="D612" s="14"/>
      <c r="E612" s="14"/>
      <c r="F612" s="14"/>
      <c r="G612" s="14"/>
    </row>
    <row r="613" ht="12.75" customHeight="1">
      <c r="A613" s="14"/>
      <c r="B613" s="14"/>
      <c r="C613" s="14"/>
      <c r="D613" s="14"/>
      <c r="E613" s="14"/>
      <c r="F613" s="14"/>
      <c r="G613" s="14"/>
    </row>
    <row r="614" ht="12.75" customHeight="1">
      <c r="A614" s="14"/>
      <c r="B614" s="14"/>
      <c r="C614" s="14"/>
      <c r="D614" s="14"/>
      <c r="E614" s="14"/>
      <c r="F614" s="14"/>
      <c r="G614" s="14"/>
    </row>
    <row r="615" ht="12.75" customHeight="1">
      <c r="A615" s="14"/>
      <c r="B615" s="14"/>
      <c r="C615" s="14"/>
      <c r="D615" s="14"/>
      <c r="E615" s="14"/>
      <c r="F615" s="14"/>
      <c r="G615" s="14"/>
    </row>
    <row r="616" ht="12.75" customHeight="1">
      <c r="A616" s="14"/>
      <c r="B616" s="14"/>
      <c r="C616" s="14"/>
      <c r="D616" s="14"/>
      <c r="E616" s="14"/>
      <c r="F616" s="14"/>
      <c r="G616" s="14"/>
    </row>
    <row r="617" ht="12.75" customHeight="1">
      <c r="A617" s="14"/>
      <c r="B617" s="14"/>
      <c r="C617" s="14"/>
      <c r="D617" s="14"/>
      <c r="E617" s="14"/>
      <c r="F617" s="14"/>
      <c r="G617" s="14"/>
    </row>
    <row r="618" ht="12.75" customHeight="1">
      <c r="A618" s="14"/>
      <c r="B618" s="14"/>
      <c r="C618" s="14"/>
      <c r="D618" s="14"/>
      <c r="E618" s="14"/>
      <c r="F618" s="14"/>
      <c r="G618" s="14"/>
    </row>
    <row r="619" ht="12.75" customHeight="1">
      <c r="A619" s="14"/>
      <c r="B619" s="14"/>
      <c r="C619" s="14"/>
      <c r="D619" s="14"/>
      <c r="E619" s="14"/>
      <c r="F619" s="14"/>
      <c r="G619" s="14"/>
    </row>
    <row r="620" ht="12.75" customHeight="1">
      <c r="A620" s="14"/>
      <c r="B620" s="14"/>
      <c r="C620" s="14"/>
      <c r="D620" s="14"/>
      <c r="E620" s="14"/>
      <c r="F620" s="14"/>
      <c r="G620" s="14"/>
    </row>
    <row r="621" ht="12.75" customHeight="1">
      <c r="A621" s="14"/>
      <c r="B621" s="14"/>
      <c r="C621" s="14"/>
      <c r="D621" s="14"/>
      <c r="E621" s="14"/>
      <c r="F621" s="14"/>
      <c r="G621" s="14"/>
    </row>
    <row r="622" ht="12.75" customHeight="1">
      <c r="A622" s="14"/>
      <c r="B622" s="14"/>
      <c r="C622" s="14"/>
      <c r="D622" s="14"/>
      <c r="E622" s="14"/>
      <c r="F622" s="14"/>
      <c r="G622" s="14"/>
    </row>
    <row r="623" ht="12.75" customHeight="1">
      <c r="A623" s="14"/>
      <c r="B623" s="14"/>
      <c r="C623" s="14"/>
      <c r="D623" s="14"/>
      <c r="E623" s="14"/>
      <c r="F623" s="14"/>
      <c r="G623" s="14"/>
    </row>
    <row r="624" ht="12.75" customHeight="1">
      <c r="A624" s="14"/>
      <c r="B624" s="14"/>
      <c r="C624" s="14"/>
      <c r="D624" s="14"/>
      <c r="E624" s="14"/>
      <c r="F624" s="14"/>
      <c r="G624" s="14"/>
    </row>
    <row r="625" ht="12.75" customHeight="1">
      <c r="A625" s="14"/>
      <c r="B625" s="14"/>
      <c r="C625" s="14"/>
      <c r="D625" s="14"/>
      <c r="E625" s="14"/>
      <c r="F625" s="14"/>
      <c r="G625" s="14"/>
    </row>
    <row r="626" ht="12.75" customHeight="1">
      <c r="A626" s="14"/>
      <c r="B626" s="14"/>
      <c r="C626" s="14"/>
      <c r="D626" s="14"/>
      <c r="E626" s="14"/>
      <c r="F626" s="14"/>
      <c r="G626" s="14"/>
    </row>
    <row r="627" ht="12.75" customHeight="1">
      <c r="A627" s="14"/>
      <c r="B627" s="14"/>
      <c r="C627" s="14"/>
      <c r="D627" s="14"/>
      <c r="E627" s="14"/>
      <c r="F627" s="14"/>
      <c r="G627" s="14"/>
    </row>
    <row r="628" ht="12.75" customHeight="1">
      <c r="A628" s="14"/>
      <c r="B628" s="14"/>
      <c r="C628" s="14"/>
      <c r="D628" s="14"/>
      <c r="E628" s="14"/>
      <c r="F628" s="14"/>
      <c r="G628" s="14"/>
    </row>
    <row r="629" ht="12.75" customHeight="1">
      <c r="A629" s="14"/>
      <c r="B629" s="14"/>
      <c r="C629" s="14"/>
      <c r="D629" s="14"/>
      <c r="E629" s="14"/>
      <c r="F629" s="14"/>
      <c r="G629" s="14"/>
    </row>
    <row r="630" ht="12.75" customHeight="1">
      <c r="A630" s="14"/>
      <c r="B630" s="14"/>
      <c r="C630" s="14"/>
      <c r="D630" s="14"/>
      <c r="E630" s="14"/>
      <c r="F630" s="14"/>
      <c r="G630" s="14"/>
    </row>
    <row r="631" ht="12.75" customHeight="1">
      <c r="A631" s="14"/>
      <c r="B631" s="14"/>
      <c r="C631" s="14"/>
      <c r="D631" s="14"/>
      <c r="E631" s="14"/>
      <c r="F631" s="14"/>
      <c r="G631" s="14"/>
    </row>
    <row r="632" ht="12.75" customHeight="1">
      <c r="A632" s="14"/>
      <c r="B632" s="14"/>
      <c r="C632" s="14"/>
      <c r="D632" s="14"/>
      <c r="E632" s="14"/>
      <c r="F632" s="14"/>
      <c r="G632" s="14"/>
    </row>
    <row r="633" ht="12.75" customHeight="1">
      <c r="A633" s="14"/>
      <c r="B633" s="14"/>
      <c r="C633" s="14"/>
      <c r="D633" s="14"/>
      <c r="E633" s="14"/>
      <c r="F633" s="14"/>
      <c r="G633" s="14"/>
    </row>
    <row r="634" ht="12.75" customHeight="1">
      <c r="A634" s="14"/>
      <c r="B634" s="14"/>
      <c r="C634" s="14"/>
      <c r="D634" s="14"/>
      <c r="E634" s="14"/>
      <c r="F634" s="14"/>
      <c r="G634" s="14"/>
    </row>
    <row r="635" ht="12.75" customHeight="1">
      <c r="A635" s="14"/>
      <c r="B635" s="14"/>
      <c r="C635" s="14"/>
      <c r="D635" s="14"/>
      <c r="E635" s="14"/>
      <c r="F635" s="14"/>
      <c r="G635" s="14"/>
    </row>
    <row r="636" ht="12.75" customHeight="1">
      <c r="A636" s="14"/>
      <c r="B636" s="14"/>
      <c r="C636" s="14"/>
      <c r="D636" s="14"/>
      <c r="E636" s="14"/>
      <c r="F636" s="14"/>
      <c r="G636" s="14"/>
    </row>
    <row r="637" ht="12.75" customHeight="1">
      <c r="A637" s="14"/>
      <c r="B637" s="14"/>
      <c r="C637" s="14"/>
      <c r="D637" s="14"/>
      <c r="E637" s="14"/>
      <c r="F637" s="14"/>
      <c r="G637" s="14"/>
    </row>
    <row r="638" ht="12.75" customHeight="1">
      <c r="A638" s="14"/>
      <c r="B638" s="14"/>
      <c r="C638" s="14"/>
      <c r="D638" s="14"/>
      <c r="E638" s="14"/>
      <c r="F638" s="14"/>
      <c r="G638" s="14"/>
    </row>
    <row r="639" ht="12.75" customHeight="1">
      <c r="A639" s="14"/>
      <c r="B639" s="14"/>
      <c r="C639" s="14"/>
      <c r="D639" s="14"/>
      <c r="E639" s="14"/>
      <c r="F639" s="14"/>
      <c r="G639" s="14"/>
    </row>
    <row r="640" ht="12.75" customHeight="1">
      <c r="A640" s="14"/>
      <c r="B640" s="14"/>
      <c r="C640" s="14"/>
      <c r="D640" s="14"/>
      <c r="E640" s="14"/>
      <c r="F640" s="14"/>
      <c r="G640" s="14"/>
    </row>
    <row r="641" ht="12.75" customHeight="1">
      <c r="A641" s="14"/>
      <c r="B641" s="14"/>
      <c r="C641" s="14"/>
      <c r="D641" s="14"/>
      <c r="E641" s="14"/>
      <c r="F641" s="14"/>
      <c r="G641" s="14"/>
    </row>
    <row r="642" ht="12.75" customHeight="1">
      <c r="A642" s="14"/>
      <c r="B642" s="14"/>
      <c r="C642" s="14"/>
      <c r="D642" s="14"/>
      <c r="E642" s="14"/>
      <c r="F642" s="14"/>
      <c r="G642" s="14"/>
    </row>
    <row r="643" ht="12.75" customHeight="1">
      <c r="A643" s="14"/>
      <c r="B643" s="14"/>
      <c r="C643" s="14"/>
      <c r="D643" s="14"/>
      <c r="E643" s="14"/>
      <c r="F643" s="14"/>
      <c r="G643" s="14"/>
    </row>
    <row r="644" ht="12.75" customHeight="1">
      <c r="A644" s="14"/>
      <c r="B644" s="14"/>
      <c r="C644" s="14"/>
      <c r="D644" s="14"/>
      <c r="E644" s="14"/>
      <c r="F644" s="14"/>
      <c r="G644" s="14"/>
    </row>
    <row r="645" ht="12.75" customHeight="1">
      <c r="A645" s="14"/>
      <c r="B645" s="14"/>
      <c r="C645" s="14"/>
      <c r="D645" s="14"/>
      <c r="E645" s="14"/>
      <c r="F645" s="14"/>
      <c r="G645" s="14"/>
    </row>
    <row r="646" ht="12.75" customHeight="1">
      <c r="A646" s="14"/>
      <c r="B646" s="14"/>
      <c r="C646" s="14"/>
      <c r="D646" s="14"/>
      <c r="E646" s="14"/>
      <c r="F646" s="14"/>
      <c r="G646" s="14"/>
    </row>
    <row r="647" ht="12.75" customHeight="1">
      <c r="A647" s="14"/>
      <c r="B647" s="14"/>
      <c r="C647" s="14"/>
      <c r="D647" s="14"/>
      <c r="E647" s="14"/>
      <c r="F647" s="14"/>
      <c r="G647" s="14"/>
    </row>
    <row r="648" ht="12.75" customHeight="1">
      <c r="A648" s="14"/>
      <c r="B648" s="14"/>
      <c r="C648" s="14"/>
      <c r="D648" s="14"/>
      <c r="E648" s="14"/>
      <c r="F648" s="14"/>
      <c r="G648" s="14"/>
    </row>
    <row r="649" ht="12.75" customHeight="1">
      <c r="A649" s="14"/>
      <c r="B649" s="14"/>
      <c r="C649" s="14"/>
      <c r="D649" s="14"/>
      <c r="E649" s="14"/>
      <c r="F649" s="14"/>
      <c r="G649" s="14"/>
    </row>
    <row r="650" ht="12.75" customHeight="1">
      <c r="A650" s="14"/>
      <c r="B650" s="14"/>
      <c r="C650" s="14"/>
      <c r="D650" s="14"/>
      <c r="E650" s="14"/>
      <c r="F650" s="14"/>
      <c r="G650" s="14"/>
    </row>
    <row r="651" ht="12.75" customHeight="1">
      <c r="A651" s="14"/>
      <c r="B651" s="14"/>
      <c r="C651" s="14"/>
      <c r="D651" s="14"/>
      <c r="E651" s="14"/>
      <c r="F651" s="14"/>
      <c r="G651" s="14"/>
    </row>
    <row r="652" ht="12.75" customHeight="1">
      <c r="A652" s="14"/>
      <c r="B652" s="14"/>
      <c r="C652" s="14"/>
      <c r="D652" s="14"/>
      <c r="E652" s="14"/>
      <c r="F652" s="14"/>
      <c r="G652" s="14"/>
    </row>
    <row r="653" ht="12.75" customHeight="1">
      <c r="A653" s="14"/>
      <c r="B653" s="14"/>
      <c r="C653" s="14"/>
      <c r="D653" s="14"/>
      <c r="E653" s="14"/>
      <c r="F653" s="14"/>
      <c r="G653" s="14"/>
    </row>
    <row r="654" ht="12.75" customHeight="1">
      <c r="A654" s="14"/>
      <c r="B654" s="14"/>
      <c r="C654" s="14"/>
      <c r="D654" s="14"/>
      <c r="E654" s="14"/>
      <c r="F654" s="14"/>
      <c r="G654" s="14"/>
    </row>
    <row r="655" ht="12.75" customHeight="1">
      <c r="A655" s="14"/>
      <c r="B655" s="14"/>
      <c r="C655" s="14"/>
      <c r="D655" s="14"/>
      <c r="E655" s="14"/>
      <c r="F655" s="14"/>
      <c r="G655" s="14"/>
    </row>
    <row r="656" ht="12.75" customHeight="1">
      <c r="A656" s="14"/>
      <c r="B656" s="14"/>
      <c r="C656" s="14"/>
      <c r="D656" s="14"/>
      <c r="E656" s="14"/>
      <c r="F656" s="14"/>
      <c r="G656" s="14"/>
    </row>
    <row r="657" ht="12.75" customHeight="1">
      <c r="A657" s="14"/>
      <c r="B657" s="14"/>
      <c r="C657" s="14"/>
      <c r="D657" s="14"/>
      <c r="E657" s="14"/>
      <c r="F657" s="14"/>
      <c r="G657" s="14"/>
    </row>
    <row r="658" ht="12.75" customHeight="1">
      <c r="A658" s="14"/>
      <c r="B658" s="14"/>
      <c r="C658" s="14"/>
      <c r="D658" s="14"/>
      <c r="E658" s="14"/>
      <c r="F658" s="14"/>
      <c r="G658" s="14"/>
    </row>
    <row r="659" ht="12.75" customHeight="1">
      <c r="A659" s="14"/>
      <c r="B659" s="14"/>
      <c r="C659" s="14"/>
      <c r="D659" s="14"/>
      <c r="E659" s="14"/>
      <c r="F659" s="14"/>
      <c r="G659" s="14"/>
    </row>
    <row r="660" ht="12.75" customHeight="1">
      <c r="A660" s="14"/>
      <c r="B660" s="14"/>
      <c r="C660" s="14"/>
      <c r="D660" s="14"/>
      <c r="E660" s="14"/>
      <c r="F660" s="14"/>
      <c r="G660" s="14"/>
    </row>
    <row r="661" ht="12.75" customHeight="1">
      <c r="A661" s="14"/>
      <c r="B661" s="14"/>
      <c r="C661" s="14"/>
      <c r="D661" s="14"/>
      <c r="E661" s="14"/>
      <c r="F661" s="14"/>
      <c r="G661" s="14"/>
    </row>
    <row r="662" ht="12.75" customHeight="1">
      <c r="A662" s="14"/>
      <c r="B662" s="14"/>
      <c r="C662" s="14"/>
      <c r="D662" s="14"/>
      <c r="E662" s="14"/>
      <c r="F662" s="14"/>
      <c r="G662" s="14"/>
    </row>
    <row r="663" ht="12.75" customHeight="1">
      <c r="A663" s="14"/>
      <c r="B663" s="14"/>
      <c r="C663" s="14"/>
      <c r="D663" s="14"/>
      <c r="E663" s="14"/>
      <c r="F663" s="14"/>
      <c r="G663" s="14"/>
    </row>
    <row r="664" ht="12.75" customHeight="1">
      <c r="A664" s="14"/>
      <c r="B664" s="14"/>
      <c r="C664" s="14"/>
      <c r="D664" s="14"/>
      <c r="E664" s="14"/>
      <c r="F664" s="14"/>
      <c r="G664" s="14"/>
    </row>
    <row r="665" ht="12.75" customHeight="1">
      <c r="A665" s="14"/>
      <c r="B665" s="14"/>
      <c r="C665" s="14"/>
      <c r="D665" s="14"/>
      <c r="E665" s="14"/>
      <c r="F665" s="14"/>
      <c r="G665" s="14"/>
    </row>
    <row r="666" ht="12.75" customHeight="1">
      <c r="A666" s="14"/>
      <c r="B666" s="14"/>
      <c r="C666" s="14"/>
      <c r="D666" s="14"/>
      <c r="E666" s="14"/>
      <c r="F666" s="14"/>
      <c r="G666" s="14"/>
    </row>
    <row r="667" ht="12.75" customHeight="1">
      <c r="A667" s="14"/>
      <c r="B667" s="14"/>
      <c r="C667" s="14"/>
      <c r="D667" s="14"/>
      <c r="E667" s="14"/>
      <c r="F667" s="14"/>
      <c r="G667" s="14"/>
    </row>
    <row r="668" ht="12.75" customHeight="1">
      <c r="A668" s="14"/>
      <c r="B668" s="14"/>
      <c r="C668" s="14"/>
      <c r="D668" s="14"/>
      <c r="E668" s="14"/>
      <c r="F668" s="14"/>
      <c r="G668" s="14"/>
    </row>
    <row r="669" ht="12.75" customHeight="1">
      <c r="A669" s="14"/>
      <c r="B669" s="14"/>
      <c r="C669" s="14"/>
      <c r="D669" s="14"/>
      <c r="E669" s="14"/>
      <c r="F669" s="14"/>
      <c r="G669" s="14"/>
    </row>
    <row r="670" ht="12.75" customHeight="1">
      <c r="A670" s="14"/>
      <c r="B670" s="14"/>
      <c r="C670" s="14"/>
      <c r="D670" s="14"/>
      <c r="E670" s="14"/>
      <c r="F670" s="14"/>
      <c r="G670" s="14"/>
    </row>
    <row r="671" ht="12.75" customHeight="1">
      <c r="A671" s="14"/>
      <c r="B671" s="14"/>
      <c r="C671" s="14"/>
      <c r="D671" s="14"/>
      <c r="E671" s="14"/>
      <c r="F671" s="14"/>
      <c r="G671" s="14"/>
    </row>
    <row r="672" ht="12.75" customHeight="1">
      <c r="A672" s="14"/>
      <c r="B672" s="14"/>
      <c r="C672" s="14"/>
      <c r="D672" s="14"/>
      <c r="E672" s="14"/>
      <c r="F672" s="14"/>
      <c r="G672" s="14"/>
    </row>
    <row r="673" ht="12.75" customHeight="1">
      <c r="A673" s="14"/>
      <c r="B673" s="14"/>
      <c r="C673" s="14"/>
      <c r="D673" s="14"/>
      <c r="E673" s="14"/>
      <c r="F673" s="14"/>
      <c r="G673" s="14"/>
    </row>
    <row r="674" ht="12.75" customHeight="1">
      <c r="A674" s="14"/>
      <c r="B674" s="14"/>
      <c r="C674" s="14"/>
      <c r="D674" s="14"/>
      <c r="E674" s="14"/>
      <c r="F674" s="14"/>
      <c r="G674" s="14"/>
    </row>
    <row r="675" ht="12.75" customHeight="1">
      <c r="A675" s="14"/>
      <c r="B675" s="14"/>
      <c r="C675" s="14"/>
      <c r="D675" s="14"/>
      <c r="E675" s="14"/>
      <c r="F675" s="14"/>
      <c r="G675" s="14"/>
    </row>
    <row r="676" ht="12.75" customHeight="1">
      <c r="A676" s="14"/>
      <c r="B676" s="14"/>
      <c r="C676" s="14"/>
      <c r="D676" s="14"/>
      <c r="E676" s="14"/>
      <c r="F676" s="14"/>
      <c r="G676" s="14"/>
    </row>
    <row r="677" ht="12.75" customHeight="1">
      <c r="A677" s="14"/>
      <c r="B677" s="14"/>
      <c r="C677" s="14"/>
      <c r="D677" s="14"/>
      <c r="E677" s="14"/>
      <c r="F677" s="14"/>
      <c r="G677" s="14"/>
    </row>
    <row r="678" ht="12.75" customHeight="1">
      <c r="A678" s="14"/>
      <c r="B678" s="14"/>
      <c r="C678" s="14"/>
      <c r="D678" s="14"/>
      <c r="E678" s="14"/>
      <c r="F678" s="14"/>
      <c r="G678" s="14"/>
    </row>
    <row r="679" ht="12.75" customHeight="1">
      <c r="A679" s="14"/>
      <c r="B679" s="14"/>
      <c r="C679" s="14"/>
      <c r="D679" s="14"/>
      <c r="E679" s="14"/>
      <c r="F679" s="14"/>
      <c r="G679" s="14"/>
    </row>
    <row r="680" ht="12.75" customHeight="1">
      <c r="A680" s="14"/>
      <c r="B680" s="14"/>
      <c r="C680" s="14"/>
      <c r="D680" s="14"/>
      <c r="E680" s="14"/>
      <c r="F680" s="14"/>
      <c r="G680" s="14"/>
    </row>
    <row r="681" ht="12.75" customHeight="1">
      <c r="A681" s="14"/>
      <c r="B681" s="14"/>
      <c r="C681" s="14"/>
      <c r="D681" s="14"/>
      <c r="E681" s="14"/>
      <c r="F681" s="14"/>
      <c r="G681" s="14"/>
    </row>
    <row r="682" ht="12.75" customHeight="1">
      <c r="A682" s="14"/>
      <c r="B682" s="14"/>
      <c r="C682" s="14"/>
      <c r="D682" s="14"/>
      <c r="E682" s="14"/>
      <c r="F682" s="14"/>
      <c r="G682" s="14"/>
    </row>
    <row r="683" ht="12.75" customHeight="1">
      <c r="A683" s="14"/>
      <c r="B683" s="14"/>
      <c r="C683" s="14"/>
      <c r="D683" s="14"/>
      <c r="E683" s="14"/>
      <c r="F683" s="14"/>
      <c r="G683" s="14"/>
    </row>
    <row r="684" ht="12.75" customHeight="1">
      <c r="A684" s="14"/>
      <c r="B684" s="14"/>
      <c r="C684" s="14"/>
      <c r="D684" s="14"/>
      <c r="E684" s="14"/>
      <c r="F684" s="14"/>
      <c r="G684" s="14"/>
    </row>
    <row r="685" ht="12.75" customHeight="1">
      <c r="A685" s="14"/>
      <c r="B685" s="14"/>
      <c r="C685" s="14"/>
      <c r="D685" s="14"/>
      <c r="E685" s="14"/>
      <c r="F685" s="14"/>
      <c r="G685" s="14"/>
    </row>
    <row r="686" ht="12.75" customHeight="1">
      <c r="A686" s="14"/>
      <c r="B686" s="14"/>
      <c r="C686" s="14"/>
      <c r="D686" s="14"/>
      <c r="E686" s="14"/>
      <c r="F686" s="14"/>
      <c r="G686" s="14"/>
    </row>
    <row r="687" ht="12.75" customHeight="1">
      <c r="A687" s="14"/>
      <c r="B687" s="14"/>
      <c r="C687" s="14"/>
      <c r="D687" s="14"/>
      <c r="E687" s="14"/>
      <c r="F687" s="14"/>
      <c r="G687" s="14"/>
    </row>
    <row r="688" ht="12.75" customHeight="1">
      <c r="A688" s="14"/>
      <c r="B688" s="14"/>
      <c r="C688" s="14"/>
      <c r="D688" s="14"/>
      <c r="E688" s="14"/>
      <c r="F688" s="14"/>
      <c r="G688" s="14"/>
    </row>
    <row r="689" ht="12.75" customHeight="1">
      <c r="A689" s="14"/>
      <c r="B689" s="14"/>
      <c r="C689" s="14"/>
      <c r="D689" s="14"/>
      <c r="E689" s="14"/>
      <c r="F689" s="14"/>
      <c r="G689" s="14"/>
    </row>
    <row r="690" ht="12.75" customHeight="1">
      <c r="A690" s="14"/>
      <c r="B690" s="14"/>
      <c r="C690" s="14"/>
      <c r="D690" s="14"/>
      <c r="E690" s="14"/>
      <c r="F690" s="14"/>
      <c r="G690" s="14"/>
    </row>
    <row r="691" ht="12.75" customHeight="1">
      <c r="A691" s="14"/>
      <c r="B691" s="14"/>
      <c r="C691" s="14"/>
      <c r="D691" s="14"/>
      <c r="E691" s="14"/>
      <c r="F691" s="14"/>
      <c r="G691" s="14"/>
    </row>
    <row r="692" ht="12.75" customHeight="1">
      <c r="A692" s="14"/>
      <c r="B692" s="14"/>
      <c r="C692" s="14"/>
      <c r="D692" s="14"/>
      <c r="E692" s="14"/>
      <c r="F692" s="14"/>
      <c r="G692" s="14"/>
    </row>
    <row r="693" ht="12.75" customHeight="1">
      <c r="A693" s="14"/>
      <c r="B693" s="14"/>
      <c r="C693" s="14"/>
      <c r="D693" s="14"/>
      <c r="E693" s="14"/>
      <c r="F693" s="14"/>
      <c r="G693" s="14"/>
    </row>
    <row r="694" ht="12.75" customHeight="1">
      <c r="A694" s="14"/>
      <c r="B694" s="14"/>
      <c r="C694" s="14"/>
      <c r="D694" s="14"/>
      <c r="E694" s="14"/>
      <c r="F694" s="14"/>
      <c r="G694" s="14"/>
    </row>
    <row r="695" ht="12.75" customHeight="1">
      <c r="A695" s="14"/>
      <c r="B695" s="14"/>
      <c r="C695" s="14"/>
      <c r="D695" s="14"/>
      <c r="E695" s="14"/>
      <c r="F695" s="14"/>
      <c r="G695" s="14"/>
    </row>
    <row r="696" ht="12.75" customHeight="1">
      <c r="A696" s="14"/>
      <c r="B696" s="14"/>
      <c r="C696" s="14"/>
      <c r="D696" s="14"/>
      <c r="E696" s="14"/>
      <c r="F696" s="14"/>
      <c r="G696" s="14"/>
    </row>
    <row r="697" ht="12.75" customHeight="1">
      <c r="A697" s="14"/>
      <c r="B697" s="14"/>
      <c r="C697" s="14"/>
      <c r="D697" s="14"/>
      <c r="E697" s="14"/>
      <c r="F697" s="14"/>
      <c r="G697" s="14"/>
    </row>
    <row r="698" ht="12.75" customHeight="1">
      <c r="A698" s="14"/>
      <c r="B698" s="14"/>
      <c r="C698" s="14"/>
      <c r="D698" s="14"/>
      <c r="E698" s="14"/>
      <c r="F698" s="14"/>
      <c r="G698" s="14"/>
    </row>
    <row r="699" ht="12.75" customHeight="1">
      <c r="A699" s="14"/>
      <c r="B699" s="14"/>
      <c r="C699" s="14"/>
      <c r="D699" s="14"/>
      <c r="E699" s="14"/>
      <c r="F699" s="14"/>
      <c r="G699" s="14"/>
    </row>
    <row r="700" ht="12.75" customHeight="1">
      <c r="A700" s="14"/>
      <c r="B700" s="14"/>
      <c r="C700" s="14"/>
      <c r="D700" s="14"/>
      <c r="E700" s="14"/>
      <c r="F700" s="14"/>
      <c r="G700" s="14"/>
    </row>
    <row r="701" ht="12.75" customHeight="1">
      <c r="A701" s="14"/>
      <c r="B701" s="14"/>
      <c r="C701" s="14"/>
      <c r="D701" s="14"/>
      <c r="E701" s="14"/>
      <c r="F701" s="14"/>
      <c r="G701" s="14"/>
    </row>
    <row r="702" ht="12.75" customHeight="1">
      <c r="A702" s="14"/>
      <c r="B702" s="14"/>
      <c r="C702" s="14"/>
      <c r="D702" s="14"/>
      <c r="E702" s="14"/>
      <c r="F702" s="14"/>
      <c r="G702" s="14"/>
    </row>
    <row r="703" ht="12.75" customHeight="1">
      <c r="A703" s="14"/>
      <c r="B703" s="14"/>
      <c r="C703" s="14"/>
      <c r="D703" s="14"/>
      <c r="E703" s="14"/>
      <c r="F703" s="14"/>
      <c r="G703" s="14"/>
    </row>
    <row r="704" ht="12.75" customHeight="1">
      <c r="A704" s="14"/>
      <c r="B704" s="14"/>
      <c r="C704" s="14"/>
      <c r="D704" s="14"/>
      <c r="E704" s="14"/>
      <c r="F704" s="14"/>
      <c r="G704" s="14"/>
    </row>
    <row r="705" ht="12.75" customHeight="1">
      <c r="A705" s="14"/>
      <c r="B705" s="14"/>
      <c r="C705" s="14"/>
      <c r="D705" s="14"/>
      <c r="E705" s="14"/>
      <c r="F705" s="14"/>
      <c r="G705" s="14"/>
    </row>
    <row r="706" ht="12.75" customHeight="1">
      <c r="A706" s="14"/>
      <c r="B706" s="14"/>
      <c r="C706" s="14"/>
      <c r="D706" s="14"/>
      <c r="E706" s="14"/>
      <c r="F706" s="14"/>
      <c r="G706" s="14"/>
    </row>
    <row r="707" ht="12.75" customHeight="1">
      <c r="A707" s="14"/>
      <c r="B707" s="14"/>
      <c r="C707" s="14"/>
      <c r="D707" s="14"/>
      <c r="E707" s="14"/>
      <c r="F707" s="14"/>
      <c r="G707" s="14"/>
    </row>
    <row r="708" ht="12.75" customHeight="1">
      <c r="A708" s="14"/>
      <c r="B708" s="14"/>
      <c r="C708" s="14"/>
      <c r="D708" s="14"/>
      <c r="E708" s="14"/>
      <c r="F708" s="14"/>
      <c r="G708" s="14"/>
    </row>
    <row r="709" ht="12.75" customHeight="1">
      <c r="A709" s="14"/>
      <c r="B709" s="14"/>
      <c r="C709" s="14"/>
      <c r="D709" s="14"/>
      <c r="E709" s="14"/>
      <c r="F709" s="14"/>
      <c r="G709" s="14"/>
    </row>
    <row r="710" ht="12.75" customHeight="1">
      <c r="A710" s="14"/>
      <c r="B710" s="14"/>
      <c r="C710" s="14"/>
      <c r="D710" s="14"/>
      <c r="E710" s="14"/>
      <c r="F710" s="14"/>
      <c r="G710" s="14"/>
    </row>
    <row r="711" ht="12.75" customHeight="1">
      <c r="A711" s="14"/>
      <c r="B711" s="14"/>
      <c r="C711" s="14"/>
      <c r="D711" s="14"/>
      <c r="E711" s="14"/>
      <c r="F711" s="14"/>
      <c r="G711" s="14"/>
    </row>
    <row r="712" ht="12.75" customHeight="1">
      <c r="A712" s="14"/>
      <c r="B712" s="14"/>
      <c r="C712" s="14"/>
      <c r="D712" s="14"/>
      <c r="E712" s="14"/>
      <c r="F712" s="14"/>
      <c r="G712" s="14"/>
    </row>
    <row r="713" ht="12.75" customHeight="1">
      <c r="A713" s="14"/>
      <c r="B713" s="14"/>
      <c r="C713" s="14"/>
      <c r="D713" s="14"/>
      <c r="E713" s="14"/>
      <c r="F713" s="14"/>
      <c r="G713" s="14"/>
    </row>
    <row r="714" ht="12.75" customHeight="1">
      <c r="A714" s="14"/>
      <c r="B714" s="14"/>
      <c r="C714" s="14"/>
      <c r="D714" s="14"/>
      <c r="E714" s="14"/>
      <c r="F714" s="14"/>
      <c r="G714" s="14"/>
    </row>
    <row r="715" ht="12.75" customHeight="1">
      <c r="A715" s="14"/>
      <c r="B715" s="14"/>
      <c r="C715" s="14"/>
      <c r="D715" s="14"/>
      <c r="E715" s="14"/>
      <c r="F715" s="14"/>
      <c r="G715" s="14"/>
    </row>
    <row r="716" ht="12.75" customHeight="1">
      <c r="A716" s="14"/>
      <c r="B716" s="14"/>
      <c r="C716" s="14"/>
      <c r="D716" s="14"/>
      <c r="E716" s="14"/>
      <c r="F716" s="14"/>
      <c r="G716" s="14"/>
    </row>
    <row r="717" ht="12.75" customHeight="1">
      <c r="A717" s="14"/>
      <c r="B717" s="14"/>
      <c r="C717" s="14"/>
      <c r="D717" s="14"/>
      <c r="E717" s="14"/>
      <c r="F717" s="14"/>
      <c r="G717" s="14"/>
    </row>
    <row r="718" ht="12.75" customHeight="1">
      <c r="A718" s="14"/>
      <c r="B718" s="14"/>
      <c r="C718" s="14"/>
      <c r="D718" s="14"/>
      <c r="E718" s="14"/>
      <c r="F718" s="14"/>
      <c r="G718" s="14"/>
    </row>
    <row r="719" ht="12.75" customHeight="1">
      <c r="A719" s="14"/>
      <c r="B719" s="14"/>
      <c r="C719" s="14"/>
      <c r="D719" s="14"/>
      <c r="E719" s="14"/>
      <c r="F719" s="14"/>
      <c r="G719" s="14"/>
    </row>
    <row r="720" ht="12.75" customHeight="1">
      <c r="A720" s="14"/>
      <c r="B720" s="14"/>
      <c r="C720" s="14"/>
      <c r="D720" s="14"/>
      <c r="E720" s="14"/>
      <c r="F720" s="14"/>
      <c r="G720" s="14"/>
    </row>
    <row r="721" ht="12.75" customHeight="1">
      <c r="A721" s="14"/>
      <c r="B721" s="14"/>
      <c r="C721" s="14"/>
      <c r="D721" s="14"/>
      <c r="E721" s="14"/>
      <c r="F721" s="14"/>
      <c r="G721" s="14"/>
    </row>
    <row r="722" ht="12.75" customHeight="1">
      <c r="A722" s="14"/>
      <c r="B722" s="14"/>
      <c r="C722" s="14"/>
      <c r="D722" s="14"/>
      <c r="E722" s="14"/>
      <c r="F722" s="14"/>
      <c r="G722" s="14"/>
    </row>
    <row r="723" ht="12.75" customHeight="1">
      <c r="A723" s="14"/>
      <c r="B723" s="14"/>
      <c r="C723" s="14"/>
      <c r="D723" s="14"/>
      <c r="E723" s="14"/>
      <c r="F723" s="14"/>
      <c r="G723" s="14"/>
    </row>
    <row r="724" ht="12.75" customHeight="1">
      <c r="A724" s="14"/>
      <c r="B724" s="14"/>
      <c r="C724" s="14"/>
      <c r="D724" s="14"/>
      <c r="E724" s="14"/>
      <c r="F724" s="14"/>
      <c r="G724" s="14"/>
    </row>
    <row r="725" ht="12.75" customHeight="1">
      <c r="A725" s="14"/>
      <c r="B725" s="14"/>
      <c r="C725" s="14"/>
      <c r="D725" s="14"/>
      <c r="E725" s="14"/>
      <c r="F725" s="14"/>
      <c r="G725" s="14"/>
    </row>
    <row r="726" ht="12.75" customHeight="1">
      <c r="A726" s="14"/>
      <c r="B726" s="14"/>
      <c r="C726" s="14"/>
      <c r="D726" s="14"/>
      <c r="E726" s="14"/>
      <c r="F726" s="14"/>
      <c r="G726" s="14"/>
    </row>
    <row r="727" ht="12.75" customHeight="1">
      <c r="A727" s="14"/>
      <c r="B727" s="14"/>
      <c r="C727" s="14"/>
      <c r="D727" s="14"/>
      <c r="E727" s="14"/>
      <c r="F727" s="14"/>
      <c r="G727" s="14"/>
    </row>
    <row r="728" ht="12.75" customHeight="1">
      <c r="A728" s="14"/>
      <c r="B728" s="14"/>
      <c r="C728" s="14"/>
      <c r="D728" s="14"/>
      <c r="E728" s="14"/>
      <c r="F728" s="14"/>
      <c r="G728" s="14"/>
    </row>
    <row r="729" ht="12.75" customHeight="1">
      <c r="A729" s="14"/>
      <c r="B729" s="14"/>
      <c r="C729" s="14"/>
      <c r="D729" s="14"/>
      <c r="E729" s="14"/>
      <c r="F729" s="14"/>
      <c r="G729" s="14"/>
    </row>
    <row r="730" ht="12.75" customHeight="1">
      <c r="A730" s="14"/>
      <c r="B730" s="14"/>
      <c r="C730" s="14"/>
      <c r="D730" s="14"/>
      <c r="E730" s="14"/>
      <c r="F730" s="14"/>
      <c r="G730" s="14"/>
    </row>
    <row r="731" ht="12.75" customHeight="1">
      <c r="A731" s="14"/>
      <c r="B731" s="14"/>
      <c r="C731" s="14"/>
      <c r="D731" s="14"/>
      <c r="E731" s="14"/>
      <c r="F731" s="14"/>
      <c r="G731" s="14"/>
    </row>
    <row r="732" ht="12.75" customHeight="1">
      <c r="A732" s="14"/>
      <c r="B732" s="14"/>
      <c r="C732" s="14"/>
      <c r="D732" s="14"/>
      <c r="E732" s="14"/>
      <c r="F732" s="14"/>
      <c r="G732" s="14"/>
    </row>
    <row r="733" ht="12.75" customHeight="1">
      <c r="A733" s="14"/>
      <c r="B733" s="14"/>
      <c r="C733" s="14"/>
      <c r="D733" s="14"/>
      <c r="E733" s="14"/>
      <c r="F733" s="14"/>
      <c r="G733" s="14"/>
    </row>
    <row r="734" ht="12.75" customHeight="1">
      <c r="A734" s="14"/>
      <c r="B734" s="14"/>
      <c r="C734" s="14"/>
      <c r="D734" s="14"/>
      <c r="E734" s="14"/>
      <c r="F734" s="14"/>
      <c r="G734" s="14"/>
    </row>
    <row r="735" ht="12.75" customHeight="1">
      <c r="A735" s="14"/>
      <c r="B735" s="14"/>
      <c r="C735" s="14"/>
      <c r="D735" s="14"/>
      <c r="E735" s="14"/>
      <c r="F735" s="14"/>
      <c r="G735" s="14"/>
    </row>
    <row r="736" ht="12.75" customHeight="1">
      <c r="A736" s="14"/>
      <c r="B736" s="14"/>
      <c r="C736" s="14"/>
      <c r="D736" s="14"/>
      <c r="E736" s="14"/>
      <c r="F736" s="14"/>
      <c r="G736" s="14"/>
    </row>
    <row r="737" ht="12.75" customHeight="1">
      <c r="A737" s="14"/>
      <c r="B737" s="14"/>
      <c r="C737" s="14"/>
      <c r="D737" s="14"/>
      <c r="E737" s="14"/>
      <c r="F737" s="14"/>
      <c r="G737" s="14"/>
    </row>
    <row r="738" ht="12.75" customHeight="1">
      <c r="A738" s="14"/>
      <c r="B738" s="14"/>
      <c r="C738" s="14"/>
      <c r="D738" s="14"/>
      <c r="E738" s="14"/>
      <c r="F738" s="14"/>
      <c r="G738" s="14"/>
    </row>
    <row r="739" ht="12.75" customHeight="1">
      <c r="A739" s="14"/>
      <c r="B739" s="14"/>
      <c r="C739" s="14"/>
      <c r="D739" s="14"/>
      <c r="E739" s="14"/>
      <c r="F739" s="14"/>
      <c r="G739" s="14"/>
    </row>
    <row r="740" ht="12.75" customHeight="1">
      <c r="A740" s="14"/>
      <c r="B740" s="14"/>
      <c r="C740" s="14"/>
      <c r="D740" s="14"/>
      <c r="E740" s="14"/>
      <c r="F740" s="14"/>
      <c r="G740" s="14"/>
    </row>
    <row r="741" ht="12.75" customHeight="1">
      <c r="A741" s="14"/>
      <c r="B741" s="14"/>
      <c r="C741" s="14"/>
      <c r="D741" s="14"/>
      <c r="E741" s="14"/>
      <c r="F741" s="14"/>
      <c r="G741" s="14"/>
    </row>
    <row r="742" ht="12.75" customHeight="1">
      <c r="A742" s="14"/>
      <c r="B742" s="14"/>
      <c r="C742" s="14"/>
      <c r="D742" s="14"/>
      <c r="E742" s="14"/>
      <c r="F742" s="14"/>
      <c r="G742" s="14"/>
    </row>
    <row r="743" ht="12.75" customHeight="1">
      <c r="A743" s="14"/>
      <c r="B743" s="14"/>
      <c r="C743" s="14"/>
      <c r="D743" s="14"/>
      <c r="E743" s="14"/>
      <c r="F743" s="14"/>
      <c r="G743" s="14"/>
    </row>
    <row r="744" ht="12.75" customHeight="1">
      <c r="A744" s="14"/>
      <c r="B744" s="14"/>
      <c r="C744" s="14"/>
      <c r="D744" s="14"/>
      <c r="E744" s="14"/>
      <c r="F744" s="14"/>
      <c r="G744" s="14"/>
    </row>
    <row r="745" ht="12.75" customHeight="1">
      <c r="A745" s="14"/>
      <c r="B745" s="14"/>
      <c r="C745" s="14"/>
      <c r="D745" s="14"/>
      <c r="E745" s="14"/>
      <c r="F745" s="14"/>
      <c r="G745" s="14"/>
    </row>
    <row r="746" ht="12.75" customHeight="1">
      <c r="A746" s="14"/>
      <c r="B746" s="14"/>
      <c r="C746" s="14"/>
      <c r="D746" s="14"/>
      <c r="E746" s="14"/>
      <c r="F746" s="14"/>
      <c r="G746" s="14"/>
    </row>
    <row r="747" ht="12.75" customHeight="1">
      <c r="A747" s="14"/>
      <c r="B747" s="14"/>
      <c r="C747" s="14"/>
      <c r="D747" s="14"/>
      <c r="E747" s="14"/>
      <c r="F747" s="14"/>
      <c r="G747" s="14"/>
    </row>
    <row r="748" ht="12.75" customHeight="1">
      <c r="A748" s="14"/>
      <c r="B748" s="14"/>
      <c r="C748" s="14"/>
      <c r="D748" s="14"/>
      <c r="E748" s="14"/>
      <c r="F748" s="14"/>
      <c r="G748" s="14"/>
    </row>
    <row r="749" ht="12.75" customHeight="1">
      <c r="A749" s="14"/>
      <c r="B749" s="14"/>
      <c r="C749" s="14"/>
      <c r="D749" s="14"/>
      <c r="E749" s="14"/>
      <c r="F749" s="14"/>
      <c r="G749" s="14"/>
    </row>
    <row r="750" ht="12.75" customHeight="1">
      <c r="A750" s="14"/>
      <c r="B750" s="14"/>
      <c r="C750" s="14"/>
      <c r="D750" s="14"/>
      <c r="E750" s="14"/>
      <c r="F750" s="14"/>
      <c r="G750" s="14"/>
    </row>
    <row r="751" ht="12.75" customHeight="1">
      <c r="A751" s="14"/>
      <c r="B751" s="14"/>
      <c r="C751" s="14"/>
      <c r="D751" s="14"/>
      <c r="E751" s="14"/>
      <c r="F751" s="14"/>
      <c r="G751" s="14"/>
    </row>
    <row r="752" ht="12.75" customHeight="1">
      <c r="A752" s="14"/>
      <c r="B752" s="14"/>
      <c r="C752" s="14"/>
      <c r="D752" s="14"/>
      <c r="E752" s="14"/>
      <c r="F752" s="14"/>
      <c r="G752" s="14"/>
    </row>
    <row r="753" ht="12.75" customHeight="1">
      <c r="A753" s="14"/>
      <c r="B753" s="14"/>
      <c r="C753" s="14"/>
      <c r="D753" s="14"/>
      <c r="E753" s="14"/>
      <c r="F753" s="14"/>
      <c r="G753" s="14"/>
    </row>
    <row r="754" ht="12.75" customHeight="1">
      <c r="A754" s="14"/>
      <c r="B754" s="14"/>
      <c r="C754" s="14"/>
      <c r="D754" s="14"/>
      <c r="E754" s="14"/>
      <c r="F754" s="14"/>
      <c r="G754" s="14"/>
    </row>
    <row r="755" ht="12.75" customHeight="1">
      <c r="A755" s="14"/>
      <c r="B755" s="14"/>
      <c r="C755" s="14"/>
      <c r="D755" s="14"/>
      <c r="E755" s="14"/>
      <c r="F755" s="14"/>
      <c r="G755" s="14"/>
    </row>
    <row r="756" ht="12.75" customHeight="1">
      <c r="A756" s="14"/>
      <c r="B756" s="14"/>
      <c r="C756" s="14"/>
      <c r="D756" s="14"/>
      <c r="E756" s="14"/>
      <c r="F756" s="14"/>
      <c r="G756" s="14"/>
    </row>
    <row r="757" ht="12.75" customHeight="1">
      <c r="A757" s="14"/>
      <c r="B757" s="14"/>
      <c r="C757" s="14"/>
      <c r="D757" s="14"/>
      <c r="E757" s="14"/>
      <c r="F757" s="14"/>
      <c r="G757" s="14"/>
    </row>
    <row r="758" ht="12.75" customHeight="1">
      <c r="A758" s="14"/>
      <c r="B758" s="14"/>
      <c r="C758" s="14"/>
      <c r="D758" s="14"/>
      <c r="E758" s="14"/>
      <c r="F758" s="14"/>
      <c r="G758" s="14"/>
    </row>
    <row r="759" ht="12.75" customHeight="1">
      <c r="A759" s="14"/>
      <c r="B759" s="14"/>
      <c r="C759" s="14"/>
      <c r="D759" s="14"/>
      <c r="E759" s="14"/>
      <c r="F759" s="14"/>
      <c r="G759" s="14"/>
    </row>
    <row r="760" ht="12.75" customHeight="1">
      <c r="A760" s="14"/>
      <c r="B760" s="14"/>
      <c r="C760" s="14"/>
      <c r="D760" s="14"/>
      <c r="E760" s="14"/>
      <c r="F760" s="14"/>
      <c r="G760" s="14"/>
    </row>
    <row r="761" ht="12.75" customHeight="1">
      <c r="A761" s="14"/>
      <c r="B761" s="14"/>
      <c r="C761" s="14"/>
      <c r="D761" s="14"/>
      <c r="E761" s="14"/>
      <c r="F761" s="14"/>
      <c r="G761" s="14"/>
    </row>
    <row r="762" ht="12.75" customHeight="1">
      <c r="A762" s="14"/>
      <c r="B762" s="14"/>
      <c r="C762" s="14"/>
      <c r="D762" s="14"/>
      <c r="E762" s="14"/>
      <c r="F762" s="14"/>
      <c r="G762" s="14"/>
    </row>
    <row r="763" ht="12.75" customHeight="1">
      <c r="A763" s="14"/>
      <c r="B763" s="14"/>
      <c r="C763" s="14"/>
      <c r="D763" s="14"/>
      <c r="E763" s="14"/>
      <c r="F763" s="14"/>
      <c r="G763" s="14"/>
    </row>
    <row r="764" ht="12.75" customHeight="1">
      <c r="A764" s="14"/>
      <c r="B764" s="14"/>
      <c r="C764" s="14"/>
      <c r="D764" s="14"/>
      <c r="E764" s="14"/>
      <c r="F764" s="14"/>
      <c r="G764" s="14"/>
    </row>
    <row r="765" ht="12.75" customHeight="1">
      <c r="A765" s="14"/>
      <c r="B765" s="14"/>
      <c r="C765" s="14"/>
      <c r="D765" s="14"/>
      <c r="E765" s="14"/>
      <c r="F765" s="14"/>
      <c r="G765" s="14"/>
    </row>
    <row r="766" ht="12.75" customHeight="1">
      <c r="A766" s="14"/>
      <c r="B766" s="14"/>
      <c r="C766" s="14"/>
      <c r="D766" s="14"/>
      <c r="E766" s="14"/>
      <c r="F766" s="14"/>
      <c r="G766" s="14"/>
    </row>
    <row r="767" ht="12.75" customHeight="1">
      <c r="A767" s="14"/>
      <c r="B767" s="14"/>
      <c r="C767" s="14"/>
      <c r="D767" s="14"/>
      <c r="E767" s="14"/>
      <c r="F767" s="14"/>
      <c r="G767" s="14"/>
    </row>
    <row r="768" ht="12.75" customHeight="1">
      <c r="A768" s="14"/>
      <c r="B768" s="14"/>
      <c r="C768" s="14"/>
      <c r="D768" s="14"/>
      <c r="E768" s="14"/>
      <c r="F768" s="14"/>
      <c r="G768" s="14"/>
    </row>
    <row r="769" ht="12.75" customHeight="1">
      <c r="A769" s="14"/>
      <c r="B769" s="14"/>
      <c r="C769" s="14"/>
      <c r="D769" s="14"/>
      <c r="E769" s="14"/>
      <c r="F769" s="14"/>
      <c r="G769" s="14"/>
    </row>
    <row r="770" ht="12.75" customHeight="1">
      <c r="A770" s="14"/>
      <c r="B770" s="14"/>
      <c r="C770" s="14"/>
      <c r="D770" s="14"/>
      <c r="E770" s="14"/>
      <c r="F770" s="14"/>
      <c r="G770" s="14"/>
    </row>
    <row r="771" ht="12.75" customHeight="1">
      <c r="A771" s="14"/>
      <c r="B771" s="14"/>
      <c r="C771" s="14"/>
      <c r="D771" s="14"/>
      <c r="E771" s="14"/>
      <c r="F771" s="14"/>
      <c r="G771" s="14"/>
    </row>
    <row r="772" ht="12.75" customHeight="1">
      <c r="A772" s="14"/>
      <c r="B772" s="14"/>
      <c r="C772" s="14"/>
      <c r="D772" s="14"/>
      <c r="E772" s="14"/>
      <c r="F772" s="14"/>
      <c r="G772" s="14"/>
    </row>
    <row r="773" ht="12.75" customHeight="1">
      <c r="A773" s="14"/>
      <c r="B773" s="14"/>
      <c r="C773" s="14"/>
      <c r="D773" s="14"/>
      <c r="E773" s="14"/>
      <c r="F773" s="14"/>
      <c r="G773" s="14"/>
    </row>
    <row r="774" ht="12.75" customHeight="1">
      <c r="A774" s="14"/>
      <c r="B774" s="14"/>
      <c r="C774" s="14"/>
      <c r="D774" s="14"/>
      <c r="E774" s="14"/>
      <c r="F774" s="14"/>
      <c r="G774" s="14"/>
    </row>
    <row r="775" ht="12.75" customHeight="1">
      <c r="A775" s="14"/>
      <c r="B775" s="14"/>
      <c r="C775" s="14"/>
      <c r="D775" s="14"/>
      <c r="E775" s="14"/>
      <c r="F775" s="14"/>
      <c r="G775" s="14"/>
    </row>
    <row r="776" ht="12.75" customHeight="1">
      <c r="A776" s="14"/>
      <c r="B776" s="14"/>
      <c r="C776" s="14"/>
      <c r="D776" s="14"/>
      <c r="E776" s="14"/>
      <c r="F776" s="14"/>
      <c r="G776" s="14"/>
    </row>
    <row r="777" ht="12.75" customHeight="1">
      <c r="A777" s="14"/>
      <c r="B777" s="14"/>
      <c r="C777" s="14"/>
      <c r="D777" s="14"/>
      <c r="E777" s="14"/>
      <c r="F777" s="14"/>
      <c r="G777" s="14"/>
    </row>
    <row r="778" ht="12.75" customHeight="1">
      <c r="A778" s="14"/>
      <c r="B778" s="14"/>
      <c r="C778" s="14"/>
      <c r="D778" s="14"/>
      <c r="E778" s="14"/>
      <c r="F778" s="14"/>
      <c r="G778" s="14"/>
    </row>
    <row r="779" ht="12.75" customHeight="1">
      <c r="A779" s="14"/>
      <c r="B779" s="14"/>
      <c r="C779" s="14"/>
      <c r="D779" s="14"/>
      <c r="E779" s="14"/>
      <c r="F779" s="14"/>
      <c r="G779" s="14"/>
    </row>
    <row r="780" ht="12.75" customHeight="1">
      <c r="A780" s="14"/>
      <c r="B780" s="14"/>
      <c r="C780" s="14"/>
      <c r="D780" s="14"/>
      <c r="E780" s="14"/>
      <c r="F780" s="14"/>
      <c r="G780" s="14"/>
    </row>
    <row r="781" ht="12.75" customHeight="1">
      <c r="A781" s="14"/>
      <c r="B781" s="14"/>
      <c r="C781" s="14"/>
      <c r="D781" s="14"/>
      <c r="E781" s="14"/>
      <c r="F781" s="14"/>
      <c r="G781" s="14"/>
    </row>
    <row r="782" ht="12.75" customHeight="1">
      <c r="A782" s="14"/>
      <c r="B782" s="14"/>
      <c r="C782" s="14"/>
      <c r="D782" s="14"/>
      <c r="E782" s="14"/>
      <c r="F782" s="14"/>
      <c r="G782" s="14"/>
    </row>
    <row r="783" ht="12.75" customHeight="1">
      <c r="A783" s="14"/>
      <c r="B783" s="14"/>
      <c r="C783" s="14"/>
      <c r="D783" s="14"/>
      <c r="E783" s="14"/>
      <c r="F783" s="14"/>
      <c r="G783" s="14"/>
    </row>
    <row r="784" ht="12.75" customHeight="1">
      <c r="A784" s="14"/>
      <c r="B784" s="14"/>
      <c r="C784" s="14"/>
      <c r="D784" s="14"/>
      <c r="E784" s="14"/>
      <c r="F784" s="14"/>
      <c r="G784" s="14"/>
    </row>
    <row r="785" ht="12.75" customHeight="1">
      <c r="A785" s="14"/>
      <c r="B785" s="14"/>
      <c r="C785" s="14"/>
      <c r="D785" s="14"/>
      <c r="E785" s="14"/>
      <c r="F785" s="14"/>
      <c r="G785" s="14"/>
    </row>
    <row r="786" ht="12.75" customHeight="1">
      <c r="A786" s="14"/>
      <c r="B786" s="14"/>
      <c r="C786" s="14"/>
      <c r="D786" s="14"/>
      <c r="E786" s="14"/>
      <c r="F786" s="14"/>
      <c r="G786" s="14"/>
    </row>
    <row r="787" ht="12.75" customHeight="1">
      <c r="A787" s="14"/>
      <c r="B787" s="14"/>
      <c r="C787" s="14"/>
      <c r="D787" s="14"/>
      <c r="E787" s="14"/>
      <c r="F787" s="14"/>
      <c r="G787" s="14"/>
    </row>
    <row r="788" ht="12.75" customHeight="1">
      <c r="A788" s="14"/>
      <c r="B788" s="14"/>
      <c r="C788" s="14"/>
      <c r="D788" s="14"/>
      <c r="E788" s="14"/>
      <c r="F788" s="14"/>
      <c r="G788" s="14"/>
    </row>
    <row r="789" ht="12.75" customHeight="1">
      <c r="A789" s="14"/>
      <c r="B789" s="14"/>
      <c r="C789" s="14"/>
      <c r="D789" s="14"/>
      <c r="E789" s="14"/>
      <c r="F789" s="14"/>
      <c r="G789" s="14"/>
    </row>
    <row r="790" ht="12.75" customHeight="1">
      <c r="A790" s="14"/>
      <c r="B790" s="14"/>
      <c r="C790" s="14"/>
      <c r="D790" s="14"/>
      <c r="E790" s="14"/>
      <c r="F790" s="14"/>
      <c r="G790" s="14"/>
    </row>
    <row r="791" ht="12.75" customHeight="1">
      <c r="A791" s="14"/>
      <c r="B791" s="14"/>
      <c r="C791" s="14"/>
      <c r="D791" s="14"/>
      <c r="E791" s="14"/>
      <c r="F791" s="14"/>
      <c r="G791" s="14"/>
    </row>
    <row r="792" ht="12.75" customHeight="1">
      <c r="A792" s="14"/>
      <c r="B792" s="14"/>
      <c r="C792" s="14"/>
      <c r="D792" s="14"/>
      <c r="E792" s="14"/>
      <c r="F792" s="14"/>
      <c r="G792" s="14"/>
    </row>
    <row r="793" ht="12.75" customHeight="1">
      <c r="A793" s="14"/>
      <c r="B793" s="14"/>
      <c r="C793" s="14"/>
      <c r="D793" s="14"/>
      <c r="E793" s="14"/>
      <c r="F793" s="14"/>
      <c r="G793" s="14"/>
    </row>
    <row r="794" ht="12.75" customHeight="1">
      <c r="A794" s="14"/>
      <c r="B794" s="14"/>
      <c r="C794" s="14"/>
      <c r="D794" s="14"/>
      <c r="E794" s="14"/>
      <c r="F794" s="14"/>
      <c r="G794" s="14"/>
    </row>
    <row r="795" ht="12.75" customHeight="1">
      <c r="A795" s="14"/>
      <c r="B795" s="14"/>
      <c r="C795" s="14"/>
      <c r="D795" s="14"/>
      <c r="E795" s="14"/>
      <c r="F795" s="14"/>
      <c r="G795" s="14"/>
    </row>
    <row r="796" ht="12.75" customHeight="1">
      <c r="A796" s="14"/>
      <c r="B796" s="14"/>
      <c r="C796" s="14"/>
      <c r="D796" s="14"/>
      <c r="E796" s="14"/>
      <c r="F796" s="14"/>
      <c r="G796" s="14"/>
    </row>
    <row r="797" ht="12.75" customHeight="1">
      <c r="A797" s="14"/>
      <c r="B797" s="14"/>
      <c r="C797" s="14"/>
      <c r="D797" s="14"/>
      <c r="E797" s="14"/>
      <c r="F797" s="14"/>
      <c r="G797" s="14"/>
    </row>
    <row r="798" ht="12.75" customHeight="1">
      <c r="A798" s="14"/>
      <c r="B798" s="14"/>
      <c r="C798" s="14"/>
      <c r="D798" s="14"/>
      <c r="E798" s="14"/>
      <c r="F798" s="14"/>
      <c r="G798" s="14"/>
    </row>
    <row r="799" ht="12.75" customHeight="1">
      <c r="A799" s="14"/>
      <c r="B799" s="14"/>
      <c r="C799" s="14"/>
      <c r="D799" s="14"/>
      <c r="E799" s="14"/>
      <c r="F799" s="14"/>
      <c r="G799" s="14"/>
    </row>
    <row r="800" ht="12.75" customHeight="1">
      <c r="A800" s="14"/>
      <c r="B800" s="14"/>
      <c r="C800" s="14"/>
      <c r="D800" s="14"/>
      <c r="E800" s="14"/>
      <c r="F800" s="14"/>
      <c r="G800" s="14"/>
    </row>
    <row r="801" ht="12.75" customHeight="1">
      <c r="A801" s="14"/>
      <c r="B801" s="14"/>
      <c r="C801" s="14"/>
      <c r="D801" s="14"/>
      <c r="E801" s="14"/>
      <c r="F801" s="14"/>
      <c r="G801" s="14"/>
    </row>
    <row r="802" ht="12.75" customHeight="1">
      <c r="A802" s="14"/>
      <c r="B802" s="14"/>
      <c r="C802" s="14"/>
      <c r="D802" s="14"/>
      <c r="E802" s="14"/>
      <c r="F802" s="14"/>
      <c r="G802" s="14"/>
    </row>
    <row r="803" ht="12.75" customHeight="1">
      <c r="A803" s="14"/>
      <c r="B803" s="14"/>
      <c r="C803" s="14"/>
      <c r="D803" s="14"/>
      <c r="E803" s="14"/>
      <c r="F803" s="14"/>
      <c r="G803" s="14"/>
    </row>
    <row r="804" ht="12.75" customHeight="1">
      <c r="A804" s="14"/>
      <c r="B804" s="14"/>
      <c r="C804" s="14"/>
      <c r="D804" s="14"/>
      <c r="E804" s="14"/>
      <c r="F804" s="14"/>
      <c r="G804" s="14"/>
    </row>
    <row r="805" ht="12.75" customHeight="1">
      <c r="A805" s="14"/>
      <c r="B805" s="14"/>
      <c r="C805" s="14"/>
      <c r="D805" s="14"/>
      <c r="E805" s="14"/>
      <c r="F805" s="14"/>
      <c r="G805" s="14"/>
    </row>
    <row r="806" ht="12.75" customHeight="1">
      <c r="A806" s="14"/>
      <c r="B806" s="14"/>
      <c r="C806" s="14"/>
      <c r="D806" s="14"/>
      <c r="E806" s="14"/>
      <c r="F806" s="14"/>
      <c r="G806" s="14"/>
    </row>
    <row r="807" ht="12.75" customHeight="1">
      <c r="A807" s="14"/>
      <c r="B807" s="14"/>
      <c r="C807" s="14"/>
      <c r="D807" s="14"/>
      <c r="E807" s="14"/>
      <c r="F807" s="14"/>
      <c r="G807" s="14"/>
    </row>
    <row r="808" ht="12.75" customHeight="1">
      <c r="A808" s="14"/>
      <c r="B808" s="14"/>
      <c r="C808" s="14"/>
      <c r="D808" s="14"/>
      <c r="E808" s="14"/>
      <c r="F808" s="14"/>
      <c r="G808" s="14"/>
    </row>
    <row r="809" ht="12.75" customHeight="1">
      <c r="A809" s="14"/>
      <c r="B809" s="14"/>
      <c r="C809" s="14"/>
      <c r="D809" s="14"/>
      <c r="E809" s="14"/>
      <c r="F809" s="14"/>
      <c r="G809" s="14"/>
    </row>
    <row r="810" ht="12.75" customHeight="1">
      <c r="A810" s="14"/>
      <c r="B810" s="14"/>
      <c r="C810" s="14"/>
      <c r="D810" s="14"/>
      <c r="E810" s="14"/>
      <c r="F810" s="14"/>
      <c r="G810" s="14"/>
    </row>
    <row r="811" ht="12.75" customHeight="1">
      <c r="A811" s="14"/>
      <c r="B811" s="14"/>
      <c r="C811" s="14"/>
      <c r="D811" s="14"/>
      <c r="E811" s="14"/>
      <c r="F811" s="14"/>
      <c r="G811" s="14"/>
    </row>
    <row r="812" ht="12.75" customHeight="1">
      <c r="A812" s="14"/>
      <c r="B812" s="14"/>
      <c r="C812" s="14"/>
      <c r="D812" s="14"/>
      <c r="E812" s="14"/>
      <c r="F812" s="14"/>
      <c r="G812" s="14"/>
    </row>
    <row r="813" ht="12.75" customHeight="1">
      <c r="A813" s="14"/>
      <c r="B813" s="14"/>
      <c r="C813" s="14"/>
      <c r="D813" s="14"/>
      <c r="E813" s="14"/>
      <c r="F813" s="14"/>
      <c r="G813" s="14"/>
    </row>
    <row r="814" ht="12.75" customHeight="1">
      <c r="A814" s="14"/>
      <c r="B814" s="14"/>
      <c r="C814" s="14"/>
      <c r="D814" s="14"/>
      <c r="E814" s="14"/>
      <c r="F814" s="14"/>
      <c r="G814" s="14"/>
    </row>
    <row r="815" ht="12.75" customHeight="1">
      <c r="A815" s="14"/>
      <c r="B815" s="14"/>
      <c r="C815" s="14"/>
      <c r="D815" s="14"/>
      <c r="E815" s="14"/>
      <c r="F815" s="14"/>
      <c r="G815" s="14"/>
    </row>
    <row r="816" ht="12.75" customHeight="1">
      <c r="A816" s="14"/>
      <c r="B816" s="14"/>
      <c r="C816" s="14"/>
      <c r="D816" s="14"/>
      <c r="E816" s="14"/>
      <c r="F816" s="14"/>
      <c r="G816" s="14"/>
    </row>
    <row r="817" ht="12.75" customHeight="1">
      <c r="A817" s="14"/>
      <c r="B817" s="14"/>
      <c r="C817" s="14"/>
      <c r="D817" s="14"/>
      <c r="E817" s="14"/>
      <c r="F817" s="14"/>
      <c r="G817" s="14"/>
    </row>
    <row r="818" ht="12.75" customHeight="1">
      <c r="A818" s="14"/>
      <c r="B818" s="14"/>
      <c r="C818" s="14"/>
      <c r="D818" s="14"/>
      <c r="E818" s="14"/>
      <c r="F818" s="14"/>
      <c r="G818" s="14"/>
    </row>
    <row r="819" ht="12.75" customHeight="1">
      <c r="A819" s="14"/>
      <c r="B819" s="14"/>
      <c r="C819" s="14"/>
      <c r="D819" s="14"/>
      <c r="E819" s="14"/>
      <c r="F819" s="14"/>
      <c r="G819" s="14"/>
    </row>
    <row r="820" ht="12.75" customHeight="1">
      <c r="A820" s="14"/>
      <c r="B820" s="14"/>
      <c r="C820" s="14"/>
      <c r="D820" s="14"/>
      <c r="E820" s="14"/>
      <c r="F820" s="14"/>
      <c r="G820" s="14"/>
    </row>
    <row r="821" ht="12.75" customHeight="1">
      <c r="A821" s="14"/>
      <c r="B821" s="14"/>
      <c r="C821" s="14"/>
      <c r="D821" s="14"/>
      <c r="E821" s="14"/>
      <c r="F821" s="14"/>
      <c r="G821" s="14"/>
    </row>
    <row r="822" ht="12.75" customHeight="1">
      <c r="A822" s="14"/>
      <c r="B822" s="14"/>
      <c r="C822" s="14"/>
      <c r="D822" s="14"/>
      <c r="E822" s="14"/>
      <c r="F822" s="14"/>
      <c r="G822" s="14"/>
    </row>
    <row r="823" ht="12.75" customHeight="1">
      <c r="A823" s="14"/>
      <c r="B823" s="14"/>
      <c r="C823" s="14"/>
      <c r="D823" s="14"/>
      <c r="E823" s="14"/>
      <c r="F823" s="14"/>
      <c r="G823" s="14"/>
    </row>
    <row r="824" ht="12.75" customHeight="1">
      <c r="A824" s="14"/>
      <c r="B824" s="14"/>
      <c r="C824" s="14"/>
      <c r="D824" s="14"/>
      <c r="E824" s="14"/>
      <c r="F824" s="14"/>
      <c r="G824" s="14"/>
    </row>
    <row r="825" ht="12.75" customHeight="1">
      <c r="A825" s="14"/>
      <c r="B825" s="14"/>
      <c r="C825" s="14"/>
      <c r="D825" s="14"/>
      <c r="E825" s="14"/>
      <c r="F825" s="14"/>
      <c r="G825" s="14"/>
    </row>
    <row r="826" ht="12.75" customHeight="1">
      <c r="A826" s="14"/>
      <c r="B826" s="14"/>
      <c r="C826" s="14"/>
      <c r="D826" s="14"/>
      <c r="E826" s="14"/>
      <c r="F826" s="14"/>
      <c r="G826" s="14"/>
    </row>
    <row r="827" ht="12.75" customHeight="1">
      <c r="A827" s="14"/>
      <c r="B827" s="14"/>
      <c r="C827" s="14"/>
      <c r="D827" s="14"/>
      <c r="E827" s="14"/>
      <c r="F827" s="14"/>
      <c r="G827" s="14"/>
    </row>
    <row r="828" ht="12.75" customHeight="1">
      <c r="A828" s="14"/>
      <c r="B828" s="14"/>
      <c r="C828" s="14"/>
      <c r="D828" s="14"/>
      <c r="E828" s="14"/>
      <c r="F828" s="14"/>
      <c r="G828" s="14"/>
    </row>
    <row r="829" ht="12.75" customHeight="1">
      <c r="A829" s="14"/>
      <c r="B829" s="14"/>
      <c r="C829" s="14"/>
      <c r="D829" s="14"/>
      <c r="E829" s="14"/>
      <c r="F829" s="14"/>
      <c r="G829" s="14"/>
    </row>
    <row r="830" ht="12.75" customHeight="1">
      <c r="A830" s="14"/>
      <c r="B830" s="14"/>
      <c r="C830" s="14"/>
      <c r="D830" s="14"/>
      <c r="E830" s="14"/>
      <c r="F830" s="14"/>
      <c r="G830" s="14"/>
    </row>
    <row r="831" ht="12.75" customHeight="1">
      <c r="A831" s="14"/>
      <c r="B831" s="14"/>
      <c r="C831" s="14"/>
      <c r="D831" s="14"/>
      <c r="E831" s="14"/>
      <c r="F831" s="14"/>
      <c r="G831" s="14"/>
    </row>
    <row r="832" ht="12.75" customHeight="1">
      <c r="A832" s="14"/>
      <c r="B832" s="14"/>
      <c r="C832" s="14"/>
      <c r="D832" s="14"/>
      <c r="E832" s="14"/>
      <c r="F832" s="14"/>
      <c r="G832" s="14"/>
    </row>
    <row r="833" ht="12.75" customHeight="1">
      <c r="A833" s="14"/>
      <c r="B833" s="14"/>
      <c r="C833" s="14"/>
      <c r="D833" s="14"/>
      <c r="E833" s="14"/>
      <c r="F833" s="14"/>
      <c r="G833" s="14"/>
    </row>
    <row r="834" ht="12.75" customHeight="1">
      <c r="A834" s="14"/>
      <c r="B834" s="14"/>
      <c r="C834" s="14"/>
      <c r="D834" s="14"/>
      <c r="E834" s="14"/>
      <c r="F834" s="14"/>
      <c r="G834" s="14"/>
    </row>
    <row r="835" ht="12.75" customHeight="1">
      <c r="A835" s="14"/>
      <c r="B835" s="14"/>
      <c r="C835" s="14"/>
      <c r="D835" s="14"/>
      <c r="E835" s="14"/>
      <c r="F835" s="14"/>
      <c r="G835" s="14"/>
    </row>
    <row r="836" ht="12.75" customHeight="1">
      <c r="A836" s="14"/>
      <c r="B836" s="14"/>
      <c r="C836" s="14"/>
      <c r="D836" s="14"/>
      <c r="E836" s="14"/>
      <c r="F836" s="14"/>
      <c r="G836" s="14"/>
    </row>
    <row r="837" ht="12.75" customHeight="1">
      <c r="A837" s="14"/>
      <c r="B837" s="14"/>
      <c r="C837" s="14"/>
      <c r="D837" s="14"/>
      <c r="E837" s="14"/>
      <c r="F837" s="14"/>
      <c r="G837" s="14"/>
    </row>
    <row r="838" ht="12.75" customHeight="1">
      <c r="A838" s="14"/>
      <c r="B838" s="14"/>
      <c r="C838" s="14"/>
      <c r="D838" s="14"/>
      <c r="E838" s="14"/>
      <c r="F838" s="14"/>
      <c r="G838" s="14"/>
    </row>
    <row r="839" ht="12.75" customHeight="1">
      <c r="A839" s="14"/>
      <c r="B839" s="14"/>
      <c r="C839" s="14"/>
      <c r="D839" s="14"/>
      <c r="E839" s="14"/>
      <c r="F839" s="14"/>
      <c r="G839" s="14"/>
    </row>
    <row r="840" ht="12.75" customHeight="1">
      <c r="A840" s="14"/>
      <c r="B840" s="14"/>
      <c r="C840" s="14"/>
      <c r="D840" s="14"/>
      <c r="E840" s="14"/>
      <c r="F840" s="14"/>
      <c r="G840" s="14"/>
    </row>
    <row r="841" ht="12.75" customHeight="1">
      <c r="A841" s="14"/>
      <c r="B841" s="14"/>
      <c r="C841" s="14"/>
      <c r="D841" s="14"/>
      <c r="E841" s="14"/>
      <c r="F841" s="14"/>
      <c r="G841" s="14"/>
    </row>
    <row r="842" ht="12.75" customHeight="1">
      <c r="A842" s="14"/>
      <c r="B842" s="14"/>
      <c r="C842" s="14"/>
      <c r="D842" s="14"/>
      <c r="E842" s="14"/>
      <c r="F842" s="14"/>
      <c r="G842" s="14"/>
    </row>
    <row r="843" ht="12.75" customHeight="1">
      <c r="A843" s="14"/>
      <c r="B843" s="14"/>
      <c r="C843" s="14"/>
      <c r="D843" s="14"/>
      <c r="E843" s="14"/>
      <c r="F843" s="14"/>
      <c r="G843" s="14"/>
    </row>
    <row r="844" ht="12.75" customHeight="1">
      <c r="A844" s="14"/>
      <c r="B844" s="14"/>
      <c r="C844" s="14"/>
      <c r="D844" s="14"/>
      <c r="E844" s="14"/>
      <c r="F844" s="14"/>
      <c r="G844" s="14"/>
    </row>
    <row r="845" ht="12.75" customHeight="1">
      <c r="A845" s="14"/>
      <c r="B845" s="14"/>
      <c r="C845" s="14"/>
      <c r="D845" s="14"/>
      <c r="E845" s="14"/>
      <c r="F845" s="14"/>
      <c r="G845" s="14"/>
    </row>
    <row r="846" ht="12.75" customHeight="1">
      <c r="A846" s="14"/>
      <c r="B846" s="14"/>
      <c r="C846" s="14"/>
      <c r="D846" s="14"/>
      <c r="E846" s="14"/>
      <c r="F846" s="14"/>
      <c r="G846" s="14"/>
    </row>
    <row r="847" ht="12.75" customHeight="1">
      <c r="A847" s="14"/>
      <c r="B847" s="14"/>
      <c r="C847" s="14"/>
      <c r="D847" s="14"/>
      <c r="E847" s="14"/>
      <c r="F847" s="14"/>
      <c r="G847" s="14"/>
    </row>
    <row r="848" ht="12.75" customHeight="1">
      <c r="A848" s="14"/>
      <c r="B848" s="14"/>
      <c r="C848" s="14"/>
      <c r="D848" s="14"/>
      <c r="E848" s="14"/>
      <c r="F848" s="14"/>
      <c r="G848" s="14"/>
    </row>
    <row r="849" ht="12.75" customHeight="1">
      <c r="A849" s="14"/>
      <c r="B849" s="14"/>
      <c r="C849" s="14"/>
      <c r="D849" s="14"/>
      <c r="E849" s="14"/>
      <c r="F849" s="14"/>
      <c r="G849" s="14"/>
    </row>
    <row r="850" ht="12.75" customHeight="1">
      <c r="A850" s="14"/>
      <c r="B850" s="14"/>
      <c r="C850" s="14"/>
      <c r="D850" s="14"/>
      <c r="E850" s="14"/>
      <c r="F850" s="14"/>
      <c r="G850" s="14"/>
    </row>
    <row r="851" ht="12.75" customHeight="1">
      <c r="A851" s="14"/>
      <c r="B851" s="14"/>
      <c r="C851" s="14"/>
      <c r="D851" s="14"/>
      <c r="E851" s="14"/>
      <c r="F851" s="14"/>
      <c r="G851" s="14"/>
    </row>
    <row r="852" ht="12.75" customHeight="1">
      <c r="A852" s="14"/>
      <c r="B852" s="14"/>
      <c r="C852" s="14"/>
      <c r="D852" s="14"/>
      <c r="E852" s="14"/>
      <c r="F852" s="14"/>
      <c r="G852" s="14"/>
    </row>
    <row r="853" ht="12.75" customHeight="1">
      <c r="A853" s="14"/>
      <c r="B853" s="14"/>
      <c r="C853" s="14"/>
      <c r="D853" s="14"/>
      <c r="E853" s="14"/>
      <c r="F853" s="14"/>
      <c r="G853" s="14"/>
    </row>
    <row r="854" ht="12.75" customHeight="1">
      <c r="A854" s="14"/>
      <c r="B854" s="14"/>
      <c r="C854" s="14"/>
      <c r="D854" s="14"/>
      <c r="E854" s="14"/>
      <c r="F854" s="14"/>
      <c r="G854" s="14"/>
    </row>
    <row r="855" ht="12.75" customHeight="1">
      <c r="A855" s="14"/>
      <c r="B855" s="14"/>
      <c r="C855" s="14"/>
      <c r="D855" s="14"/>
      <c r="E855" s="14"/>
      <c r="F855" s="14"/>
      <c r="G855" s="14"/>
    </row>
    <row r="856" ht="12.75" customHeight="1">
      <c r="A856" s="14"/>
      <c r="B856" s="14"/>
      <c r="C856" s="14"/>
      <c r="D856" s="14"/>
      <c r="E856" s="14"/>
      <c r="F856" s="14"/>
      <c r="G856" s="14"/>
    </row>
    <row r="857" ht="12.75" customHeight="1">
      <c r="A857" s="14"/>
      <c r="B857" s="14"/>
      <c r="C857" s="14"/>
      <c r="D857" s="14"/>
      <c r="E857" s="14"/>
      <c r="F857" s="14"/>
      <c r="G857" s="14"/>
    </row>
    <row r="858" ht="12.75" customHeight="1">
      <c r="A858" s="14"/>
      <c r="B858" s="14"/>
      <c r="C858" s="14"/>
      <c r="D858" s="14"/>
      <c r="E858" s="14"/>
      <c r="F858" s="14"/>
      <c r="G858" s="14"/>
    </row>
    <row r="859" ht="12.75" customHeight="1">
      <c r="A859" s="14"/>
      <c r="B859" s="14"/>
      <c r="C859" s="14"/>
      <c r="D859" s="14"/>
      <c r="E859" s="14"/>
      <c r="F859" s="14"/>
      <c r="G859" s="14"/>
    </row>
    <row r="860" ht="12.75" customHeight="1">
      <c r="A860" s="14"/>
      <c r="B860" s="14"/>
      <c r="C860" s="14"/>
      <c r="D860" s="14"/>
      <c r="E860" s="14"/>
      <c r="F860" s="14"/>
      <c r="G860" s="14"/>
    </row>
    <row r="861" ht="12.75" customHeight="1">
      <c r="A861" s="14"/>
      <c r="B861" s="14"/>
      <c r="C861" s="14"/>
      <c r="D861" s="14"/>
      <c r="E861" s="14"/>
      <c r="F861" s="14"/>
      <c r="G861" s="14"/>
    </row>
    <row r="862" ht="12.75" customHeight="1">
      <c r="A862" s="14"/>
      <c r="B862" s="14"/>
      <c r="C862" s="14"/>
      <c r="D862" s="14"/>
      <c r="E862" s="14"/>
      <c r="F862" s="14"/>
      <c r="G862" s="14"/>
    </row>
    <row r="863" ht="12.75" customHeight="1">
      <c r="A863" s="14"/>
      <c r="B863" s="14"/>
      <c r="C863" s="14"/>
      <c r="D863" s="14"/>
      <c r="E863" s="14"/>
      <c r="F863" s="14"/>
      <c r="G863" s="14"/>
    </row>
    <row r="864" ht="12.75" customHeight="1">
      <c r="A864" s="14"/>
      <c r="B864" s="14"/>
      <c r="C864" s="14"/>
      <c r="D864" s="14"/>
      <c r="E864" s="14"/>
      <c r="F864" s="14"/>
      <c r="G864" s="14"/>
    </row>
    <row r="865" ht="12.75" customHeight="1">
      <c r="A865" s="14"/>
      <c r="B865" s="14"/>
      <c r="C865" s="14"/>
      <c r="D865" s="14"/>
      <c r="E865" s="14"/>
      <c r="F865" s="14"/>
      <c r="G865" s="14"/>
    </row>
    <row r="866" ht="12.75" customHeight="1">
      <c r="A866" s="14"/>
      <c r="B866" s="14"/>
      <c r="C866" s="14"/>
      <c r="D866" s="14"/>
      <c r="E866" s="14"/>
      <c r="F866" s="14"/>
      <c r="G866" s="14"/>
    </row>
    <row r="867" ht="12.75" customHeight="1">
      <c r="A867" s="14"/>
      <c r="B867" s="14"/>
      <c r="C867" s="14"/>
      <c r="D867" s="14"/>
      <c r="E867" s="14"/>
      <c r="F867" s="14"/>
      <c r="G867" s="14"/>
    </row>
    <row r="868" ht="12.75" customHeight="1">
      <c r="A868" s="14"/>
      <c r="B868" s="14"/>
      <c r="C868" s="14"/>
      <c r="D868" s="14"/>
      <c r="E868" s="14"/>
      <c r="F868" s="14"/>
      <c r="G868" s="14"/>
    </row>
    <row r="869" ht="12.75" customHeight="1">
      <c r="A869" s="14"/>
      <c r="B869" s="14"/>
      <c r="C869" s="14"/>
      <c r="D869" s="14"/>
      <c r="E869" s="14"/>
      <c r="F869" s="14"/>
      <c r="G869" s="14"/>
    </row>
    <row r="870" ht="12.75" customHeight="1">
      <c r="A870" s="14"/>
      <c r="B870" s="14"/>
      <c r="C870" s="14"/>
      <c r="D870" s="14"/>
      <c r="E870" s="14"/>
      <c r="F870" s="14"/>
      <c r="G870" s="14"/>
    </row>
    <row r="871" ht="12.75" customHeight="1">
      <c r="A871" s="14"/>
      <c r="B871" s="14"/>
      <c r="C871" s="14"/>
      <c r="D871" s="14"/>
      <c r="E871" s="14"/>
      <c r="F871" s="14"/>
      <c r="G871" s="14"/>
    </row>
    <row r="872" ht="12.75" customHeight="1">
      <c r="A872" s="14"/>
      <c r="B872" s="14"/>
      <c r="C872" s="14"/>
      <c r="D872" s="14"/>
      <c r="E872" s="14"/>
      <c r="F872" s="14"/>
      <c r="G872" s="14"/>
    </row>
    <row r="873" ht="12.75" customHeight="1">
      <c r="A873" s="14"/>
      <c r="B873" s="14"/>
      <c r="C873" s="14"/>
      <c r="D873" s="14"/>
      <c r="E873" s="14"/>
      <c r="F873" s="14"/>
      <c r="G873" s="14"/>
    </row>
    <row r="874" ht="12.75" customHeight="1">
      <c r="A874" s="14"/>
      <c r="B874" s="14"/>
      <c r="C874" s="14"/>
      <c r="D874" s="14"/>
      <c r="E874" s="14"/>
      <c r="F874" s="14"/>
      <c r="G874" s="14"/>
    </row>
    <row r="875" ht="12.75" customHeight="1">
      <c r="A875" s="14"/>
      <c r="B875" s="14"/>
      <c r="C875" s="14"/>
      <c r="D875" s="14"/>
      <c r="E875" s="14"/>
      <c r="F875" s="14"/>
      <c r="G875" s="14"/>
    </row>
    <row r="876" ht="12.75" customHeight="1">
      <c r="A876" s="14"/>
      <c r="B876" s="14"/>
      <c r="C876" s="14"/>
      <c r="D876" s="14"/>
      <c r="E876" s="14"/>
      <c r="F876" s="14"/>
      <c r="G876" s="14"/>
    </row>
    <row r="877" ht="12.75" customHeight="1">
      <c r="A877" s="14"/>
      <c r="B877" s="14"/>
      <c r="C877" s="14"/>
      <c r="D877" s="14"/>
      <c r="E877" s="14"/>
      <c r="F877" s="14"/>
      <c r="G877" s="14"/>
    </row>
    <row r="878" ht="12.75" customHeight="1">
      <c r="A878" s="14"/>
      <c r="B878" s="14"/>
      <c r="C878" s="14"/>
      <c r="D878" s="14"/>
      <c r="E878" s="14"/>
      <c r="F878" s="14"/>
      <c r="G878" s="14"/>
    </row>
    <row r="879" ht="12.75" customHeight="1">
      <c r="A879" s="14"/>
      <c r="B879" s="14"/>
      <c r="C879" s="14"/>
      <c r="D879" s="14"/>
      <c r="E879" s="14"/>
      <c r="F879" s="14"/>
      <c r="G879" s="14"/>
    </row>
    <row r="880" ht="12.75" customHeight="1">
      <c r="A880" s="14"/>
      <c r="B880" s="14"/>
      <c r="C880" s="14"/>
      <c r="D880" s="14"/>
      <c r="E880" s="14"/>
      <c r="F880" s="14"/>
      <c r="G880" s="14"/>
    </row>
    <row r="881" ht="12.75" customHeight="1">
      <c r="A881" s="14"/>
      <c r="B881" s="14"/>
      <c r="C881" s="14"/>
      <c r="D881" s="14"/>
      <c r="E881" s="14"/>
      <c r="F881" s="14"/>
      <c r="G881" s="14"/>
    </row>
    <row r="882" ht="12.75" customHeight="1">
      <c r="A882" s="14"/>
      <c r="B882" s="14"/>
      <c r="C882" s="14"/>
      <c r="D882" s="14"/>
      <c r="E882" s="14"/>
      <c r="F882" s="14"/>
      <c r="G882" s="14"/>
    </row>
    <row r="883" ht="12.75" customHeight="1">
      <c r="A883" s="14"/>
      <c r="B883" s="14"/>
      <c r="C883" s="14"/>
      <c r="D883" s="14"/>
      <c r="E883" s="14"/>
      <c r="F883" s="14"/>
      <c r="G883" s="14"/>
    </row>
    <row r="884" ht="12.75" customHeight="1">
      <c r="A884" s="14"/>
      <c r="B884" s="14"/>
      <c r="C884" s="14"/>
      <c r="D884" s="14"/>
      <c r="E884" s="14"/>
      <c r="F884" s="14"/>
      <c r="G884" s="14"/>
    </row>
    <row r="885" ht="12.75" customHeight="1">
      <c r="A885" s="14"/>
      <c r="B885" s="14"/>
      <c r="C885" s="14"/>
      <c r="D885" s="14"/>
      <c r="E885" s="14"/>
      <c r="F885" s="14"/>
      <c r="G885" s="14"/>
    </row>
    <row r="886" ht="12.75" customHeight="1">
      <c r="A886" s="14"/>
      <c r="B886" s="14"/>
      <c r="C886" s="14"/>
      <c r="D886" s="14"/>
      <c r="E886" s="14"/>
      <c r="F886" s="14"/>
      <c r="G886" s="14"/>
    </row>
    <row r="887" ht="12.75" customHeight="1">
      <c r="A887" s="14"/>
      <c r="B887" s="14"/>
      <c r="C887" s="14"/>
      <c r="D887" s="14"/>
      <c r="E887" s="14"/>
      <c r="F887" s="14"/>
      <c r="G887" s="14"/>
    </row>
    <row r="888" ht="12.75" customHeight="1">
      <c r="A888" s="14"/>
      <c r="B888" s="14"/>
      <c r="C888" s="14"/>
      <c r="D888" s="14"/>
      <c r="E888" s="14"/>
      <c r="F888" s="14"/>
      <c r="G888" s="14"/>
    </row>
    <row r="889" ht="12.75" customHeight="1">
      <c r="A889" s="14"/>
      <c r="B889" s="14"/>
      <c r="C889" s="14"/>
      <c r="D889" s="14"/>
      <c r="E889" s="14"/>
      <c r="F889" s="14"/>
      <c r="G889" s="14"/>
    </row>
    <row r="890" ht="12.75" customHeight="1">
      <c r="A890" s="14"/>
      <c r="B890" s="14"/>
      <c r="C890" s="14"/>
      <c r="D890" s="14"/>
      <c r="E890" s="14"/>
      <c r="F890" s="14"/>
      <c r="G890" s="14"/>
    </row>
    <row r="891" ht="12.75" customHeight="1">
      <c r="A891" s="14"/>
      <c r="B891" s="14"/>
      <c r="C891" s="14"/>
      <c r="D891" s="14"/>
      <c r="E891" s="14"/>
      <c r="F891" s="14"/>
      <c r="G891" s="14"/>
    </row>
    <row r="892" ht="12.75" customHeight="1">
      <c r="A892" s="14"/>
      <c r="B892" s="14"/>
      <c r="C892" s="14"/>
      <c r="D892" s="14"/>
      <c r="E892" s="14"/>
      <c r="F892" s="14"/>
      <c r="G892" s="14"/>
    </row>
    <row r="893" ht="12.75" customHeight="1">
      <c r="A893" s="14"/>
      <c r="B893" s="14"/>
      <c r="C893" s="14"/>
      <c r="D893" s="14"/>
      <c r="E893" s="14"/>
      <c r="F893" s="14"/>
      <c r="G893" s="14"/>
    </row>
    <row r="894" ht="12.75" customHeight="1">
      <c r="A894" s="14"/>
      <c r="B894" s="14"/>
      <c r="C894" s="14"/>
      <c r="D894" s="14"/>
      <c r="E894" s="14"/>
      <c r="F894" s="14"/>
      <c r="G894" s="14"/>
    </row>
    <row r="895" ht="12.75" customHeight="1">
      <c r="A895" s="14"/>
      <c r="B895" s="14"/>
      <c r="C895" s="14"/>
      <c r="D895" s="14"/>
      <c r="E895" s="14"/>
      <c r="F895" s="14"/>
      <c r="G895" s="14"/>
    </row>
    <row r="896" ht="12.75" customHeight="1">
      <c r="A896" s="14"/>
      <c r="B896" s="14"/>
      <c r="C896" s="14"/>
      <c r="D896" s="14"/>
      <c r="E896" s="14"/>
      <c r="F896" s="14"/>
      <c r="G896" s="14"/>
    </row>
    <row r="897" ht="12.75" customHeight="1">
      <c r="A897" s="14"/>
      <c r="B897" s="14"/>
      <c r="C897" s="14"/>
      <c r="D897" s="14"/>
      <c r="E897" s="14"/>
      <c r="F897" s="14"/>
      <c r="G897" s="14"/>
    </row>
    <row r="898" ht="12.75" customHeight="1">
      <c r="A898" s="14"/>
      <c r="B898" s="14"/>
      <c r="C898" s="14"/>
      <c r="D898" s="14"/>
      <c r="E898" s="14"/>
      <c r="F898" s="14"/>
      <c r="G898" s="14"/>
    </row>
    <row r="899" ht="12.75" customHeight="1">
      <c r="A899" s="14"/>
      <c r="B899" s="14"/>
      <c r="C899" s="14"/>
      <c r="D899" s="14"/>
      <c r="E899" s="14"/>
      <c r="F899" s="14"/>
      <c r="G899" s="14"/>
    </row>
    <row r="900" ht="12.75" customHeight="1">
      <c r="A900" s="14"/>
      <c r="B900" s="14"/>
      <c r="C900" s="14"/>
      <c r="D900" s="14"/>
      <c r="E900" s="14"/>
      <c r="F900" s="14"/>
      <c r="G900" s="14"/>
    </row>
    <row r="901" ht="12.75" customHeight="1">
      <c r="A901" s="14"/>
      <c r="B901" s="14"/>
      <c r="C901" s="14"/>
      <c r="D901" s="14"/>
      <c r="E901" s="14"/>
      <c r="F901" s="14"/>
      <c r="G901" s="14"/>
    </row>
    <row r="902" ht="12.75" customHeight="1">
      <c r="A902" s="14"/>
      <c r="B902" s="14"/>
      <c r="C902" s="14"/>
      <c r="D902" s="14"/>
      <c r="E902" s="14"/>
      <c r="F902" s="14"/>
      <c r="G902" s="14"/>
    </row>
    <row r="903" ht="12.75" customHeight="1">
      <c r="A903" s="14"/>
      <c r="B903" s="14"/>
      <c r="C903" s="14"/>
      <c r="D903" s="14"/>
      <c r="E903" s="14"/>
      <c r="F903" s="14"/>
      <c r="G903" s="14"/>
    </row>
    <row r="904" ht="12.75" customHeight="1">
      <c r="A904" s="14"/>
      <c r="B904" s="14"/>
      <c r="C904" s="14"/>
      <c r="D904" s="14"/>
      <c r="E904" s="14"/>
      <c r="F904" s="14"/>
      <c r="G904" s="14"/>
    </row>
    <row r="905" ht="12.75" customHeight="1">
      <c r="A905" s="14"/>
      <c r="B905" s="14"/>
      <c r="C905" s="14"/>
      <c r="D905" s="14"/>
      <c r="E905" s="14"/>
      <c r="F905" s="14"/>
      <c r="G905" s="14"/>
    </row>
    <row r="906" ht="12.75" customHeight="1">
      <c r="A906" s="14"/>
      <c r="B906" s="14"/>
      <c r="C906" s="14"/>
      <c r="D906" s="14"/>
      <c r="E906" s="14"/>
      <c r="F906" s="14"/>
      <c r="G906" s="14"/>
    </row>
    <row r="907" ht="12.75" customHeight="1">
      <c r="A907" s="14"/>
      <c r="B907" s="14"/>
      <c r="C907" s="14"/>
      <c r="D907" s="14"/>
      <c r="E907" s="14"/>
      <c r="F907" s="14"/>
      <c r="G907" s="14"/>
    </row>
    <row r="908" ht="12.75" customHeight="1">
      <c r="A908" s="14"/>
      <c r="B908" s="14"/>
      <c r="C908" s="14"/>
      <c r="D908" s="14"/>
      <c r="E908" s="14"/>
      <c r="F908" s="14"/>
      <c r="G908" s="14"/>
    </row>
    <row r="909" ht="12.75" customHeight="1">
      <c r="A909" s="14"/>
      <c r="B909" s="14"/>
      <c r="C909" s="14"/>
      <c r="D909" s="14"/>
      <c r="E909" s="14"/>
      <c r="F909" s="14"/>
      <c r="G909" s="14"/>
    </row>
    <row r="910" ht="12.75" customHeight="1">
      <c r="A910" s="14"/>
      <c r="B910" s="14"/>
      <c r="C910" s="14"/>
      <c r="D910" s="14"/>
      <c r="E910" s="14"/>
      <c r="F910" s="14"/>
      <c r="G910" s="14"/>
    </row>
    <row r="911" ht="12.75" customHeight="1">
      <c r="A911" s="14"/>
      <c r="B911" s="14"/>
      <c r="C911" s="14"/>
      <c r="D911" s="14"/>
      <c r="E911" s="14"/>
      <c r="F911" s="14"/>
      <c r="G911" s="14"/>
    </row>
    <row r="912" ht="12.75" customHeight="1">
      <c r="A912" s="14"/>
      <c r="B912" s="14"/>
      <c r="C912" s="14"/>
      <c r="D912" s="14"/>
      <c r="E912" s="14"/>
      <c r="F912" s="14"/>
      <c r="G912" s="14"/>
    </row>
    <row r="913" ht="12.75" customHeight="1">
      <c r="A913" s="14"/>
      <c r="B913" s="14"/>
      <c r="C913" s="14"/>
      <c r="D913" s="14"/>
      <c r="E913" s="14"/>
      <c r="F913" s="14"/>
      <c r="G913" s="14"/>
    </row>
    <row r="914" ht="12.75" customHeight="1">
      <c r="A914" s="14"/>
      <c r="B914" s="14"/>
      <c r="C914" s="14"/>
      <c r="D914" s="14"/>
      <c r="E914" s="14"/>
      <c r="F914" s="14"/>
      <c r="G914" s="14"/>
    </row>
    <row r="915" ht="12.75" customHeight="1">
      <c r="A915" s="14"/>
      <c r="B915" s="14"/>
      <c r="C915" s="14"/>
      <c r="D915" s="14"/>
      <c r="E915" s="14"/>
      <c r="F915" s="14"/>
      <c r="G915" s="14"/>
    </row>
    <row r="916" ht="12.75" customHeight="1">
      <c r="A916" s="14"/>
      <c r="B916" s="14"/>
      <c r="C916" s="14"/>
      <c r="D916" s="14"/>
      <c r="E916" s="14"/>
      <c r="F916" s="14"/>
      <c r="G916" s="14"/>
    </row>
    <row r="917" ht="12.75" customHeight="1">
      <c r="A917" s="14"/>
      <c r="B917" s="14"/>
      <c r="C917" s="14"/>
      <c r="D917" s="14"/>
      <c r="E917" s="14"/>
      <c r="F917" s="14"/>
      <c r="G917" s="14"/>
    </row>
    <row r="918" ht="12.75" customHeight="1">
      <c r="A918" s="14"/>
      <c r="B918" s="14"/>
      <c r="C918" s="14"/>
      <c r="D918" s="14"/>
      <c r="E918" s="14"/>
      <c r="F918" s="14"/>
      <c r="G918" s="14"/>
    </row>
    <row r="919" ht="12.75" customHeight="1">
      <c r="A919" s="14"/>
      <c r="B919" s="14"/>
      <c r="C919" s="14"/>
      <c r="D919" s="14"/>
      <c r="E919" s="14"/>
      <c r="F919" s="14"/>
      <c r="G919" s="14"/>
    </row>
    <row r="920" ht="12.75" customHeight="1">
      <c r="A920" s="14"/>
      <c r="B920" s="14"/>
      <c r="C920" s="14"/>
      <c r="D920" s="14"/>
      <c r="E920" s="14"/>
      <c r="F920" s="14"/>
      <c r="G920" s="14"/>
    </row>
    <row r="921" ht="12.75" customHeight="1">
      <c r="A921" s="14"/>
      <c r="B921" s="14"/>
      <c r="C921" s="14"/>
      <c r="D921" s="14"/>
      <c r="E921" s="14"/>
      <c r="F921" s="14"/>
      <c r="G921" s="14"/>
    </row>
    <row r="922" ht="12.75" customHeight="1">
      <c r="A922" s="14"/>
      <c r="B922" s="14"/>
      <c r="C922" s="14"/>
      <c r="D922" s="14"/>
      <c r="E922" s="14"/>
      <c r="F922" s="14"/>
      <c r="G922" s="14"/>
    </row>
    <row r="923" ht="12.75" customHeight="1">
      <c r="A923" s="14"/>
      <c r="B923" s="14"/>
      <c r="C923" s="14"/>
      <c r="D923" s="14"/>
      <c r="E923" s="14"/>
      <c r="F923" s="14"/>
      <c r="G923" s="14"/>
    </row>
    <row r="924" ht="12.75" customHeight="1">
      <c r="A924" s="14"/>
      <c r="B924" s="14"/>
      <c r="C924" s="14"/>
      <c r="D924" s="14"/>
      <c r="E924" s="14"/>
      <c r="F924" s="14"/>
      <c r="G924" s="14"/>
    </row>
    <row r="925" ht="12.75" customHeight="1">
      <c r="A925" s="14"/>
      <c r="B925" s="14"/>
      <c r="C925" s="14"/>
      <c r="D925" s="14"/>
      <c r="E925" s="14"/>
      <c r="F925" s="14"/>
      <c r="G925" s="14"/>
    </row>
    <row r="926" ht="12.75" customHeight="1">
      <c r="A926" s="14"/>
      <c r="B926" s="14"/>
      <c r="C926" s="14"/>
      <c r="D926" s="14"/>
      <c r="E926" s="14"/>
      <c r="F926" s="14"/>
      <c r="G926" s="14"/>
    </row>
    <row r="927" ht="12.75" customHeight="1">
      <c r="A927" s="14"/>
      <c r="B927" s="14"/>
      <c r="C927" s="14"/>
      <c r="D927" s="14"/>
      <c r="E927" s="14"/>
      <c r="F927" s="14"/>
      <c r="G927" s="14"/>
    </row>
    <row r="928" ht="12.75" customHeight="1">
      <c r="A928" s="14"/>
      <c r="B928" s="14"/>
      <c r="C928" s="14"/>
      <c r="D928" s="14"/>
      <c r="E928" s="14"/>
      <c r="F928" s="14"/>
      <c r="G928" s="14"/>
    </row>
    <row r="929" ht="12.75" customHeight="1">
      <c r="A929" s="14"/>
      <c r="B929" s="14"/>
      <c r="C929" s="14"/>
      <c r="D929" s="14"/>
      <c r="E929" s="14"/>
      <c r="F929" s="14"/>
      <c r="G929" s="14"/>
    </row>
    <row r="930" ht="12.75" customHeight="1">
      <c r="A930" s="14"/>
      <c r="B930" s="14"/>
      <c r="C930" s="14"/>
      <c r="D930" s="14"/>
      <c r="E930" s="14"/>
      <c r="F930" s="14"/>
      <c r="G930" s="14"/>
    </row>
    <row r="931" ht="12.75" customHeight="1">
      <c r="A931" s="14"/>
      <c r="B931" s="14"/>
      <c r="C931" s="14"/>
      <c r="D931" s="14"/>
      <c r="E931" s="14"/>
      <c r="F931" s="14"/>
      <c r="G931" s="14"/>
    </row>
    <row r="932" ht="12.75" customHeight="1">
      <c r="A932" s="14"/>
      <c r="B932" s="14"/>
      <c r="C932" s="14"/>
      <c r="D932" s="14"/>
      <c r="E932" s="14"/>
      <c r="F932" s="14"/>
      <c r="G932" s="14"/>
    </row>
    <row r="933" ht="12.75" customHeight="1">
      <c r="A933" s="14"/>
      <c r="B933" s="14"/>
      <c r="C933" s="14"/>
      <c r="D933" s="14"/>
      <c r="E933" s="14"/>
      <c r="F933" s="14"/>
      <c r="G933" s="14"/>
    </row>
    <row r="934" ht="12.75" customHeight="1">
      <c r="A934" s="14"/>
      <c r="B934" s="14"/>
      <c r="C934" s="14"/>
      <c r="D934" s="14"/>
      <c r="E934" s="14"/>
      <c r="F934" s="14"/>
      <c r="G934" s="14"/>
    </row>
    <row r="935" ht="12.75" customHeight="1">
      <c r="A935" s="14"/>
      <c r="B935" s="14"/>
      <c r="C935" s="14"/>
      <c r="D935" s="14"/>
      <c r="E935" s="14"/>
      <c r="F935" s="14"/>
      <c r="G935" s="14"/>
    </row>
    <row r="936" ht="12.75" customHeight="1">
      <c r="A936" s="14"/>
      <c r="B936" s="14"/>
      <c r="C936" s="14"/>
      <c r="D936" s="14"/>
      <c r="E936" s="14"/>
      <c r="F936" s="14"/>
      <c r="G936" s="14"/>
    </row>
    <row r="937" ht="12.75" customHeight="1">
      <c r="A937" s="14"/>
      <c r="B937" s="14"/>
      <c r="C937" s="14"/>
      <c r="D937" s="14"/>
      <c r="E937" s="14"/>
      <c r="F937" s="14"/>
      <c r="G937" s="14"/>
    </row>
    <row r="938" ht="12.75" customHeight="1">
      <c r="A938" s="14"/>
      <c r="B938" s="14"/>
      <c r="C938" s="14"/>
      <c r="D938" s="14"/>
      <c r="E938" s="14"/>
      <c r="F938" s="14"/>
      <c r="G938" s="14"/>
    </row>
    <row r="939" ht="12.75" customHeight="1">
      <c r="A939" s="14"/>
      <c r="B939" s="14"/>
      <c r="C939" s="14"/>
      <c r="D939" s="14"/>
      <c r="E939" s="14"/>
      <c r="F939" s="14"/>
      <c r="G939" s="14"/>
    </row>
    <row r="940" ht="12.75" customHeight="1">
      <c r="A940" s="14"/>
      <c r="B940" s="14"/>
      <c r="C940" s="14"/>
      <c r="D940" s="14"/>
      <c r="E940" s="14"/>
      <c r="F940" s="14"/>
      <c r="G940" s="14"/>
    </row>
    <row r="941" ht="12.75" customHeight="1">
      <c r="A941" s="14"/>
      <c r="B941" s="14"/>
      <c r="C941" s="14"/>
      <c r="D941" s="14"/>
      <c r="E941" s="14"/>
      <c r="F941" s="14"/>
      <c r="G941" s="14"/>
    </row>
    <row r="942" ht="12.75" customHeight="1">
      <c r="A942" s="14"/>
      <c r="B942" s="14"/>
      <c r="C942" s="14"/>
      <c r="D942" s="14"/>
      <c r="E942" s="14"/>
      <c r="F942" s="14"/>
      <c r="G942" s="14"/>
    </row>
    <row r="943" ht="12.75" customHeight="1">
      <c r="A943" s="14"/>
      <c r="B943" s="14"/>
      <c r="C943" s="14"/>
      <c r="D943" s="14"/>
      <c r="E943" s="14"/>
      <c r="F943" s="14"/>
      <c r="G943" s="14"/>
    </row>
    <row r="944" ht="12.75" customHeight="1">
      <c r="A944" s="14"/>
      <c r="B944" s="14"/>
      <c r="C944" s="14"/>
      <c r="D944" s="14"/>
      <c r="E944" s="14"/>
      <c r="F944" s="14"/>
      <c r="G944" s="14"/>
    </row>
    <row r="945" ht="12.75" customHeight="1">
      <c r="A945" s="14"/>
      <c r="B945" s="14"/>
      <c r="C945" s="14"/>
      <c r="D945" s="14"/>
      <c r="E945" s="14"/>
      <c r="F945" s="14"/>
      <c r="G945" s="14"/>
    </row>
    <row r="946" ht="12.75" customHeight="1">
      <c r="A946" s="14"/>
      <c r="B946" s="14"/>
      <c r="C946" s="14"/>
      <c r="D946" s="14"/>
      <c r="E946" s="14"/>
      <c r="F946" s="14"/>
      <c r="G946" s="14"/>
    </row>
    <row r="947" ht="12.75" customHeight="1">
      <c r="A947" s="14"/>
      <c r="B947" s="14"/>
      <c r="C947" s="14"/>
      <c r="D947" s="14"/>
      <c r="E947" s="14"/>
      <c r="F947" s="14"/>
      <c r="G947" s="14"/>
    </row>
    <row r="948" ht="12.75" customHeight="1">
      <c r="A948" s="14"/>
      <c r="B948" s="14"/>
      <c r="C948" s="14"/>
      <c r="D948" s="14"/>
      <c r="E948" s="14"/>
      <c r="F948" s="14"/>
      <c r="G948" s="14"/>
    </row>
    <row r="949" ht="12.75" customHeight="1">
      <c r="A949" s="14"/>
      <c r="B949" s="14"/>
      <c r="C949" s="14"/>
      <c r="D949" s="14"/>
      <c r="E949" s="14"/>
      <c r="F949" s="14"/>
      <c r="G949" s="14"/>
    </row>
    <row r="950" ht="12.75" customHeight="1">
      <c r="A950" s="14"/>
      <c r="B950" s="14"/>
      <c r="C950" s="14"/>
      <c r="D950" s="14"/>
      <c r="E950" s="14"/>
      <c r="F950" s="14"/>
      <c r="G950" s="14"/>
    </row>
    <row r="951" ht="12.75" customHeight="1">
      <c r="A951" s="14"/>
      <c r="B951" s="14"/>
      <c r="C951" s="14"/>
      <c r="D951" s="14"/>
      <c r="E951" s="14"/>
      <c r="F951" s="14"/>
      <c r="G951" s="14"/>
    </row>
    <row r="952" ht="12.75" customHeight="1">
      <c r="A952" s="14"/>
      <c r="B952" s="14"/>
      <c r="C952" s="14"/>
      <c r="D952" s="14"/>
      <c r="E952" s="14"/>
      <c r="F952" s="14"/>
      <c r="G952" s="14"/>
    </row>
    <row r="953" ht="12.75" customHeight="1">
      <c r="A953" s="14"/>
      <c r="B953" s="14"/>
      <c r="C953" s="14"/>
      <c r="D953" s="14"/>
      <c r="E953" s="14"/>
      <c r="F953" s="14"/>
      <c r="G953" s="14"/>
    </row>
    <row r="954" ht="12.75" customHeight="1">
      <c r="A954" s="14"/>
      <c r="B954" s="14"/>
      <c r="C954" s="14"/>
      <c r="D954" s="14"/>
      <c r="E954" s="14"/>
      <c r="F954" s="14"/>
      <c r="G954" s="14"/>
    </row>
    <row r="955" ht="12.75" customHeight="1">
      <c r="A955" s="14"/>
      <c r="B955" s="14"/>
      <c r="C955" s="14"/>
      <c r="D955" s="14"/>
      <c r="E955" s="14"/>
      <c r="F955" s="14"/>
      <c r="G955" s="14"/>
    </row>
    <row r="956" ht="12.75" customHeight="1">
      <c r="A956" s="14"/>
      <c r="B956" s="14"/>
      <c r="C956" s="14"/>
      <c r="D956" s="14"/>
      <c r="E956" s="14"/>
      <c r="F956" s="14"/>
      <c r="G956" s="14"/>
    </row>
    <row r="957" ht="12.75" customHeight="1">
      <c r="A957" s="14"/>
      <c r="B957" s="14"/>
      <c r="C957" s="14"/>
      <c r="D957" s="14"/>
      <c r="E957" s="14"/>
      <c r="F957" s="14"/>
      <c r="G957" s="14"/>
    </row>
    <row r="958" ht="12.75" customHeight="1">
      <c r="A958" s="14"/>
      <c r="B958" s="14"/>
      <c r="C958" s="14"/>
      <c r="D958" s="14"/>
      <c r="E958" s="14"/>
      <c r="F958" s="14"/>
      <c r="G958" s="14"/>
    </row>
    <row r="959" ht="12.75" customHeight="1">
      <c r="A959" s="14"/>
      <c r="B959" s="14"/>
      <c r="C959" s="14"/>
      <c r="D959" s="14"/>
      <c r="E959" s="14"/>
      <c r="F959" s="14"/>
      <c r="G959" s="14"/>
    </row>
    <row r="960" ht="12.75" customHeight="1">
      <c r="A960" s="14"/>
      <c r="B960" s="14"/>
      <c r="C960" s="14"/>
      <c r="D960" s="14"/>
      <c r="E960" s="14"/>
      <c r="F960" s="14"/>
      <c r="G960" s="14"/>
    </row>
    <row r="961" ht="12.75" customHeight="1">
      <c r="A961" s="14"/>
      <c r="B961" s="14"/>
      <c r="C961" s="14"/>
      <c r="D961" s="14"/>
      <c r="E961" s="14"/>
      <c r="F961" s="14"/>
      <c r="G961" s="14"/>
    </row>
    <row r="962" ht="12.75" customHeight="1">
      <c r="A962" s="14"/>
      <c r="B962" s="14"/>
      <c r="C962" s="14"/>
      <c r="D962" s="14"/>
      <c r="E962" s="14"/>
      <c r="F962" s="14"/>
      <c r="G962" s="14"/>
    </row>
    <row r="963" ht="12.75" customHeight="1">
      <c r="A963" s="14"/>
      <c r="B963" s="14"/>
      <c r="C963" s="14"/>
      <c r="D963" s="14"/>
      <c r="E963" s="14"/>
      <c r="F963" s="14"/>
      <c r="G963" s="14"/>
    </row>
    <row r="964" ht="12.75" customHeight="1">
      <c r="A964" s="14"/>
      <c r="B964" s="14"/>
      <c r="C964" s="14"/>
      <c r="D964" s="14"/>
      <c r="E964" s="14"/>
      <c r="F964" s="14"/>
      <c r="G964" s="14"/>
    </row>
    <row r="965" ht="12.75" customHeight="1">
      <c r="A965" s="14"/>
      <c r="B965" s="14"/>
      <c r="C965" s="14"/>
      <c r="D965" s="14"/>
      <c r="E965" s="14"/>
      <c r="F965" s="14"/>
      <c r="G965" s="14"/>
    </row>
    <row r="966" ht="12.75" customHeight="1">
      <c r="A966" s="14"/>
      <c r="B966" s="14"/>
      <c r="C966" s="14"/>
      <c r="D966" s="14"/>
      <c r="E966" s="14"/>
      <c r="F966" s="14"/>
      <c r="G966" s="14"/>
    </row>
    <row r="967" ht="12.75" customHeight="1">
      <c r="A967" s="14"/>
      <c r="B967" s="14"/>
      <c r="C967" s="14"/>
      <c r="D967" s="14"/>
      <c r="E967" s="14"/>
      <c r="F967" s="14"/>
      <c r="G967" s="14"/>
    </row>
    <row r="968" ht="12.75" customHeight="1">
      <c r="A968" s="14"/>
      <c r="B968" s="14"/>
      <c r="C968" s="14"/>
      <c r="D968" s="14"/>
      <c r="E968" s="14"/>
      <c r="F968" s="14"/>
      <c r="G968" s="14"/>
    </row>
    <row r="969" ht="12.75" customHeight="1">
      <c r="A969" s="14"/>
      <c r="B969" s="14"/>
      <c r="C969" s="14"/>
      <c r="D969" s="14"/>
      <c r="E969" s="14"/>
      <c r="F969" s="14"/>
      <c r="G969" s="14"/>
    </row>
    <row r="970" ht="12.75" customHeight="1">
      <c r="A970" s="14"/>
      <c r="B970" s="14"/>
      <c r="C970" s="14"/>
      <c r="D970" s="14"/>
      <c r="E970" s="14"/>
      <c r="F970" s="14"/>
      <c r="G970" s="14"/>
    </row>
    <row r="971" ht="12.75" customHeight="1">
      <c r="A971" s="14"/>
      <c r="B971" s="14"/>
      <c r="C971" s="14"/>
      <c r="D971" s="14"/>
      <c r="E971" s="14"/>
      <c r="F971" s="14"/>
      <c r="G971" s="14"/>
    </row>
    <row r="972" ht="12.75" customHeight="1">
      <c r="A972" s="14"/>
      <c r="B972" s="14"/>
      <c r="C972" s="14"/>
      <c r="D972" s="14"/>
      <c r="E972" s="14"/>
      <c r="F972" s="14"/>
      <c r="G972" s="14"/>
    </row>
    <row r="973" ht="12.75" customHeight="1">
      <c r="A973" s="14"/>
      <c r="B973" s="14"/>
      <c r="C973" s="14"/>
      <c r="D973" s="14"/>
      <c r="E973" s="14"/>
      <c r="F973" s="14"/>
      <c r="G973" s="14"/>
    </row>
    <row r="974" ht="12.75" customHeight="1">
      <c r="A974" s="14"/>
      <c r="B974" s="14"/>
      <c r="C974" s="14"/>
      <c r="D974" s="14"/>
      <c r="E974" s="14"/>
      <c r="F974" s="14"/>
      <c r="G974" s="14"/>
    </row>
    <row r="975" ht="12.75" customHeight="1">
      <c r="A975" s="14"/>
      <c r="B975" s="14"/>
      <c r="C975" s="14"/>
      <c r="D975" s="14"/>
      <c r="E975" s="14"/>
      <c r="F975" s="14"/>
      <c r="G975" s="14"/>
    </row>
    <row r="976" ht="12.75" customHeight="1">
      <c r="A976" s="14"/>
      <c r="B976" s="14"/>
      <c r="C976" s="14"/>
      <c r="D976" s="14"/>
      <c r="E976" s="14"/>
      <c r="F976" s="14"/>
      <c r="G976" s="14"/>
    </row>
    <row r="977" ht="12.75" customHeight="1">
      <c r="A977" s="14"/>
      <c r="B977" s="14"/>
      <c r="C977" s="14"/>
      <c r="D977" s="14"/>
      <c r="E977" s="14"/>
      <c r="F977" s="14"/>
      <c r="G977" s="14"/>
    </row>
    <row r="978" ht="12.75" customHeight="1">
      <c r="A978" s="14"/>
      <c r="B978" s="14"/>
      <c r="C978" s="14"/>
      <c r="D978" s="14"/>
      <c r="E978" s="14"/>
      <c r="F978" s="14"/>
      <c r="G978" s="14"/>
    </row>
    <row r="979" ht="12.75" customHeight="1">
      <c r="A979" s="14"/>
      <c r="B979" s="14"/>
      <c r="C979" s="14"/>
      <c r="D979" s="14"/>
      <c r="E979" s="14"/>
      <c r="F979" s="14"/>
      <c r="G979" s="14"/>
    </row>
    <row r="980" ht="12.75" customHeight="1">
      <c r="A980" s="14"/>
      <c r="B980" s="14"/>
      <c r="C980" s="14"/>
      <c r="D980" s="14"/>
      <c r="E980" s="14"/>
      <c r="F980" s="14"/>
      <c r="G980" s="14"/>
    </row>
    <row r="981" ht="12.75" customHeight="1">
      <c r="A981" s="14"/>
      <c r="B981" s="14"/>
      <c r="C981" s="14"/>
      <c r="D981" s="14"/>
      <c r="E981" s="14"/>
      <c r="F981" s="14"/>
      <c r="G981" s="14"/>
    </row>
    <row r="982" ht="12.75" customHeight="1">
      <c r="A982" s="14"/>
      <c r="B982" s="14"/>
      <c r="C982" s="14"/>
      <c r="D982" s="14"/>
      <c r="E982" s="14"/>
      <c r="F982" s="14"/>
      <c r="G982" s="14"/>
    </row>
    <row r="983" ht="12.75" customHeight="1">
      <c r="A983" s="14"/>
      <c r="B983" s="14"/>
      <c r="C983" s="14"/>
      <c r="D983" s="14"/>
      <c r="E983" s="14"/>
      <c r="F983" s="14"/>
      <c r="G983" s="14"/>
    </row>
    <row r="984" ht="12.75" customHeight="1">
      <c r="A984" s="14"/>
      <c r="B984" s="14"/>
      <c r="C984" s="14"/>
      <c r="D984" s="14"/>
      <c r="E984" s="14"/>
      <c r="F984" s="14"/>
      <c r="G984" s="14"/>
    </row>
    <row r="985" ht="12.75" customHeight="1">
      <c r="A985" s="14"/>
      <c r="B985" s="14"/>
      <c r="C985" s="14"/>
      <c r="D985" s="14"/>
      <c r="E985" s="14"/>
      <c r="F985" s="14"/>
      <c r="G985" s="14"/>
    </row>
    <row r="986" ht="12.75" customHeight="1">
      <c r="A986" s="14"/>
      <c r="B986" s="14"/>
      <c r="C986" s="14"/>
      <c r="D986" s="14"/>
      <c r="E986" s="14"/>
      <c r="F986" s="14"/>
      <c r="G986" s="14"/>
    </row>
    <row r="987" ht="12.75" customHeight="1">
      <c r="A987" s="14"/>
      <c r="B987" s="14"/>
      <c r="C987" s="14"/>
      <c r="D987" s="14"/>
      <c r="E987" s="14"/>
      <c r="F987" s="14"/>
      <c r="G987" s="14"/>
    </row>
    <row r="988" ht="12.75" customHeight="1">
      <c r="A988" s="14"/>
      <c r="B988" s="14"/>
      <c r="C988" s="14"/>
      <c r="D988" s="14"/>
      <c r="E988" s="14"/>
      <c r="F988" s="14"/>
      <c r="G988" s="14"/>
    </row>
    <row r="989" ht="12.75" customHeight="1">
      <c r="A989" s="14"/>
      <c r="B989" s="14"/>
      <c r="C989" s="14"/>
      <c r="D989" s="14"/>
      <c r="E989" s="14"/>
      <c r="F989" s="14"/>
      <c r="G989" s="14"/>
    </row>
  </sheetData>
  <printOptions horizontalCentered="1"/>
  <pageMargins bottom="1.0" footer="0.0" header="0.0" left="0.75" right="0.75" top="1.0"/>
  <pageSetup fitToHeight="0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66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19.43"/>
    <col customWidth="1" min="2" max="2" width="22.0"/>
    <col customWidth="1" min="3" max="5" width="33.43"/>
    <col customWidth="1" min="6" max="6" width="13.43"/>
    <col customWidth="1" min="7" max="9" width="8.86"/>
  </cols>
  <sheetData>
    <row r="1" ht="12.75" customHeight="1">
      <c r="A1" s="41" t="s">
        <v>38</v>
      </c>
      <c r="B1" s="14"/>
      <c r="C1" s="14"/>
      <c r="D1" s="14"/>
      <c r="E1" s="14"/>
      <c r="F1" s="42"/>
      <c r="G1" s="43"/>
      <c r="H1" s="43"/>
      <c r="I1" s="43"/>
    </row>
    <row r="2" ht="29.25" customHeight="1">
      <c r="A2" s="44" t="s">
        <v>39</v>
      </c>
      <c r="B2" s="45" t="s">
        <v>40</v>
      </c>
      <c r="C2" s="45" t="s">
        <v>41</v>
      </c>
      <c r="D2" s="45" t="s">
        <v>41</v>
      </c>
      <c r="E2" s="46" t="s">
        <v>42</v>
      </c>
      <c r="F2" s="47" t="s">
        <v>43</v>
      </c>
      <c r="G2" s="42"/>
      <c r="H2" s="42"/>
      <c r="I2" s="42"/>
    </row>
    <row r="3" ht="15.0" customHeight="1">
      <c r="A3" s="48" t="s">
        <v>44</v>
      </c>
      <c r="B3" s="48" t="s">
        <v>28</v>
      </c>
      <c r="C3" s="48" t="s">
        <v>45</v>
      </c>
      <c r="D3" s="48" t="s">
        <v>8</v>
      </c>
      <c r="E3" s="48"/>
      <c r="F3" s="48">
        <v>7050.0</v>
      </c>
      <c r="G3" s="43"/>
      <c r="H3" s="43"/>
      <c r="I3" s="43"/>
    </row>
    <row r="4" ht="12.75" customHeight="1">
      <c r="A4" s="48" t="s">
        <v>44</v>
      </c>
      <c r="B4" s="48" t="s">
        <v>28</v>
      </c>
      <c r="C4" s="48" t="s">
        <v>46</v>
      </c>
      <c r="D4" s="48" t="s">
        <v>8</v>
      </c>
      <c r="E4" s="48"/>
      <c r="F4" s="48">
        <v>0.0</v>
      </c>
      <c r="G4" s="43"/>
      <c r="H4" s="43"/>
      <c r="I4" s="43"/>
    </row>
    <row r="5" ht="12.75" customHeight="1">
      <c r="A5" s="48" t="s">
        <v>44</v>
      </c>
      <c r="B5" s="48" t="s">
        <v>28</v>
      </c>
      <c r="C5" s="48" t="s">
        <v>46</v>
      </c>
      <c r="D5" s="48" t="s">
        <v>47</v>
      </c>
      <c r="E5" s="48"/>
      <c r="F5" s="48">
        <v>0.0</v>
      </c>
      <c r="G5" s="43"/>
      <c r="H5" s="43"/>
      <c r="I5" s="49"/>
    </row>
    <row r="6" ht="12.75" customHeight="1">
      <c r="A6" s="48" t="s">
        <v>44</v>
      </c>
      <c r="B6" s="48" t="s">
        <v>28</v>
      </c>
      <c r="C6" s="48" t="s">
        <v>48</v>
      </c>
      <c r="D6" s="48" t="s">
        <v>49</v>
      </c>
      <c r="E6" s="48"/>
      <c r="F6" s="48">
        <v>1410.0</v>
      </c>
      <c r="G6" s="43"/>
      <c r="H6" s="43"/>
      <c r="I6" s="49"/>
    </row>
    <row r="7" ht="12.75" customHeight="1">
      <c r="A7" s="48" t="s">
        <v>44</v>
      </c>
      <c r="B7" s="48" t="s">
        <v>28</v>
      </c>
      <c r="C7" s="48" t="s">
        <v>48</v>
      </c>
      <c r="D7" s="48" t="s">
        <v>49</v>
      </c>
      <c r="E7" s="48"/>
      <c r="F7" s="48">
        <v>282.0</v>
      </c>
      <c r="G7" s="43"/>
      <c r="H7" s="43"/>
      <c r="I7" s="49"/>
    </row>
    <row r="8" ht="12.75" customHeight="1">
      <c r="A8" s="48" t="s">
        <v>44</v>
      </c>
      <c r="B8" s="48" t="s">
        <v>28</v>
      </c>
      <c r="C8" s="48" t="s">
        <v>48</v>
      </c>
      <c r="D8" s="48" t="s">
        <v>49</v>
      </c>
      <c r="E8" s="48"/>
      <c r="F8" s="48">
        <v>211.5</v>
      </c>
      <c r="G8" s="43"/>
      <c r="H8" s="43"/>
      <c r="I8" s="49"/>
    </row>
    <row r="9" ht="12.75" customHeight="1">
      <c r="A9" s="48" t="s">
        <v>44</v>
      </c>
      <c r="B9" s="48" t="s">
        <v>28</v>
      </c>
      <c r="C9" s="48" t="s">
        <v>48</v>
      </c>
      <c r="D9" s="48" t="s">
        <v>49</v>
      </c>
      <c r="E9" s="48"/>
      <c r="F9" s="48">
        <v>117.5</v>
      </c>
      <c r="G9" s="43"/>
      <c r="H9" s="43"/>
      <c r="I9" s="49"/>
    </row>
    <row r="10" ht="12.75" customHeight="1">
      <c r="A10" s="48" t="s">
        <v>44</v>
      </c>
      <c r="B10" s="48" t="s">
        <v>28</v>
      </c>
      <c r="C10" s="48" t="s">
        <v>48</v>
      </c>
      <c r="D10" s="48" t="s">
        <v>49</v>
      </c>
      <c r="E10" s="48"/>
      <c r="F10" s="48">
        <v>399.5</v>
      </c>
      <c r="G10" s="43"/>
      <c r="H10" s="43"/>
      <c r="I10" s="49"/>
    </row>
    <row r="11" ht="12.75" customHeight="1">
      <c r="A11" s="48" t="s">
        <v>44</v>
      </c>
      <c r="B11" s="48" t="s">
        <v>28</v>
      </c>
      <c r="C11" s="48" t="s">
        <v>48</v>
      </c>
      <c r="D11" s="48" t="s">
        <v>49</v>
      </c>
      <c r="E11" s="48"/>
      <c r="F11" s="48">
        <v>117.5</v>
      </c>
      <c r="G11" s="43"/>
      <c r="H11" s="43"/>
      <c r="I11" s="49"/>
    </row>
    <row r="12" ht="12.75" customHeight="1">
      <c r="A12" s="48" t="s">
        <v>44</v>
      </c>
      <c r="B12" s="48" t="s">
        <v>28</v>
      </c>
      <c r="C12" s="48" t="s">
        <v>28</v>
      </c>
      <c r="D12" s="48" t="s">
        <v>50</v>
      </c>
      <c r="E12" s="48"/>
      <c r="F12" s="48">
        <v>-493.5</v>
      </c>
      <c r="G12" s="43"/>
      <c r="H12" s="43"/>
      <c r="I12" s="43"/>
    </row>
    <row r="13" ht="12.75" customHeight="1">
      <c r="A13" s="48" t="s">
        <v>44</v>
      </c>
      <c r="B13" s="48" t="s">
        <v>28</v>
      </c>
      <c r="C13" s="48" t="s">
        <v>51</v>
      </c>
      <c r="D13" s="48" t="s">
        <v>52</v>
      </c>
      <c r="E13" s="48"/>
      <c r="F13" s="48">
        <v>0.0</v>
      </c>
      <c r="G13" s="43"/>
      <c r="H13" s="43"/>
      <c r="I13" s="49"/>
    </row>
    <row r="14" ht="12.75" customHeight="1">
      <c r="A14" s="48" t="s">
        <v>44</v>
      </c>
      <c r="B14" s="48" t="s">
        <v>28</v>
      </c>
      <c r="C14" s="48" t="s">
        <v>51</v>
      </c>
      <c r="D14" s="48" t="s">
        <v>53</v>
      </c>
      <c r="E14" s="48"/>
      <c r="F14" s="48">
        <v>-7228.6</v>
      </c>
      <c r="G14" s="43"/>
      <c r="H14" s="43"/>
      <c r="I14" s="49"/>
    </row>
    <row r="15" ht="12.75" customHeight="1">
      <c r="A15" s="48" t="s">
        <v>44</v>
      </c>
      <c r="B15" s="48" t="s">
        <v>28</v>
      </c>
      <c r="C15" s="48" t="s">
        <v>51</v>
      </c>
      <c r="D15" s="48" t="s">
        <v>8</v>
      </c>
      <c r="E15" s="48"/>
      <c r="F15" s="48">
        <v>0.0</v>
      </c>
      <c r="G15" s="43"/>
      <c r="H15" s="43"/>
      <c r="I15" s="49"/>
    </row>
    <row r="16" ht="12.75" customHeight="1">
      <c r="A16" s="48" t="s">
        <v>44</v>
      </c>
      <c r="B16" s="48" t="s">
        <v>28</v>
      </c>
      <c r="C16" s="48" t="s">
        <v>51</v>
      </c>
      <c r="D16" s="48" t="s">
        <v>54</v>
      </c>
      <c r="E16" s="48"/>
      <c r="F16" s="48">
        <v>0.0</v>
      </c>
      <c r="G16" s="43"/>
      <c r="H16" s="43"/>
      <c r="I16" s="49"/>
    </row>
    <row r="17" ht="12.75" customHeight="1">
      <c r="A17" s="48" t="s">
        <v>44</v>
      </c>
      <c r="B17" s="48" t="s">
        <v>28</v>
      </c>
      <c r="C17" s="48" t="s">
        <v>51</v>
      </c>
      <c r="D17" s="48" t="s">
        <v>50</v>
      </c>
      <c r="E17" s="48"/>
      <c r="F17" s="48">
        <v>13662.9</v>
      </c>
      <c r="G17" s="43"/>
      <c r="H17" s="43"/>
      <c r="I17" s="49"/>
    </row>
    <row r="18" ht="12.0" customHeight="1">
      <c r="A18" s="48" t="s">
        <v>44</v>
      </c>
      <c r="B18" s="48" t="s">
        <v>28</v>
      </c>
      <c r="C18" s="48" t="s">
        <v>51</v>
      </c>
      <c r="D18" s="48" t="s">
        <v>50</v>
      </c>
      <c r="E18" s="48"/>
      <c r="F18" s="48">
        <v>493.5</v>
      </c>
      <c r="G18" s="43"/>
      <c r="H18" s="43"/>
      <c r="I18" s="43"/>
    </row>
    <row r="19" ht="12.0" customHeight="1">
      <c r="A19" s="48" t="s">
        <v>44</v>
      </c>
      <c r="B19" s="48" t="s">
        <v>28</v>
      </c>
      <c r="C19" s="48" t="s">
        <v>51</v>
      </c>
      <c r="D19" s="48" t="s">
        <v>50</v>
      </c>
      <c r="E19" s="48"/>
      <c r="F19" s="48">
        <v>-43169.5</v>
      </c>
      <c r="G19" s="43"/>
      <c r="H19" s="43"/>
      <c r="I19" s="43"/>
    </row>
    <row r="20" ht="12.0" customHeight="1">
      <c r="A20" s="48" t="s">
        <v>44</v>
      </c>
      <c r="B20" s="48" t="s">
        <v>28</v>
      </c>
      <c r="C20" s="50" t="s">
        <v>51</v>
      </c>
      <c r="D20" s="50" t="s">
        <v>47</v>
      </c>
      <c r="E20" s="50"/>
      <c r="F20" s="48">
        <v>0.0</v>
      </c>
      <c r="G20" s="43"/>
      <c r="H20" s="43"/>
      <c r="I20" s="49"/>
    </row>
    <row r="21" ht="12.0" customHeight="1">
      <c r="A21" s="48" t="s">
        <v>44</v>
      </c>
      <c r="B21" s="48" t="s">
        <v>28</v>
      </c>
      <c r="C21" s="50" t="s">
        <v>51</v>
      </c>
      <c r="D21" s="50" t="s">
        <v>47</v>
      </c>
      <c r="E21" s="50"/>
      <c r="F21" s="48">
        <v>-2942.2000000000003</v>
      </c>
      <c r="G21" s="43"/>
      <c r="H21" s="43"/>
      <c r="I21" s="43"/>
    </row>
    <row r="22" ht="12.0" customHeight="1">
      <c r="A22" s="48" t="s">
        <v>44</v>
      </c>
      <c r="B22" s="48" t="s">
        <v>28</v>
      </c>
      <c r="C22" s="50" t="s">
        <v>51</v>
      </c>
      <c r="D22" s="50" t="s">
        <v>47</v>
      </c>
      <c r="E22" s="50"/>
      <c r="F22" s="48">
        <v>0.0</v>
      </c>
      <c r="G22" s="43"/>
      <c r="H22" s="43"/>
      <c r="I22" s="49"/>
    </row>
    <row r="23" ht="12.0" customHeight="1">
      <c r="A23" s="48" t="s">
        <v>44</v>
      </c>
      <c r="B23" s="48" t="s">
        <v>28</v>
      </c>
      <c r="C23" s="50" t="s">
        <v>55</v>
      </c>
      <c r="D23" s="50" t="s">
        <v>54</v>
      </c>
      <c r="E23" s="50"/>
      <c r="F23" s="48">
        <v>1941.1000000000001</v>
      </c>
      <c r="G23" s="43"/>
      <c r="H23" s="43"/>
      <c r="I23" s="49"/>
    </row>
    <row r="24" ht="12.0" customHeight="1">
      <c r="A24" s="48" t="s">
        <v>44</v>
      </c>
      <c r="B24" s="48" t="s">
        <v>28</v>
      </c>
      <c r="C24" s="50" t="s">
        <v>54</v>
      </c>
      <c r="D24" s="50" t="s">
        <v>54</v>
      </c>
      <c r="E24" s="50"/>
      <c r="F24" s="48">
        <v>23222.7</v>
      </c>
      <c r="G24" s="43"/>
      <c r="H24" s="43"/>
      <c r="I24" s="49"/>
    </row>
    <row r="25" ht="12.0" customHeight="1">
      <c r="A25" s="48" t="s">
        <v>44</v>
      </c>
      <c r="B25" s="48" t="s">
        <v>28</v>
      </c>
      <c r="C25" s="50" t="s">
        <v>54</v>
      </c>
      <c r="D25" s="50" t="s">
        <v>54</v>
      </c>
      <c r="E25" s="50"/>
      <c r="F25" s="48">
        <v>438571.10000000003</v>
      </c>
      <c r="G25" s="43"/>
      <c r="H25" s="43"/>
      <c r="I25" s="49"/>
    </row>
    <row r="26" ht="12.0" customHeight="1">
      <c r="A26" s="48" t="s">
        <v>44</v>
      </c>
      <c r="B26" s="48" t="s">
        <v>28</v>
      </c>
      <c r="C26" s="50" t="s">
        <v>54</v>
      </c>
      <c r="D26" s="50" t="s">
        <v>54</v>
      </c>
      <c r="E26" s="50"/>
      <c r="F26" s="48">
        <v>15369.0</v>
      </c>
      <c r="G26" s="43"/>
      <c r="H26" s="43"/>
      <c r="I26" s="49"/>
    </row>
    <row r="27" ht="12.0" customHeight="1">
      <c r="A27" s="48" t="s">
        <v>44</v>
      </c>
      <c r="B27" s="48" t="s">
        <v>28</v>
      </c>
      <c r="C27" s="50" t="s">
        <v>54</v>
      </c>
      <c r="D27" s="50" t="s">
        <v>54</v>
      </c>
      <c r="E27" s="50"/>
      <c r="F27" s="48">
        <v>-532698.0</v>
      </c>
      <c r="G27" s="43"/>
      <c r="H27" s="43"/>
      <c r="I27" s="49"/>
    </row>
    <row r="28" ht="12.0" customHeight="1">
      <c r="A28" s="48" t="s">
        <v>44</v>
      </c>
      <c r="B28" s="48" t="s">
        <v>28</v>
      </c>
      <c r="C28" s="50" t="s">
        <v>54</v>
      </c>
      <c r="D28" s="50" t="s">
        <v>54</v>
      </c>
      <c r="E28" s="50"/>
      <c r="F28" s="48">
        <v>1043.4</v>
      </c>
      <c r="G28" s="43"/>
      <c r="H28" s="43"/>
      <c r="I28" s="49"/>
    </row>
    <row r="29" ht="12.0" customHeight="1">
      <c r="A29" s="48" t="s">
        <v>44</v>
      </c>
      <c r="B29" s="48" t="s">
        <v>28</v>
      </c>
      <c r="C29" s="50" t="s">
        <v>54</v>
      </c>
      <c r="D29" s="50" t="s">
        <v>47</v>
      </c>
      <c r="E29" s="50"/>
      <c r="F29" s="48">
        <v>54491.8</v>
      </c>
      <c r="G29" s="43"/>
      <c r="H29" s="43"/>
      <c r="I29" s="49"/>
    </row>
    <row r="30" ht="12.0" customHeight="1">
      <c r="A30" s="48" t="s">
        <v>44</v>
      </c>
      <c r="B30" s="48" t="s">
        <v>29</v>
      </c>
      <c r="C30" s="50" t="s">
        <v>56</v>
      </c>
      <c r="D30" s="50" t="s">
        <v>52</v>
      </c>
      <c r="E30" s="50"/>
      <c r="F30" s="48">
        <v>102817.2</v>
      </c>
      <c r="G30" s="43"/>
      <c r="H30" s="43"/>
      <c r="I30" s="43"/>
    </row>
    <row r="31" ht="12.0" customHeight="1">
      <c r="A31" s="48" t="s">
        <v>44</v>
      </c>
      <c r="B31" s="48" t="s">
        <v>29</v>
      </c>
      <c r="C31" s="50" t="s">
        <v>56</v>
      </c>
      <c r="D31" s="50" t="s">
        <v>52</v>
      </c>
      <c r="E31" s="50"/>
      <c r="F31" s="48">
        <v>0.0</v>
      </c>
      <c r="G31" s="43"/>
      <c r="H31" s="43"/>
      <c r="I31" s="43"/>
    </row>
    <row r="32" ht="12.0" customHeight="1">
      <c r="A32" s="48" t="s">
        <v>44</v>
      </c>
      <c r="B32" s="48" t="s">
        <v>29</v>
      </c>
      <c r="C32" s="50" t="s">
        <v>56</v>
      </c>
      <c r="D32" s="50" t="s">
        <v>53</v>
      </c>
      <c r="E32" s="50"/>
      <c r="F32" s="48">
        <v>-159.8</v>
      </c>
      <c r="G32" s="43"/>
      <c r="H32" s="43"/>
      <c r="I32" s="43"/>
    </row>
    <row r="33" ht="12.0" customHeight="1">
      <c r="A33" s="48" t="s">
        <v>44</v>
      </c>
      <c r="B33" s="48" t="s">
        <v>29</v>
      </c>
      <c r="C33" s="50" t="s">
        <v>56</v>
      </c>
      <c r="D33" s="50" t="s">
        <v>57</v>
      </c>
      <c r="E33" s="50"/>
      <c r="F33" s="48">
        <v>372804.0</v>
      </c>
      <c r="G33" s="43"/>
      <c r="H33" s="43"/>
      <c r="I33" s="43"/>
    </row>
    <row r="34" ht="12.0" customHeight="1">
      <c r="A34" s="48" t="s">
        <v>44</v>
      </c>
      <c r="B34" s="48" t="s">
        <v>29</v>
      </c>
      <c r="C34" s="50" t="s">
        <v>56</v>
      </c>
      <c r="D34" s="50" t="s">
        <v>58</v>
      </c>
      <c r="E34" s="50"/>
      <c r="F34" s="48">
        <v>0.0</v>
      </c>
      <c r="G34" s="43"/>
      <c r="H34" s="43"/>
      <c r="I34" s="49"/>
    </row>
    <row r="35" ht="12.0" customHeight="1">
      <c r="A35" s="48" t="s">
        <v>44</v>
      </c>
      <c r="B35" s="48" t="s">
        <v>29</v>
      </c>
      <c r="C35" s="50" t="s">
        <v>56</v>
      </c>
      <c r="D35" s="50" t="s">
        <v>58</v>
      </c>
      <c r="E35" s="50"/>
      <c r="F35" s="48">
        <v>6580.0</v>
      </c>
      <c r="G35" s="43"/>
      <c r="H35" s="43"/>
      <c r="I35" s="49"/>
    </row>
    <row r="36" ht="12.0" customHeight="1">
      <c r="A36" s="48" t="s">
        <v>44</v>
      </c>
      <c r="B36" s="48" t="s">
        <v>29</v>
      </c>
      <c r="C36" s="50" t="s">
        <v>56</v>
      </c>
      <c r="D36" s="50" t="s">
        <v>58</v>
      </c>
      <c r="E36" s="50"/>
      <c r="F36" s="48">
        <v>197400.0</v>
      </c>
      <c r="G36" s="43"/>
      <c r="H36" s="43"/>
      <c r="I36" s="49"/>
    </row>
    <row r="37" ht="12.0" customHeight="1">
      <c r="A37" s="48" t="s">
        <v>44</v>
      </c>
      <c r="B37" s="48" t="s">
        <v>29</v>
      </c>
      <c r="C37" s="48" t="s">
        <v>56</v>
      </c>
      <c r="D37" s="48" t="s">
        <v>54</v>
      </c>
      <c r="E37" s="48"/>
      <c r="F37" s="48">
        <v>235.0</v>
      </c>
      <c r="G37" s="43"/>
      <c r="H37" s="43"/>
      <c r="I37" s="49"/>
    </row>
    <row r="38" ht="12.0" customHeight="1">
      <c r="A38" s="48" t="s">
        <v>44</v>
      </c>
      <c r="B38" s="48" t="s">
        <v>29</v>
      </c>
      <c r="C38" s="48" t="s">
        <v>56</v>
      </c>
      <c r="D38" s="48" t="s">
        <v>54</v>
      </c>
      <c r="E38" s="48"/>
      <c r="F38" s="48">
        <v>106793.40000000001</v>
      </c>
      <c r="G38" s="43"/>
      <c r="H38" s="43"/>
      <c r="I38" s="49"/>
    </row>
    <row r="39" ht="12.75" customHeight="1">
      <c r="A39" s="48" t="s">
        <v>44</v>
      </c>
      <c r="B39" s="48" t="s">
        <v>29</v>
      </c>
      <c r="C39" s="48" t="s">
        <v>56</v>
      </c>
      <c r="D39" s="48" t="s">
        <v>49</v>
      </c>
      <c r="E39" s="48"/>
      <c r="F39" s="48">
        <v>331350.0</v>
      </c>
      <c r="G39" s="43"/>
      <c r="H39" s="43"/>
      <c r="I39" s="43"/>
    </row>
    <row r="40" ht="12.75" customHeight="1">
      <c r="A40" s="48" t="s">
        <v>44</v>
      </c>
      <c r="B40" s="48" t="s">
        <v>29</v>
      </c>
      <c r="C40" s="48" t="s">
        <v>56</v>
      </c>
      <c r="D40" s="48" t="s">
        <v>49</v>
      </c>
      <c r="E40" s="48"/>
      <c r="F40" s="48">
        <v>1048.1000000000001</v>
      </c>
      <c r="G40" s="43"/>
      <c r="H40" s="43"/>
      <c r="I40" s="49"/>
    </row>
    <row r="41" ht="12.75" customHeight="1">
      <c r="A41" s="48" t="s">
        <v>44</v>
      </c>
      <c r="B41" s="48" t="s">
        <v>29</v>
      </c>
      <c r="C41" s="48" t="s">
        <v>56</v>
      </c>
      <c r="D41" s="48" t="s">
        <v>50</v>
      </c>
      <c r="E41" s="48"/>
      <c r="F41" s="48">
        <v>15044.7</v>
      </c>
      <c r="G41" s="43"/>
      <c r="H41" s="43"/>
      <c r="I41" s="49"/>
    </row>
    <row r="42" ht="12.75" customHeight="1">
      <c r="A42" s="48" t="s">
        <v>44</v>
      </c>
      <c r="B42" s="48" t="s">
        <v>29</v>
      </c>
      <c r="C42" s="48" t="s">
        <v>56</v>
      </c>
      <c r="D42" s="48" t="s">
        <v>50</v>
      </c>
      <c r="E42" s="48"/>
      <c r="F42" s="48">
        <v>27805.2</v>
      </c>
      <c r="G42" s="43"/>
      <c r="H42" s="43"/>
      <c r="I42" s="49"/>
    </row>
    <row r="43" ht="12.0" customHeight="1">
      <c r="A43" s="48" t="s">
        <v>44</v>
      </c>
      <c r="B43" s="48" t="s">
        <v>29</v>
      </c>
      <c r="C43" s="48" t="s">
        <v>56</v>
      </c>
      <c r="D43" s="48" t="s">
        <v>50</v>
      </c>
      <c r="E43" s="48"/>
      <c r="F43" s="48">
        <v>43724.1</v>
      </c>
      <c r="G43" s="43"/>
      <c r="H43" s="43"/>
      <c r="I43" s="49"/>
    </row>
    <row r="44" ht="12.0" customHeight="1">
      <c r="A44" s="48" t="s">
        <v>44</v>
      </c>
      <c r="B44" s="48" t="s">
        <v>29</v>
      </c>
      <c r="C44" s="48" t="s">
        <v>56</v>
      </c>
      <c r="D44" s="48" t="s">
        <v>50</v>
      </c>
      <c r="E44" s="48"/>
      <c r="F44" s="48">
        <v>3106.7000000000003</v>
      </c>
      <c r="G44" s="43"/>
      <c r="H44" s="43"/>
      <c r="I44" s="43"/>
    </row>
    <row r="45" ht="12.0" customHeight="1">
      <c r="A45" s="48" t="s">
        <v>44</v>
      </c>
      <c r="B45" s="48" t="s">
        <v>29</v>
      </c>
      <c r="C45" s="48" t="s">
        <v>56</v>
      </c>
      <c r="D45" s="48" t="s">
        <v>50</v>
      </c>
      <c r="E45" s="48"/>
      <c r="F45" s="48">
        <v>14001.300000000001</v>
      </c>
      <c r="G45" s="43"/>
      <c r="H45" s="43"/>
      <c r="I45" s="43"/>
    </row>
    <row r="46" ht="12.0" customHeight="1">
      <c r="A46" s="48" t="s">
        <v>44</v>
      </c>
      <c r="B46" s="48" t="s">
        <v>29</v>
      </c>
      <c r="C46" s="48" t="s">
        <v>56</v>
      </c>
      <c r="D46" s="48" t="s">
        <v>47</v>
      </c>
      <c r="E46" s="48"/>
      <c r="F46" s="48">
        <v>0.0</v>
      </c>
      <c r="G46" s="43"/>
      <c r="H46" s="43"/>
      <c r="I46" s="43"/>
    </row>
    <row r="47" ht="12.0" customHeight="1">
      <c r="A47" s="48" t="s">
        <v>44</v>
      </c>
      <c r="B47" s="48" t="s">
        <v>29</v>
      </c>
      <c r="C47" s="48" t="s">
        <v>56</v>
      </c>
      <c r="D47" s="48" t="s">
        <v>47</v>
      </c>
      <c r="E47" s="48"/>
      <c r="F47" s="48">
        <v>1692.0</v>
      </c>
      <c r="G47" s="43"/>
      <c r="H47" s="43"/>
      <c r="I47" s="43"/>
    </row>
    <row r="48" ht="12.0" customHeight="1">
      <c r="A48" s="48" t="s">
        <v>44</v>
      </c>
      <c r="B48" s="48" t="s">
        <v>29</v>
      </c>
      <c r="C48" s="48" t="s">
        <v>56</v>
      </c>
      <c r="D48" s="48" t="s">
        <v>47</v>
      </c>
      <c r="E48" s="48"/>
      <c r="F48" s="48">
        <v>0.0</v>
      </c>
      <c r="G48" s="43"/>
      <c r="H48" s="43"/>
      <c r="I48" s="43"/>
    </row>
    <row r="49" ht="12.0" customHeight="1">
      <c r="A49" s="48" t="s">
        <v>44</v>
      </c>
      <c r="B49" s="48" t="s">
        <v>29</v>
      </c>
      <c r="C49" s="48" t="s">
        <v>56</v>
      </c>
      <c r="D49" s="48" t="s">
        <v>47</v>
      </c>
      <c r="E49" s="48"/>
      <c r="F49" s="48">
        <v>0.0</v>
      </c>
      <c r="G49" s="43"/>
      <c r="H49" s="43"/>
      <c r="I49" s="43"/>
    </row>
    <row r="50" ht="12.0" customHeight="1">
      <c r="A50" s="48" t="s">
        <v>44</v>
      </c>
      <c r="B50" s="48" t="s">
        <v>29</v>
      </c>
      <c r="C50" s="48" t="s">
        <v>59</v>
      </c>
      <c r="D50" s="48" t="s">
        <v>52</v>
      </c>
      <c r="E50" s="48"/>
      <c r="F50" s="48">
        <v>8812.5</v>
      </c>
      <c r="G50" s="43"/>
      <c r="H50" s="43"/>
      <c r="I50" s="43"/>
    </row>
    <row r="51" ht="12.0" customHeight="1">
      <c r="A51" s="48" t="s">
        <v>44</v>
      </c>
      <c r="B51" s="48" t="s">
        <v>29</v>
      </c>
      <c r="C51" s="48" t="s">
        <v>59</v>
      </c>
      <c r="D51" s="48" t="s">
        <v>52</v>
      </c>
      <c r="E51" s="48"/>
      <c r="F51" s="48">
        <v>0.0</v>
      </c>
      <c r="G51" s="43"/>
      <c r="H51" s="43"/>
      <c r="I51" s="43"/>
    </row>
    <row r="52" ht="12.0" customHeight="1">
      <c r="A52" s="48" t="s">
        <v>44</v>
      </c>
      <c r="B52" s="48" t="s">
        <v>29</v>
      </c>
      <c r="C52" s="48" t="s">
        <v>59</v>
      </c>
      <c r="D52" s="48" t="s">
        <v>58</v>
      </c>
      <c r="E52" s="48"/>
      <c r="F52" s="48">
        <v>0.0</v>
      </c>
      <c r="G52" s="43"/>
      <c r="H52" s="43"/>
      <c r="I52" s="43"/>
    </row>
    <row r="53" ht="12.0" customHeight="1">
      <c r="A53" s="48" t="s">
        <v>44</v>
      </c>
      <c r="B53" s="48" t="s">
        <v>29</v>
      </c>
      <c r="C53" s="48" t="s">
        <v>59</v>
      </c>
      <c r="D53" s="48" t="s">
        <v>54</v>
      </c>
      <c r="E53" s="48"/>
      <c r="F53" s="48">
        <v>80092.7</v>
      </c>
      <c r="G53" s="43"/>
      <c r="H53" s="43"/>
      <c r="I53" s="43"/>
    </row>
    <row r="54" ht="12.75" customHeight="1">
      <c r="A54" s="48" t="s">
        <v>44</v>
      </c>
      <c r="B54" s="48" t="s">
        <v>29</v>
      </c>
      <c r="C54" s="48" t="s">
        <v>59</v>
      </c>
      <c r="D54" s="48" t="s">
        <v>50</v>
      </c>
      <c r="E54" s="48"/>
      <c r="F54" s="48">
        <v>32791.9</v>
      </c>
      <c r="G54" s="43"/>
      <c r="H54" s="43"/>
      <c r="I54" s="43"/>
    </row>
    <row r="55" ht="12.0" customHeight="1">
      <c r="A55" s="48" t="s">
        <v>44</v>
      </c>
      <c r="B55" s="48" t="s">
        <v>29</v>
      </c>
      <c r="C55" s="48" t="s">
        <v>59</v>
      </c>
      <c r="D55" s="48" t="s">
        <v>50</v>
      </c>
      <c r="E55" s="48"/>
      <c r="F55" s="48">
        <v>7905.400000000001</v>
      </c>
      <c r="G55" s="43"/>
      <c r="H55" s="43"/>
      <c r="I55" s="43"/>
    </row>
    <row r="56" ht="12.75" customHeight="1">
      <c r="A56" s="48" t="s">
        <v>44</v>
      </c>
      <c r="B56" s="48" t="s">
        <v>29</v>
      </c>
      <c r="C56" s="48" t="s">
        <v>59</v>
      </c>
      <c r="D56" s="48" t="s">
        <v>50</v>
      </c>
      <c r="E56" s="48"/>
      <c r="F56" s="48">
        <v>11519.7</v>
      </c>
      <c r="G56" s="43"/>
      <c r="H56" s="43"/>
      <c r="I56" s="43"/>
    </row>
    <row r="57" ht="12.75" customHeight="1">
      <c r="A57" s="48" t="s">
        <v>44</v>
      </c>
      <c r="B57" s="48" t="s">
        <v>29</v>
      </c>
      <c r="C57" s="48" t="s">
        <v>59</v>
      </c>
      <c r="D57" s="48" t="s">
        <v>50</v>
      </c>
      <c r="E57" s="48"/>
      <c r="F57" s="48">
        <v>7595.200000000001</v>
      </c>
      <c r="G57" s="43"/>
      <c r="H57" s="43"/>
      <c r="I57" s="43"/>
    </row>
    <row r="58" ht="12.75" customHeight="1">
      <c r="A58" s="48" t="s">
        <v>44</v>
      </c>
      <c r="B58" s="48" t="s">
        <v>30</v>
      </c>
      <c r="C58" s="48" t="s">
        <v>6</v>
      </c>
      <c r="D58" s="48" t="s">
        <v>58</v>
      </c>
      <c r="E58" s="48"/>
      <c r="F58" s="48">
        <v>0.0</v>
      </c>
      <c r="G58" s="43"/>
      <c r="H58" s="43"/>
      <c r="I58" s="43"/>
    </row>
    <row r="59" ht="12.75" customHeight="1">
      <c r="A59" s="48" t="s">
        <v>44</v>
      </c>
      <c r="B59" s="48" t="s">
        <v>30</v>
      </c>
      <c r="C59" s="48" t="s">
        <v>6</v>
      </c>
      <c r="D59" s="48" t="s">
        <v>6</v>
      </c>
      <c r="E59" s="48"/>
      <c r="F59" s="48">
        <v>0.0</v>
      </c>
      <c r="G59" s="43"/>
      <c r="H59" s="43"/>
      <c r="I59" s="43"/>
    </row>
    <row r="60" ht="12.75" customHeight="1">
      <c r="A60" s="48" t="s">
        <v>44</v>
      </c>
      <c r="B60" s="48" t="s">
        <v>30</v>
      </c>
      <c r="C60" s="48" t="s">
        <v>6</v>
      </c>
      <c r="D60" s="48" t="s">
        <v>6</v>
      </c>
      <c r="E60" s="48"/>
      <c r="F60" s="48">
        <v>211.5</v>
      </c>
      <c r="G60" s="43"/>
      <c r="H60" s="43"/>
      <c r="I60" s="43"/>
    </row>
    <row r="61" ht="12.75" customHeight="1" outlineLevel="1">
      <c r="A61" s="48" t="s">
        <v>44</v>
      </c>
      <c r="B61" s="48" t="s">
        <v>30</v>
      </c>
      <c r="C61" s="48" t="s">
        <v>6</v>
      </c>
      <c r="D61" s="48" t="s">
        <v>49</v>
      </c>
      <c r="E61" s="48"/>
      <c r="F61" s="48">
        <v>2350.0</v>
      </c>
      <c r="G61" s="43"/>
      <c r="H61" s="43"/>
      <c r="I61" s="43"/>
    </row>
    <row r="62" ht="12.75" customHeight="1" outlineLevel="1">
      <c r="A62" s="48" t="s">
        <v>44</v>
      </c>
      <c r="B62" s="48" t="s">
        <v>30</v>
      </c>
      <c r="C62" s="48" t="s">
        <v>6</v>
      </c>
      <c r="D62" s="48" t="s">
        <v>50</v>
      </c>
      <c r="E62" s="48"/>
      <c r="F62" s="48">
        <v>0.0</v>
      </c>
      <c r="G62" s="43"/>
      <c r="H62" s="43"/>
      <c r="I62" s="43"/>
    </row>
    <row r="63" ht="12.75" customHeight="1">
      <c r="A63" s="48" t="s">
        <v>44</v>
      </c>
      <c r="B63" s="48" t="s">
        <v>30</v>
      </c>
      <c r="C63" s="48" t="s">
        <v>5</v>
      </c>
      <c r="D63" s="48" t="s">
        <v>60</v>
      </c>
      <c r="E63" s="48"/>
      <c r="F63" s="48">
        <v>61955.4</v>
      </c>
      <c r="G63" s="43"/>
      <c r="H63" s="43"/>
      <c r="I63" s="43"/>
    </row>
    <row r="64" ht="12.75" customHeight="1">
      <c r="A64" s="48" t="s">
        <v>44</v>
      </c>
      <c r="B64" s="48" t="s">
        <v>30</v>
      </c>
      <c r="C64" s="48" t="s">
        <v>5</v>
      </c>
      <c r="D64" s="48" t="s">
        <v>52</v>
      </c>
      <c r="E64" s="48"/>
      <c r="F64" s="48">
        <v>0.0</v>
      </c>
      <c r="G64" s="43"/>
      <c r="H64" s="43"/>
      <c r="I64" s="43"/>
    </row>
    <row r="65" ht="12.75" customHeight="1" outlineLevel="1">
      <c r="A65" s="48" t="s">
        <v>44</v>
      </c>
      <c r="B65" s="48" t="s">
        <v>30</v>
      </c>
      <c r="C65" s="48" t="s">
        <v>5</v>
      </c>
      <c r="D65" s="48" t="s">
        <v>52</v>
      </c>
      <c r="E65" s="48"/>
      <c r="F65" s="48">
        <v>-17625.0</v>
      </c>
      <c r="G65" s="43"/>
      <c r="H65" s="43"/>
      <c r="I65" s="43"/>
    </row>
    <row r="66" ht="12.75" customHeight="1" outlineLevel="1">
      <c r="A66" s="48" t="s">
        <v>44</v>
      </c>
      <c r="B66" s="48" t="s">
        <v>30</v>
      </c>
      <c r="C66" s="48" t="s">
        <v>5</v>
      </c>
      <c r="D66" s="48" t="s">
        <v>53</v>
      </c>
      <c r="E66" s="48"/>
      <c r="F66" s="48">
        <v>120719.5</v>
      </c>
      <c r="G66" s="43"/>
      <c r="H66" s="43"/>
      <c r="I66" s="43"/>
    </row>
    <row r="67" ht="12.75" customHeight="1">
      <c r="A67" s="48" t="s">
        <v>44</v>
      </c>
      <c r="B67" s="48" t="s">
        <v>30</v>
      </c>
      <c r="C67" s="48" t="s">
        <v>5</v>
      </c>
      <c r="D67" s="48" t="s">
        <v>53</v>
      </c>
      <c r="E67" s="48"/>
      <c r="F67" s="48">
        <v>0.0</v>
      </c>
      <c r="G67" s="43"/>
      <c r="H67" s="43"/>
      <c r="I67" s="43"/>
    </row>
    <row r="68" ht="12.75" customHeight="1">
      <c r="A68" s="48" t="s">
        <v>44</v>
      </c>
      <c r="B68" s="48" t="s">
        <v>30</v>
      </c>
      <c r="C68" s="48" t="s">
        <v>5</v>
      </c>
      <c r="D68" s="48" t="s">
        <v>58</v>
      </c>
      <c r="E68" s="48"/>
      <c r="F68" s="48">
        <v>124484.20000000001</v>
      </c>
      <c r="G68" s="43"/>
      <c r="H68" s="43"/>
      <c r="I68" s="43"/>
    </row>
    <row r="69" ht="12.75" customHeight="1">
      <c r="A69" s="48" t="s">
        <v>44</v>
      </c>
      <c r="B69" s="48" t="s">
        <v>30</v>
      </c>
      <c r="C69" s="48" t="s">
        <v>5</v>
      </c>
      <c r="D69" s="48" t="s">
        <v>58</v>
      </c>
      <c r="E69" s="48"/>
      <c r="F69" s="48">
        <v>77550.0</v>
      </c>
      <c r="G69" s="43"/>
      <c r="H69" s="43"/>
      <c r="I69" s="43"/>
    </row>
    <row r="70" ht="12.75" customHeight="1">
      <c r="A70" s="48" t="s">
        <v>44</v>
      </c>
      <c r="B70" s="48" t="s">
        <v>30</v>
      </c>
      <c r="C70" s="48" t="s">
        <v>5</v>
      </c>
      <c r="D70" s="48" t="s">
        <v>54</v>
      </c>
      <c r="E70" s="48"/>
      <c r="F70" s="48">
        <v>26696.0</v>
      </c>
      <c r="G70" s="43"/>
      <c r="H70" s="43"/>
      <c r="I70" s="43"/>
    </row>
    <row r="71" ht="12.75" customHeight="1">
      <c r="A71" s="48" t="s">
        <v>44</v>
      </c>
      <c r="B71" s="48" t="s">
        <v>30</v>
      </c>
      <c r="C71" s="48" t="s">
        <v>5</v>
      </c>
      <c r="D71" s="48" t="s">
        <v>49</v>
      </c>
      <c r="E71" s="48"/>
      <c r="F71" s="48">
        <v>27260.0</v>
      </c>
      <c r="G71" s="43"/>
      <c r="H71" s="43"/>
      <c r="I71" s="43"/>
    </row>
    <row r="72" ht="12.75" customHeight="1">
      <c r="A72" s="48" t="s">
        <v>44</v>
      </c>
      <c r="B72" s="48" t="s">
        <v>30</v>
      </c>
      <c r="C72" s="48" t="s">
        <v>5</v>
      </c>
      <c r="D72" s="48" t="s">
        <v>50</v>
      </c>
      <c r="E72" s="48"/>
      <c r="F72" s="48">
        <v>0.0</v>
      </c>
      <c r="G72" s="43"/>
      <c r="H72" s="43"/>
      <c r="I72" s="43"/>
    </row>
    <row r="73" ht="12.75" customHeight="1">
      <c r="A73" s="48" t="s">
        <v>44</v>
      </c>
      <c r="B73" s="48" t="s">
        <v>30</v>
      </c>
      <c r="C73" s="48" t="s">
        <v>5</v>
      </c>
      <c r="D73" s="48" t="s">
        <v>50</v>
      </c>
      <c r="E73" s="48"/>
      <c r="F73" s="48">
        <v>10932.2</v>
      </c>
      <c r="G73" s="43"/>
      <c r="H73" s="43"/>
      <c r="I73" s="43"/>
    </row>
    <row r="74" ht="12.75" customHeight="1">
      <c r="A74" s="48" t="s">
        <v>44</v>
      </c>
      <c r="B74" s="48" t="s">
        <v>30</v>
      </c>
      <c r="C74" s="48" t="s">
        <v>5</v>
      </c>
      <c r="D74" s="48" t="s">
        <v>50</v>
      </c>
      <c r="E74" s="48"/>
      <c r="F74" s="48">
        <v>37910.200000000004</v>
      </c>
      <c r="G74" s="43"/>
      <c r="H74" s="43"/>
      <c r="I74" s="43"/>
    </row>
    <row r="75" ht="12.75" customHeight="1">
      <c r="A75" s="48" t="s">
        <v>44</v>
      </c>
      <c r="B75" s="48" t="s">
        <v>30</v>
      </c>
      <c r="C75" s="48" t="s">
        <v>5</v>
      </c>
      <c r="D75" s="48" t="s">
        <v>47</v>
      </c>
      <c r="E75" s="48"/>
      <c r="F75" s="48">
        <v>-225.60000000000002</v>
      </c>
      <c r="G75" s="43"/>
      <c r="H75" s="43"/>
      <c r="I75" s="43"/>
    </row>
    <row r="76" ht="12.75" customHeight="1">
      <c r="A76" s="48" t="s">
        <v>44</v>
      </c>
      <c r="B76" s="48" t="s">
        <v>30</v>
      </c>
      <c r="C76" s="48" t="s">
        <v>5</v>
      </c>
      <c r="D76" s="48" t="s">
        <v>47</v>
      </c>
      <c r="E76" s="48"/>
      <c r="F76" s="48">
        <v>1861.2</v>
      </c>
      <c r="G76" s="43"/>
      <c r="H76" s="43"/>
      <c r="I76" s="43"/>
    </row>
    <row r="77" ht="12.75" customHeight="1">
      <c r="A77" s="48" t="s">
        <v>44</v>
      </c>
      <c r="B77" s="48" t="s">
        <v>30</v>
      </c>
      <c r="C77" s="48" t="s">
        <v>5</v>
      </c>
      <c r="D77" s="48" t="s">
        <v>47</v>
      </c>
      <c r="E77" s="48"/>
      <c r="F77" s="48">
        <v>35579.0</v>
      </c>
      <c r="G77" s="43"/>
      <c r="H77" s="43"/>
      <c r="I77" s="43"/>
    </row>
    <row r="78" ht="12.75" customHeight="1">
      <c r="A78" s="48" t="s">
        <v>44</v>
      </c>
      <c r="B78" s="48" t="s">
        <v>30</v>
      </c>
      <c r="C78" s="48" t="s">
        <v>5</v>
      </c>
      <c r="D78" s="48" t="s">
        <v>47</v>
      </c>
      <c r="E78" s="48"/>
      <c r="F78" s="48">
        <v>0.0</v>
      </c>
      <c r="G78" s="43"/>
      <c r="H78" s="43"/>
      <c r="I78" s="43"/>
    </row>
    <row r="79" ht="12.75" customHeight="1">
      <c r="A79" s="48" t="s">
        <v>44</v>
      </c>
      <c r="B79" s="48" t="s">
        <v>30</v>
      </c>
      <c r="C79" s="48" t="s">
        <v>61</v>
      </c>
      <c r="D79" s="48" t="s">
        <v>54</v>
      </c>
      <c r="E79" s="48"/>
      <c r="F79" s="48">
        <v>26696.0</v>
      </c>
      <c r="G79" s="43"/>
      <c r="H79" s="43"/>
      <c r="I79" s="43"/>
    </row>
    <row r="80" ht="12.75" customHeight="1">
      <c r="A80" s="48" t="s">
        <v>44</v>
      </c>
      <c r="B80" s="48" t="s">
        <v>30</v>
      </c>
      <c r="C80" s="48" t="s">
        <v>61</v>
      </c>
      <c r="D80" s="48" t="s">
        <v>50</v>
      </c>
      <c r="E80" s="48"/>
      <c r="F80" s="48">
        <v>10932.2</v>
      </c>
      <c r="G80" s="43"/>
      <c r="H80" s="43"/>
      <c r="I80" s="43"/>
    </row>
    <row r="81" ht="12.75" customHeight="1">
      <c r="A81" s="48" t="s">
        <v>44</v>
      </c>
      <c r="B81" s="48" t="s">
        <v>30</v>
      </c>
      <c r="C81" s="48" t="s">
        <v>61</v>
      </c>
      <c r="D81" s="48" t="s">
        <v>50</v>
      </c>
      <c r="E81" s="48"/>
      <c r="F81" s="48">
        <v>18179.600000000002</v>
      </c>
      <c r="G81" s="43"/>
      <c r="H81" s="43"/>
      <c r="I81" s="43"/>
    </row>
    <row r="82" ht="12.75" customHeight="1">
      <c r="A82" s="48" t="s">
        <v>44</v>
      </c>
      <c r="B82" s="48" t="s">
        <v>30</v>
      </c>
      <c r="C82" s="48" t="s">
        <v>61</v>
      </c>
      <c r="D82" s="48" t="s">
        <v>47</v>
      </c>
      <c r="E82" s="48"/>
      <c r="F82" s="48">
        <v>26785.3</v>
      </c>
      <c r="G82" s="43"/>
      <c r="H82" s="43"/>
      <c r="I82" s="43"/>
    </row>
    <row r="83" ht="12.75" customHeight="1">
      <c r="A83" s="48" t="s">
        <v>44</v>
      </c>
      <c r="B83" s="48" t="s">
        <v>30</v>
      </c>
      <c r="C83" s="48" t="s">
        <v>61</v>
      </c>
      <c r="D83" s="48" t="s">
        <v>47</v>
      </c>
      <c r="E83" s="48"/>
      <c r="F83" s="48">
        <v>0.0</v>
      </c>
      <c r="G83" s="43"/>
      <c r="H83" s="43"/>
      <c r="I83" s="43"/>
    </row>
    <row r="84" ht="12.75" customHeight="1">
      <c r="A84" s="48" t="s">
        <v>44</v>
      </c>
      <c r="B84" s="48" t="s">
        <v>28</v>
      </c>
      <c r="C84" s="48" t="s">
        <v>46</v>
      </c>
      <c r="D84" s="48" t="s">
        <v>8</v>
      </c>
      <c r="E84" s="48"/>
      <c r="F84" s="48">
        <v>0.0</v>
      </c>
      <c r="G84" s="43"/>
      <c r="H84" s="43"/>
      <c r="I84" s="43"/>
    </row>
    <row r="85" ht="12.75" customHeight="1">
      <c r="A85" s="48" t="s">
        <v>44</v>
      </c>
      <c r="B85" s="48" t="s">
        <v>28</v>
      </c>
      <c r="C85" s="48" t="s">
        <v>46</v>
      </c>
      <c r="D85" s="48" t="s">
        <v>8</v>
      </c>
      <c r="E85" s="48"/>
      <c r="F85" s="48">
        <v>2796.5</v>
      </c>
      <c r="G85" s="43"/>
      <c r="H85" s="43"/>
      <c r="I85" s="43"/>
    </row>
    <row r="86" ht="12.75" customHeight="1">
      <c r="A86" s="48" t="s">
        <v>44</v>
      </c>
      <c r="B86" s="48" t="s">
        <v>28</v>
      </c>
      <c r="C86" s="48" t="s">
        <v>46</v>
      </c>
      <c r="D86" s="48" t="s">
        <v>8</v>
      </c>
      <c r="E86" s="48"/>
      <c r="F86" s="48">
        <v>1659.1000000000001</v>
      </c>
      <c r="G86" s="43"/>
      <c r="H86" s="43"/>
      <c r="I86" s="43"/>
    </row>
    <row r="87" ht="12.75" customHeight="1">
      <c r="A87" s="48" t="s">
        <v>44</v>
      </c>
      <c r="B87" s="48" t="s">
        <v>28</v>
      </c>
      <c r="C87" s="48" t="s">
        <v>46</v>
      </c>
      <c r="D87" s="48" t="s">
        <v>8</v>
      </c>
      <c r="E87" s="48"/>
      <c r="F87" s="48">
        <v>0.0</v>
      </c>
      <c r="G87" s="43"/>
      <c r="H87" s="43"/>
      <c r="I87" s="43"/>
    </row>
    <row r="88" ht="12.75" customHeight="1">
      <c r="A88" s="48" t="s">
        <v>44</v>
      </c>
      <c r="B88" s="48" t="s">
        <v>28</v>
      </c>
      <c r="C88" s="48" t="s">
        <v>46</v>
      </c>
      <c r="D88" s="48" t="s">
        <v>8</v>
      </c>
      <c r="E88" s="48"/>
      <c r="F88" s="48">
        <v>3736.5</v>
      </c>
      <c r="G88" s="43"/>
      <c r="H88" s="43"/>
      <c r="I88" s="43"/>
    </row>
    <row r="89" ht="12.75" customHeight="1">
      <c r="A89" s="48" t="s">
        <v>44</v>
      </c>
      <c r="B89" s="48" t="s">
        <v>28</v>
      </c>
      <c r="C89" s="48" t="s">
        <v>46</v>
      </c>
      <c r="D89" s="48" t="s">
        <v>8</v>
      </c>
      <c r="E89" s="48"/>
      <c r="F89" s="48">
        <v>4991.400000000001</v>
      </c>
      <c r="G89" s="43"/>
      <c r="H89" s="43"/>
      <c r="I89" s="43"/>
    </row>
    <row r="90" ht="12.75" customHeight="1">
      <c r="A90" s="48" t="s">
        <v>44</v>
      </c>
      <c r="B90" s="48" t="s">
        <v>28</v>
      </c>
      <c r="C90" s="48" t="s">
        <v>46</v>
      </c>
      <c r="D90" s="48" t="s">
        <v>8</v>
      </c>
      <c r="E90" s="48"/>
      <c r="F90" s="48">
        <v>6669.3</v>
      </c>
      <c r="G90" s="43"/>
      <c r="H90" s="43"/>
      <c r="I90" s="43"/>
    </row>
    <row r="91" ht="12.75" customHeight="1">
      <c r="A91" s="48" t="s">
        <v>44</v>
      </c>
      <c r="B91" s="48" t="s">
        <v>28</v>
      </c>
      <c r="C91" s="48" t="s">
        <v>46</v>
      </c>
      <c r="D91" s="48" t="s">
        <v>8</v>
      </c>
      <c r="E91" s="48"/>
      <c r="F91" s="48">
        <v>0.0</v>
      </c>
      <c r="G91" s="43"/>
      <c r="H91" s="43"/>
      <c r="I91" s="43"/>
    </row>
    <row r="92" ht="12.75" customHeight="1">
      <c r="A92" s="48" t="s">
        <v>44</v>
      </c>
      <c r="B92" s="48" t="s">
        <v>28</v>
      </c>
      <c r="C92" s="48" t="s">
        <v>46</v>
      </c>
      <c r="D92" s="48" t="s">
        <v>8</v>
      </c>
      <c r="E92" s="48"/>
      <c r="F92" s="48">
        <v>0.0</v>
      </c>
      <c r="G92" s="43"/>
      <c r="H92" s="43"/>
      <c r="I92" s="43"/>
    </row>
    <row r="93" ht="12.75" customHeight="1">
      <c r="A93" s="48" t="s">
        <v>44</v>
      </c>
      <c r="B93" s="48" t="s">
        <v>28</v>
      </c>
      <c r="C93" s="48" t="s">
        <v>46</v>
      </c>
      <c r="D93" s="48" t="s">
        <v>54</v>
      </c>
      <c r="E93" s="48"/>
      <c r="F93" s="48">
        <v>0.0</v>
      </c>
      <c r="G93" s="43"/>
      <c r="H93" s="43"/>
      <c r="I93" s="43"/>
    </row>
    <row r="94" ht="12.75" customHeight="1">
      <c r="A94" s="48" t="s">
        <v>44</v>
      </c>
      <c r="B94" s="48" t="s">
        <v>28</v>
      </c>
      <c r="C94" s="48" t="s">
        <v>46</v>
      </c>
      <c r="D94" s="48" t="s">
        <v>49</v>
      </c>
      <c r="E94" s="48"/>
      <c r="F94" s="48">
        <v>5550.7</v>
      </c>
      <c r="G94" s="43"/>
      <c r="H94" s="43"/>
      <c r="I94" s="43"/>
    </row>
    <row r="95" ht="12.75" customHeight="1">
      <c r="A95" s="48" t="s">
        <v>44</v>
      </c>
      <c r="B95" s="48" t="s">
        <v>28</v>
      </c>
      <c r="C95" s="48" t="s">
        <v>46</v>
      </c>
      <c r="D95" s="48" t="s">
        <v>47</v>
      </c>
      <c r="E95" s="48"/>
      <c r="F95" s="48">
        <v>0.0</v>
      </c>
      <c r="G95" s="43"/>
      <c r="H95" s="43"/>
      <c r="I95" s="43"/>
    </row>
    <row r="96" ht="12.75" customHeight="1">
      <c r="A96" s="48" t="s">
        <v>44</v>
      </c>
      <c r="B96" s="48" t="s">
        <v>28</v>
      </c>
      <c r="C96" s="48" t="s">
        <v>48</v>
      </c>
      <c r="D96" s="48" t="s">
        <v>49</v>
      </c>
      <c r="E96" s="48"/>
      <c r="F96" s="48">
        <v>361.90000000000003</v>
      </c>
      <c r="G96" s="43"/>
      <c r="H96" s="43"/>
      <c r="I96" s="43"/>
    </row>
    <row r="97" ht="12.75" customHeight="1">
      <c r="A97" s="48" t="s">
        <v>44</v>
      </c>
      <c r="B97" s="48" t="s">
        <v>28</v>
      </c>
      <c r="C97" s="48" t="s">
        <v>48</v>
      </c>
      <c r="D97" s="48" t="s">
        <v>47</v>
      </c>
      <c r="E97" s="48"/>
      <c r="F97" s="48">
        <v>12741.7</v>
      </c>
      <c r="G97" s="43"/>
      <c r="H97" s="43"/>
      <c r="I97" s="43"/>
    </row>
    <row r="98" ht="12.75" customHeight="1">
      <c r="A98" s="48" t="s">
        <v>44</v>
      </c>
      <c r="B98" s="48" t="s">
        <v>28</v>
      </c>
      <c r="C98" s="48" t="s">
        <v>48</v>
      </c>
      <c r="D98" s="48" t="s">
        <v>47</v>
      </c>
      <c r="E98" s="48"/>
      <c r="F98" s="48">
        <v>249.10000000000002</v>
      </c>
      <c r="G98" s="43"/>
      <c r="H98" s="43"/>
      <c r="I98" s="43"/>
    </row>
    <row r="99" ht="12.75" customHeight="1">
      <c r="A99" s="48" t="s">
        <v>44</v>
      </c>
      <c r="B99" s="48" t="s">
        <v>28</v>
      </c>
      <c r="C99" s="48" t="s">
        <v>28</v>
      </c>
      <c r="D99" s="48" t="s">
        <v>54</v>
      </c>
      <c r="E99" s="48"/>
      <c r="F99" s="48">
        <v>-3078.5</v>
      </c>
      <c r="G99" s="43"/>
      <c r="H99" s="43"/>
      <c r="I99" s="43"/>
    </row>
    <row r="100" ht="12.75" customHeight="1">
      <c r="A100" s="48" t="s">
        <v>44</v>
      </c>
      <c r="B100" s="48" t="s">
        <v>28</v>
      </c>
      <c r="C100" s="48" t="s">
        <v>28</v>
      </c>
      <c r="D100" s="48" t="s">
        <v>54</v>
      </c>
      <c r="E100" s="48"/>
      <c r="F100" s="48">
        <v>1034.0</v>
      </c>
      <c r="G100" s="43"/>
      <c r="H100" s="43"/>
      <c r="I100" s="43"/>
    </row>
    <row r="101" ht="12.75" customHeight="1">
      <c r="A101" s="48" t="s">
        <v>44</v>
      </c>
      <c r="B101" s="48" t="s">
        <v>28</v>
      </c>
      <c r="C101" s="48" t="s">
        <v>28</v>
      </c>
      <c r="D101" s="48" t="s">
        <v>54</v>
      </c>
      <c r="E101" s="48"/>
      <c r="F101" s="48">
        <v>2049.2000000000003</v>
      </c>
      <c r="G101" s="43"/>
      <c r="H101" s="43"/>
      <c r="I101" s="43"/>
    </row>
    <row r="102" ht="12.75" customHeight="1">
      <c r="A102" s="48" t="s">
        <v>44</v>
      </c>
      <c r="B102" s="48" t="s">
        <v>28</v>
      </c>
      <c r="C102" s="48" t="s">
        <v>28</v>
      </c>
      <c r="D102" s="48" t="s">
        <v>47</v>
      </c>
      <c r="E102" s="48"/>
      <c r="F102" s="48">
        <v>-48790.700000000004</v>
      </c>
      <c r="G102" s="43"/>
      <c r="H102" s="43"/>
      <c r="I102" s="43"/>
    </row>
    <row r="103" ht="12.75" customHeight="1">
      <c r="A103" s="48" t="s">
        <v>44</v>
      </c>
      <c r="B103" s="48" t="s">
        <v>28</v>
      </c>
      <c r="C103" s="48" t="s">
        <v>28</v>
      </c>
      <c r="D103" s="48" t="s">
        <v>47</v>
      </c>
      <c r="E103" s="48"/>
      <c r="F103" s="48">
        <v>690.9</v>
      </c>
      <c r="G103" s="43"/>
      <c r="H103" s="43"/>
      <c r="I103" s="43"/>
    </row>
    <row r="104" ht="12.75" customHeight="1">
      <c r="A104" s="48" t="s">
        <v>44</v>
      </c>
      <c r="B104" s="48" t="s">
        <v>28</v>
      </c>
      <c r="C104" s="48" t="s">
        <v>28</v>
      </c>
      <c r="D104" s="48" t="s">
        <v>47</v>
      </c>
      <c r="E104" s="48"/>
      <c r="F104" s="48">
        <v>48099.8</v>
      </c>
      <c r="G104" s="43"/>
      <c r="H104" s="43"/>
      <c r="I104" s="43"/>
    </row>
    <row r="105" ht="12.75" customHeight="1">
      <c r="A105" s="48" t="s">
        <v>44</v>
      </c>
      <c r="B105" s="48" t="s">
        <v>28</v>
      </c>
      <c r="C105" s="48" t="s">
        <v>51</v>
      </c>
      <c r="D105" s="48" t="s">
        <v>54</v>
      </c>
      <c r="E105" s="48"/>
      <c r="F105" s="48">
        <v>0.0</v>
      </c>
      <c r="G105" s="43"/>
      <c r="H105" s="43"/>
      <c r="I105" s="43"/>
    </row>
    <row r="106" ht="12.75" customHeight="1">
      <c r="A106" s="48" t="s">
        <v>44</v>
      </c>
      <c r="B106" s="48" t="s">
        <v>28</v>
      </c>
      <c r="C106" s="48" t="s">
        <v>51</v>
      </c>
      <c r="D106" s="48" t="s">
        <v>54</v>
      </c>
      <c r="E106" s="48"/>
      <c r="F106" s="48">
        <v>18320.600000000002</v>
      </c>
      <c r="G106" s="43"/>
      <c r="H106" s="43"/>
      <c r="I106" s="43"/>
    </row>
    <row r="107" ht="12.75" customHeight="1">
      <c r="A107" s="48" t="s">
        <v>44</v>
      </c>
      <c r="B107" s="48" t="s">
        <v>28</v>
      </c>
      <c r="C107" s="48" t="s">
        <v>51</v>
      </c>
      <c r="D107" s="48" t="s">
        <v>54</v>
      </c>
      <c r="E107" s="48"/>
      <c r="F107" s="48">
        <v>502.90000000000003</v>
      </c>
      <c r="G107" s="43"/>
      <c r="H107" s="43"/>
      <c r="I107" s="43"/>
    </row>
    <row r="108" ht="12.75" customHeight="1">
      <c r="A108" s="48" t="s">
        <v>44</v>
      </c>
      <c r="B108" s="48" t="s">
        <v>28</v>
      </c>
      <c r="C108" s="48" t="s">
        <v>51</v>
      </c>
      <c r="D108" s="48" t="s">
        <v>54</v>
      </c>
      <c r="E108" s="48"/>
      <c r="F108" s="48">
        <v>-150.4</v>
      </c>
      <c r="G108" s="43"/>
      <c r="H108" s="43"/>
      <c r="I108" s="43"/>
    </row>
    <row r="109" ht="12.75" customHeight="1">
      <c r="A109" s="48" t="s">
        <v>44</v>
      </c>
      <c r="B109" s="48" t="s">
        <v>28</v>
      </c>
      <c r="C109" s="48" t="s">
        <v>51</v>
      </c>
      <c r="D109" s="48" t="s">
        <v>54</v>
      </c>
      <c r="E109" s="48"/>
      <c r="F109" s="48">
        <v>286.7</v>
      </c>
      <c r="G109" s="43"/>
      <c r="H109" s="43"/>
      <c r="I109" s="43"/>
    </row>
    <row r="110" ht="12.75" customHeight="1">
      <c r="A110" s="48" t="s">
        <v>44</v>
      </c>
      <c r="B110" s="48" t="s">
        <v>28</v>
      </c>
      <c r="C110" s="48" t="s">
        <v>51</v>
      </c>
      <c r="D110" s="48" t="s">
        <v>54</v>
      </c>
      <c r="E110" s="48"/>
      <c r="F110" s="48">
        <v>0.0</v>
      </c>
      <c r="G110" s="43"/>
      <c r="H110" s="43"/>
      <c r="I110" s="43"/>
    </row>
    <row r="111" ht="12.75" customHeight="1">
      <c r="A111" s="48" t="s">
        <v>44</v>
      </c>
      <c r="B111" s="48" t="s">
        <v>28</v>
      </c>
      <c r="C111" s="48" t="s">
        <v>51</v>
      </c>
      <c r="D111" s="48" t="s">
        <v>49</v>
      </c>
      <c r="E111" s="48"/>
      <c r="F111" s="48">
        <v>0.0</v>
      </c>
      <c r="G111" s="43"/>
      <c r="H111" s="43"/>
      <c r="I111" s="43"/>
    </row>
    <row r="112" ht="12.75" customHeight="1">
      <c r="A112" s="48" t="s">
        <v>44</v>
      </c>
      <c r="B112" s="48" t="s">
        <v>28</v>
      </c>
      <c r="C112" s="48" t="s">
        <v>51</v>
      </c>
      <c r="D112" s="48" t="s">
        <v>50</v>
      </c>
      <c r="E112" s="48"/>
      <c r="F112" s="48">
        <v>21859.7</v>
      </c>
      <c r="G112" s="43"/>
      <c r="H112" s="43"/>
      <c r="I112" s="43"/>
    </row>
    <row r="113" ht="12.75" customHeight="1">
      <c r="A113" s="48" t="s">
        <v>44</v>
      </c>
      <c r="B113" s="48" t="s">
        <v>28</v>
      </c>
      <c r="C113" s="48" t="s">
        <v>51</v>
      </c>
      <c r="D113" s="48" t="s">
        <v>50</v>
      </c>
      <c r="E113" s="48"/>
      <c r="F113" s="48">
        <v>10128.5</v>
      </c>
      <c r="G113" s="43"/>
      <c r="H113" s="43"/>
      <c r="I113" s="43"/>
    </row>
    <row r="114" ht="12.75" customHeight="1">
      <c r="A114" s="48" t="s">
        <v>44</v>
      </c>
      <c r="B114" s="48" t="s">
        <v>28</v>
      </c>
      <c r="C114" s="48" t="s">
        <v>51</v>
      </c>
      <c r="D114" s="48" t="s">
        <v>50</v>
      </c>
      <c r="E114" s="48"/>
      <c r="F114" s="48">
        <v>14330.300000000001</v>
      </c>
      <c r="G114" s="43"/>
      <c r="H114" s="43"/>
      <c r="I114" s="43"/>
    </row>
    <row r="115" ht="12.75" customHeight="1">
      <c r="A115" s="48" t="s">
        <v>44</v>
      </c>
      <c r="B115" s="48" t="s">
        <v>28</v>
      </c>
      <c r="C115" s="48" t="s">
        <v>51</v>
      </c>
      <c r="D115" s="48" t="s">
        <v>47</v>
      </c>
      <c r="E115" s="48"/>
      <c r="F115" s="48">
        <v>14.100000000000001</v>
      </c>
      <c r="G115" s="43"/>
      <c r="H115" s="43"/>
      <c r="I115" s="43"/>
    </row>
    <row r="116" ht="12.75" customHeight="1">
      <c r="A116" s="48" t="s">
        <v>44</v>
      </c>
      <c r="B116" s="48" t="s">
        <v>28</v>
      </c>
      <c r="C116" s="48" t="s">
        <v>51</v>
      </c>
      <c r="D116" s="48" t="s">
        <v>47</v>
      </c>
      <c r="E116" s="48"/>
      <c r="F116" s="48">
        <v>51681.200000000004</v>
      </c>
      <c r="G116" s="43"/>
      <c r="H116" s="43"/>
      <c r="I116" s="43"/>
    </row>
    <row r="117" ht="12.75" customHeight="1">
      <c r="A117" s="48" t="s">
        <v>44</v>
      </c>
      <c r="B117" s="48" t="s">
        <v>28</v>
      </c>
      <c r="C117" s="48" t="s">
        <v>51</v>
      </c>
      <c r="D117" s="48" t="s">
        <v>47</v>
      </c>
      <c r="E117" s="48"/>
      <c r="F117" s="48">
        <v>1410.0</v>
      </c>
      <c r="G117" s="43"/>
      <c r="H117" s="43"/>
      <c r="I117" s="43"/>
    </row>
    <row r="118" ht="12.75" customHeight="1">
      <c r="A118" s="48" t="s">
        <v>44</v>
      </c>
      <c r="B118" s="48" t="s">
        <v>28</v>
      </c>
      <c r="C118" s="48" t="s">
        <v>51</v>
      </c>
      <c r="D118" s="48" t="s">
        <v>47</v>
      </c>
      <c r="E118" s="48"/>
      <c r="F118" s="48">
        <v>14325.6</v>
      </c>
      <c r="G118" s="43"/>
      <c r="H118" s="43"/>
      <c r="I118" s="43"/>
    </row>
    <row r="119" ht="12.75" customHeight="1">
      <c r="A119" s="48" t="s">
        <v>44</v>
      </c>
      <c r="B119" s="48" t="s">
        <v>28</v>
      </c>
      <c r="C119" s="48" t="s">
        <v>51</v>
      </c>
      <c r="D119" s="48" t="s">
        <v>47</v>
      </c>
      <c r="E119" s="48"/>
      <c r="F119" s="48">
        <v>0.0</v>
      </c>
      <c r="G119" s="43"/>
      <c r="H119" s="43"/>
      <c r="I119" s="43"/>
    </row>
    <row r="120" ht="12.75" customHeight="1">
      <c r="A120" s="48" t="s">
        <v>44</v>
      </c>
      <c r="B120" s="48" t="s">
        <v>28</v>
      </c>
      <c r="C120" s="48" t="s">
        <v>62</v>
      </c>
      <c r="D120" s="48" t="s">
        <v>49</v>
      </c>
      <c r="E120" s="48"/>
      <c r="F120" s="48">
        <v>-1353.6000000000001</v>
      </c>
      <c r="G120" s="43"/>
      <c r="H120" s="43"/>
      <c r="I120" s="43"/>
    </row>
    <row r="121" ht="12.75" customHeight="1">
      <c r="A121" s="48" t="s">
        <v>44</v>
      </c>
      <c r="B121" s="48" t="s">
        <v>28</v>
      </c>
      <c r="C121" s="48" t="s">
        <v>63</v>
      </c>
      <c r="D121" s="48" t="s">
        <v>47</v>
      </c>
      <c r="E121" s="48"/>
      <c r="F121" s="48">
        <v>361.90000000000003</v>
      </c>
      <c r="G121" s="43"/>
      <c r="H121" s="43"/>
      <c r="I121" s="43"/>
    </row>
    <row r="122" ht="12.75" customHeight="1">
      <c r="A122" s="48" t="s">
        <v>44</v>
      </c>
      <c r="B122" s="48" t="s">
        <v>28</v>
      </c>
      <c r="C122" s="48" t="s">
        <v>63</v>
      </c>
      <c r="D122" s="48" t="s">
        <v>47</v>
      </c>
      <c r="E122" s="48"/>
      <c r="F122" s="48">
        <v>211.5</v>
      </c>
      <c r="G122" s="43"/>
      <c r="H122" s="43"/>
      <c r="I122" s="43"/>
    </row>
    <row r="123" ht="12.75" customHeight="1">
      <c r="A123" s="48" t="s">
        <v>44</v>
      </c>
      <c r="B123" s="48" t="s">
        <v>28</v>
      </c>
      <c r="C123" s="48" t="s">
        <v>55</v>
      </c>
      <c r="D123" s="48" t="s">
        <v>54</v>
      </c>
      <c r="E123" s="48"/>
      <c r="F123" s="48">
        <v>968.2</v>
      </c>
      <c r="G123" s="43"/>
      <c r="H123" s="43"/>
      <c r="I123" s="43"/>
    </row>
    <row r="124" ht="12.75" customHeight="1">
      <c r="A124" s="48" t="s">
        <v>44</v>
      </c>
      <c r="B124" s="48" t="s">
        <v>28</v>
      </c>
      <c r="C124" s="48" t="s">
        <v>55</v>
      </c>
      <c r="D124" s="48" t="s">
        <v>49</v>
      </c>
      <c r="E124" s="48"/>
      <c r="F124" s="48">
        <v>5555.400000000001</v>
      </c>
      <c r="G124" s="43"/>
      <c r="H124" s="43"/>
      <c r="I124" s="43"/>
    </row>
    <row r="125" ht="12.75" customHeight="1">
      <c r="A125" s="48" t="s">
        <v>44</v>
      </c>
      <c r="B125" s="48" t="s">
        <v>28</v>
      </c>
      <c r="C125" s="48" t="s">
        <v>54</v>
      </c>
      <c r="D125" s="48" t="s">
        <v>8</v>
      </c>
      <c r="E125" s="48"/>
      <c r="F125" s="48">
        <v>1254.9</v>
      </c>
      <c r="G125" s="43"/>
      <c r="H125" s="43"/>
      <c r="I125" s="43"/>
    </row>
    <row r="126" ht="12.75" customHeight="1">
      <c r="A126" s="48" t="s">
        <v>44</v>
      </c>
      <c r="B126" s="48" t="s">
        <v>28</v>
      </c>
      <c r="C126" s="48" t="s">
        <v>54</v>
      </c>
      <c r="D126" s="48" t="s">
        <v>8</v>
      </c>
      <c r="E126" s="48"/>
      <c r="F126" s="48">
        <v>-2213.7000000000003</v>
      </c>
      <c r="G126" s="43"/>
      <c r="H126" s="43"/>
      <c r="I126" s="43"/>
    </row>
    <row r="127" ht="12.75" customHeight="1">
      <c r="A127" s="48" t="s">
        <v>44</v>
      </c>
      <c r="B127" s="48" t="s">
        <v>28</v>
      </c>
      <c r="C127" s="48" t="s">
        <v>54</v>
      </c>
      <c r="D127" s="48" t="s">
        <v>8</v>
      </c>
      <c r="E127" s="48"/>
      <c r="F127" s="48">
        <v>5851.5</v>
      </c>
      <c r="G127" s="43"/>
      <c r="H127" s="43"/>
      <c r="I127" s="43"/>
    </row>
    <row r="128" ht="12.75" customHeight="1">
      <c r="A128" s="48" t="s">
        <v>44</v>
      </c>
      <c r="B128" s="48" t="s">
        <v>28</v>
      </c>
      <c r="C128" s="48" t="s">
        <v>54</v>
      </c>
      <c r="D128" s="48" t="s">
        <v>54</v>
      </c>
      <c r="E128" s="48"/>
      <c r="F128" s="48">
        <v>0.0</v>
      </c>
      <c r="G128" s="43"/>
      <c r="H128" s="43"/>
      <c r="I128" s="43"/>
    </row>
    <row r="129" ht="12.75" customHeight="1">
      <c r="A129" s="48" t="s">
        <v>44</v>
      </c>
      <c r="B129" s="48" t="s">
        <v>28</v>
      </c>
      <c r="C129" s="48" t="s">
        <v>54</v>
      </c>
      <c r="D129" s="48" t="s">
        <v>54</v>
      </c>
      <c r="E129" s="48"/>
      <c r="F129" s="48">
        <v>7900.700000000001</v>
      </c>
      <c r="G129" s="43"/>
      <c r="H129" s="43"/>
      <c r="I129" s="43"/>
    </row>
    <row r="130" ht="12.75" customHeight="1">
      <c r="A130" s="48" t="s">
        <v>44</v>
      </c>
      <c r="B130" s="48" t="s">
        <v>28</v>
      </c>
      <c r="C130" s="48" t="s">
        <v>54</v>
      </c>
      <c r="D130" s="48" t="s">
        <v>54</v>
      </c>
      <c r="E130" s="48"/>
      <c r="F130" s="48">
        <v>0.0</v>
      </c>
      <c r="G130" s="43"/>
      <c r="H130" s="43"/>
      <c r="I130" s="43"/>
    </row>
    <row r="131" ht="12.75" customHeight="1">
      <c r="A131" s="48" t="s">
        <v>44</v>
      </c>
      <c r="B131" s="48" t="s">
        <v>28</v>
      </c>
      <c r="C131" s="48" t="s">
        <v>54</v>
      </c>
      <c r="D131" s="48" t="s">
        <v>54</v>
      </c>
      <c r="E131" s="48"/>
      <c r="F131" s="48">
        <v>282.0</v>
      </c>
      <c r="G131" s="43"/>
      <c r="H131" s="43"/>
      <c r="I131" s="43"/>
    </row>
    <row r="132" ht="12.75" customHeight="1">
      <c r="A132" s="48" t="s">
        <v>44</v>
      </c>
      <c r="B132" s="48" t="s">
        <v>28</v>
      </c>
      <c r="C132" s="48" t="s">
        <v>54</v>
      </c>
      <c r="D132" s="48" t="s">
        <v>54</v>
      </c>
      <c r="E132" s="48"/>
      <c r="F132" s="48">
        <v>0.0</v>
      </c>
      <c r="G132" s="43"/>
      <c r="H132" s="43"/>
      <c r="I132" s="43"/>
    </row>
    <row r="133" ht="12.75" customHeight="1">
      <c r="A133" s="48" t="s">
        <v>44</v>
      </c>
      <c r="B133" s="48" t="s">
        <v>28</v>
      </c>
      <c r="C133" s="48" t="s">
        <v>54</v>
      </c>
      <c r="D133" s="48" t="s">
        <v>54</v>
      </c>
      <c r="E133" s="48"/>
      <c r="F133" s="48">
        <v>1795.4</v>
      </c>
      <c r="G133" s="43"/>
      <c r="H133" s="43"/>
      <c r="I133" s="43"/>
    </row>
    <row r="134" ht="12.75" customHeight="1">
      <c r="A134" s="48" t="s">
        <v>44</v>
      </c>
      <c r="B134" s="48" t="s">
        <v>28</v>
      </c>
      <c r="C134" s="48" t="s">
        <v>54</v>
      </c>
      <c r="D134" s="48" t="s">
        <v>54</v>
      </c>
      <c r="E134" s="48"/>
      <c r="F134" s="48">
        <v>-186467.80000000002</v>
      </c>
      <c r="G134" s="43"/>
      <c r="H134" s="43"/>
      <c r="I134" s="43"/>
    </row>
    <row r="135" ht="12.75" customHeight="1">
      <c r="A135" s="48" t="s">
        <v>44</v>
      </c>
      <c r="B135" s="48" t="s">
        <v>28</v>
      </c>
      <c r="C135" s="48" t="s">
        <v>54</v>
      </c>
      <c r="D135" s="48" t="s">
        <v>54</v>
      </c>
      <c r="E135" s="48"/>
      <c r="F135" s="48">
        <v>0.0</v>
      </c>
      <c r="G135" s="43"/>
      <c r="H135" s="43"/>
      <c r="I135" s="43"/>
    </row>
    <row r="136" ht="12.75" customHeight="1">
      <c r="A136" s="48" t="s">
        <v>44</v>
      </c>
      <c r="B136" s="48" t="s">
        <v>28</v>
      </c>
      <c r="C136" s="48" t="s">
        <v>54</v>
      </c>
      <c r="D136" s="48" t="s">
        <v>54</v>
      </c>
      <c r="E136" s="48"/>
      <c r="F136" s="48">
        <v>225.60000000000002</v>
      </c>
      <c r="G136" s="43"/>
      <c r="H136" s="43"/>
      <c r="I136" s="43"/>
    </row>
    <row r="137" ht="12.75" customHeight="1">
      <c r="A137" s="48" t="s">
        <v>44</v>
      </c>
      <c r="B137" s="48" t="s">
        <v>28</v>
      </c>
      <c r="C137" s="48" t="s">
        <v>54</v>
      </c>
      <c r="D137" s="48" t="s">
        <v>54</v>
      </c>
      <c r="E137" s="48"/>
      <c r="F137" s="48">
        <v>996.4000000000001</v>
      </c>
      <c r="G137" s="43"/>
      <c r="H137" s="43"/>
      <c r="I137" s="43"/>
    </row>
    <row r="138" ht="12.75" customHeight="1">
      <c r="A138" s="48" t="s">
        <v>44</v>
      </c>
      <c r="B138" s="48" t="s">
        <v>28</v>
      </c>
      <c r="C138" s="48" t="s">
        <v>54</v>
      </c>
      <c r="D138" s="48" t="s">
        <v>54</v>
      </c>
      <c r="E138" s="48"/>
      <c r="F138" s="48">
        <v>987.0</v>
      </c>
      <c r="G138" s="43"/>
      <c r="H138" s="43"/>
      <c r="I138" s="43"/>
    </row>
    <row r="139" ht="12.75" customHeight="1">
      <c r="A139" s="48" t="s">
        <v>44</v>
      </c>
      <c r="B139" s="48" t="s">
        <v>28</v>
      </c>
      <c r="C139" s="48" t="s">
        <v>54</v>
      </c>
      <c r="D139" s="48" t="s">
        <v>54</v>
      </c>
      <c r="E139" s="48"/>
      <c r="F139" s="48">
        <v>1170.3</v>
      </c>
      <c r="G139" s="43"/>
      <c r="H139" s="43"/>
      <c r="I139" s="43"/>
    </row>
    <row r="140" ht="12.75" customHeight="1">
      <c r="A140" s="48" t="s">
        <v>44</v>
      </c>
      <c r="B140" s="48" t="s">
        <v>28</v>
      </c>
      <c r="C140" s="48" t="s">
        <v>54</v>
      </c>
      <c r="D140" s="48" t="s">
        <v>54</v>
      </c>
      <c r="E140" s="48"/>
      <c r="F140" s="48">
        <v>125527.6</v>
      </c>
      <c r="G140" s="43"/>
      <c r="H140" s="43"/>
      <c r="I140" s="43"/>
    </row>
    <row r="141" ht="12.75" customHeight="1">
      <c r="A141" s="48" t="s">
        <v>44</v>
      </c>
      <c r="B141" s="48" t="s">
        <v>28</v>
      </c>
      <c r="C141" s="48" t="s">
        <v>54</v>
      </c>
      <c r="D141" s="48" t="s">
        <v>54</v>
      </c>
      <c r="E141" s="48"/>
      <c r="F141" s="48">
        <v>784.9</v>
      </c>
      <c r="G141" s="43"/>
      <c r="H141" s="43"/>
      <c r="I141" s="43"/>
    </row>
    <row r="142" ht="12.75" customHeight="1">
      <c r="A142" s="48" t="s">
        <v>44</v>
      </c>
      <c r="B142" s="48" t="s">
        <v>28</v>
      </c>
      <c r="C142" s="48" t="s">
        <v>54</v>
      </c>
      <c r="D142" s="48" t="s">
        <v>54</v>
      </c>
      <c r="E142" s="48"/>
      <c r="F142" s="48">
        <v>394.8</v>
      </c>
      <c r="G142" s="43"/>
      <c r="H142" s="43"/>
      <c r="I142" s="43"/>
    </row>
    <row r="143" ht="12.75" customHeight="1">
      <c r="A143" s="48" t="s">
        <v>44</v>
      </c>
      <c r="B143" s="48" t="s">
        <v>28</v>
      </c>
      <c r="C143" s="48" t="s">
        <v>54</v>
      </c>
      <c r="D143" s="48" t="s">
        <v>54</v>
      </c>
      <c r="E143" s="48"/>
      <c r="F143" s="48">
        <v>0.0</v>
      </c>
      <c r="G143" s="43"/>
      <c r="H143" s="43"/>
      <c r="I143" s="43"/>
    </row>
    <row r="144" ht="12.75" customHeight="1">
      <c r="A144" s="48" t="s">
        <v>44</v>
      </c>
      <c r="B144" s="48" t="s">
        <v>28</v>
      </c>
      <c r="C144" s="48" t="s">
        <v>54</v>
      </c>
      <c r="D144" s="48" t="s">
        <v>54</v>
      </c>
      <c r="E144" s="48"/>
      <c r="F144" s="48">
        <v>70.5</v>
      </c>
      <c r="G144" s="43"/>
      <c r="H144" s="43"/>
      <c r="I144" s="43"/>
    </row>
    <row r="145" ht="12.75" customHeight="1">
      <c r="A145" s="48" t="s">
        <v>44</v>
      </c>
      <c r="B145" s="48" t="s">
        <v>28</v>
      </c>
      <c r="C145" s="48" t="s">
        <v>54</v>
      </c>
      <c r="D145" s="48" t="s">
        <v>54</v>
      </c>
      <c r="E145" s="48"/>
      <c r="F145" s="48">
        <v>1095.1000000000001</v>
      </c>
      <c r="G145" s="43"/>
      <c r="H145" s="43"/>
      <c r="I145" s="43"/>
    </row>
    <row r="146" ht="12.75" customHeight="1">
      <c r="A146" s="48" t="s">
        <v>44</v>
      </c>
      <c r="B146" s="48" t="s">
        <v>28</v>
      </c>
      <c r="C146" s="48" t="s">
        <v>54</v>
      </c>
      <c r="D146" s="48" t="s">
        <v>54</v>
      </c>
      <c r="E146" s="48"/>
      <c r="F146" s="48">
        <v>0.0</v>
      </c>
      <c r="G146" s="43"/>
      <c r="H146" s="43"/>
      <c r="I146" s="43"/>
    </row>
    <row r="147" ht="12.75" customHeight="1">
      <c r="A147" s="48" t="s">
        <v>44</v>
      </c>
      <c r="B147" s="48" t="s">
        <v>28</v>
      </c>
      <c r="C147" s="48" t="s">
        <v>54</v>
      </c>
      <c r="D147" s="48" t="s">
        <v>50</v>
      </c>
      <c r="E147" s="48"/>
      <c r="F147" s="48">
        <v>1997.5</v>
      </c>
      <c r="G147" s="43"/>
      <c r="H147" s="43"/>
      <c r="I147" s="43"/>
    </row>
    <row r="148" ht="12.75" customHeight="1">
      <c r="A148" s="48" t="s">
        <v>44</v>
      </c>
      <c r="B148" s="48" t="s">
        <v>28</v>
      </c>
      <c r="C148" s="48" t="s">
        <v>54</v>
      </c>
      <c r="D148" s="48" t="s">
        <v>50</v>
      </c>
      <c r="E148" s="48"/>
      <c r="F148" s="48">
        <v>1001.1</v>
      </c>
      <c r="G148" s="43"/>
      <c r="H148" s="43"/>
      <c r="I148" s="43"/>
    </row>
    <row r="149" ht="12.75" customHeight="1">
      <c r="A149" s="48" t="s">
        <v>44</v>
      </c>
      <c r="B149" s="48" t="s">
        <v>28</v>
      </c>
      <c r="C149" s="48" t="s">
        <v>54</v>
      </c>
      <c r="D149" s="48" t="s">
        <v>47</v>
      </c>
      <c r="E149" s="48"/>
      <c r="F149" s="48">
        <v>35057.3</v>
      </c>
      <c r="G149" s="43"/>
      <c r="H149" s="43"/>
      <c r="I149" s="43"/>
    </row>
    <row r="150" ht="12.75" customHeight="1">
      <c r="A150" s="48" t="s">
        <v>44</v>
      </c>
      <c r="B150" s="48" t="s">
        <v>28</v>
      </c>
      <c r="C150" s="48" t="s">
        <v>54</v>
      </c>
      <c r="D150" s="48" t="s">
        <v>47</v>
      </c>
      <c r="E150" s="48"/>
      <c r="F150" s="48">
        <v>0.0</v>
      </c>
      <c r="G150" s="43"/>
      <c r="H150" s="43"/>
      <c r="I150" s="43"/>
    </row>
    <row r="151" ht="12.75" customHeight="1">
      <c r="A151" s="48" t="s">
        <v>44</v>
      </c>
      <c r="B151" s="48" t="s">
        <v>28</v>
      </c>
      <c r="C151" s="48" t="s">
        <v>54</v>
      </c>
      <c r="D151" s="48" t="s">
        <v>47</v>
      </c>
      <c r="E151" s="48"/>
      <c r="F151" s="48">
        <v>1471.1000000000001</v>
      </c>
      <c r="G151" s="43"/>
      <c r="H151" s="43"/>
      <c r="I151" s="43"/>
    </row>
    <row r="152" ht="12.75" customHeight="1">
      <c r="A152" s="48" t="s">
        <v>44</v>
      </c>
      <c r="B152" s="48" t="s">
        <v>28</v>
      </c>
      <c r="C152" s="48" t="s">
        <v>54</v>
      </c>
      <c r="D152" s="48" t="s">
        <v>47</v>
      </c>
      <c r="E152" s="48"/>
      <c r="F152" s="48">
        <v>0.0</v>
      </c>
      <c r="G152" s="43"/>
      <c r="H152" s="43"/>
      <c r="I152" s="43"/>
    </row>
    <row r="153" ht="12.75" customHeight="1">
      <c r="A153" s="48" t="s">
        <v>44</v>
      </c>
      <c r="B153" s="48" t="s">
        <v>28</v>
      </c>
      <c r="C153" s="48" t="s">
        <v>54</v>
      </c>
      <c r="D153" s="48" t="s">
        <v>47</v>
      </c>
      <c r="E153" s="48"/>
      <c r="F153" s="48">
        <v>836.6</v>
      </c>
      <c r="G153" s="43"/>
      <c r="H153" s="43"/>
      <c r="I153" s="43"/>
    </row>
    <row r="154" ht="12.75" customHeight="1">
      <c r="A154" s="48" t="s">
        <v>44</v>
      </c>
      <c r="B154" s="48" t="s">
        <v>29</v>
      </c>
      <c r="C154" s="48" t="s">
        <v>56</v>
      </c>
      <c r="D154" s="48" t="s">
        <v>57</v>
      </c>
      <c r="E154" s="48"/>
      <c r="F154" s="48">
        <v>259891.2</v>
      </c>
      <c r="G154" s="43"/>
      <c r="H154" s="43"/>
      <c r="I154" s="43"/>
    </row>
    <row r="155" ht="12.75" customHeight="1">
      <c r="A155" s="48" t="s">
        <v>44</v>
      </c>
      <c r="B155" s="48" t="s">
        <v>29</v>
      </c>
      <c r="C155" s="48" t="s">
        <v>56</v>
      </c>
      <c r="D155" s="48" t="s">
        <v>58</v>
      </c>
      <c r="E155" s="48"/>
      <c r="F155" s="48">
        <v>115309.8</v>
      </c>
      <c r="G155" s="43"/>
      <c r="H155" s="43"/>
      <c r="I155" s="43"/>
    </row>
    <row r="156" ht="12.75" customHeight="1">
      <c r="A156" s="48" t="s">
        <v>44</v>
      </c>
      <c r="B156" s="48" t="s">
        <v>29</v>
      </c>
      <c r="C156" s="48" t="s">
        <v>56</v>
      </c>
      <c r="D156" s="48" t="s">
        <v>8</v>
      </c>
      <c r="E156" s="48"/>
      <c r="F156" s="48">
        <v>0.0</v>
      </c>
      <c r="G156" s="43"/>
      <c r="H156" s="43"/>
      <c r="I156" s="43"/>
    </row>
    <row r="157" ht="12.75" customHeight="1">
      <c r="A157" s="48" t="s">
        <v>44</v>
      </c>
      <c r="B157" s="48" t="s">
        <v>29</v>
      </c>
      <c r="C157" s="48" t="s">
        <v>56</v>
      </c>
      <c r="D157" s="48" t="s">
        <v>54</v>
      </c>
      <c r="E157" s="48"/>
      <c r="F157" s="48">
        <v>53335.6</v>
      </c>
      <c r="G157" s="43"/>
      <c r="H157" s="43"/>
      <c r="I157" s="43"/>
    </row>
    <row r="158" ht="12.75" customHeight="1">
      <c r="A158" s="48" t="s">
        <v>44</v>
      </c>
      <c r="B158" s="48" t="s">
        <v>29</v>
      </c>
      <c r="C158" s="48" t="s">
        <v>56</v>
      </c>
      <c r="D158" s="48" t="s">
        <v>49</v>
      </c>
      <c r="E158" s="48"/>
      <c r="F158" s="48">
        <v>1048.1000000000001</v>
      </c>
      <c r="G158" s="43"/>
      <c r="H158" s="43"/>
      <c r="I158" s="43"/>
    </row>
    <row r="159" ht="12.75" customHeight="1">
      <c r="A159" s="48" t="s">
        <v>44</v>
      </c>
      <c r="B159" s="48" t="s">
        <v>29</v>
      </c>
      <c r="C159" s="48" t="s">
        <v>56</v>
      </c>
      <c r="D159" s="48" t="s">
        <v>50</v>
      </c>
      <c r="E159" s="48"/>
      <c r="F159" s="48">
        <v>0.0</v>
      </c>
      <c r="G159" s="43"/>
      <c r="H159" s="43"/>
      <c r="I159" s="43"/>
    </row>
    <row r="160" ht="12.75" customHeight="1">
      <c r="A160" s="48" t="s">
        <v>44</v>
      </c>
      <c r="B160" s="48" t="s">
        <v>29</v>
      </c>
      <c r="C160" s="48" t="s">
        <v>56</v>
      </c>
      <c r="D160" s="48" t="s">
        <v>50</v>
      </c>
      <c r="E160" s="48"/>
      <c r="F160" s="48">
        <v>14762.7</v>
      </c>
      <c r="G160" s="43"/>
      <c r="H160" s="43"/>
      <c r="I160" s="43"/>
    </row>
    <row r="161" ht="12.75" customHeight="1">
      <c r="A161" s="48" t="s">
        <v>44</v>
      </c>
      <c r="B161" s="48" t="s">
        <v>29</v>
      </c>
      <c r="C161" s="48" t="s">
        <v>56</v>
      </c>
      <c r="D161" s="48" t="s">
        <v>50</v>
      </c>
      <c r="E161" s="48"/>
      <c r="F161" s="48">
        <v>11745.300000000001</v>
      </c>
      <c r="G161" s="43"/>
      <c r="H161" s="43"/>
      <c r="I161" s="43"/>
    </row>
    <row r="162" ht="12.75" customHeight="1">
      <c r="A162" s="48" t="s">
        <v>44</v>
      </c>
      <c r="B162" s="48" t="s">
        <v>29</v>
      </c>
      <c r="C162" s="48" t="s">
        <v>56</v>
      </c>
      <c r="D162" s="48" t="s">
        <v>50</v>
      </c>
      <c r="E162" s="48"/>
      <c r="F162" s="48">
        <v>8864.2</v>
      </c>
      <c r="G162" s="43"/>
      <c r="H162" s="43"/>
      <c r="I162" s="43"/>
    </row>
    <row r="163" ht="12.75" customHeight="1">
      <c r="A163" s="48" t="s">
        <v>44</v>
      </c>
      <c r="B163" s="48" t="s">
        <v>29</v>
      </c>
      <c r="C163" s="48" t="s">
        <v>56</v>
      </c>
      <c r="D163" s="48" t="s">
        <v>50</v>
      </c>
      <c r="E163" s="48"/>
      <c r="F163" s="48">
        <v>12972.0</v>
      </c>
      <c r="G163" s="43"/>
      <c r="H163" s="43"/>
      <c r="I163" s="43"/>
    </row>
    <row r="164" ht="12.75" customHeight="1">
      <c r="A164" s="48" t="s">
        <v>44</v>
      </c>
      <c r="B164" s="48" t="s">
        <v>29</v>
      </c>
      <c r="C164" s="48" t="s">
        <v>56</v>
      </c>
      <c r="D164" s="48" t="s">
        <v>50</v>
      </c>
      <c r="E164" s="48"/>
      <c r="F164" s="48">
        <v>76516.0</v>
      </c>
      <c r="G164" s="43"/>
      <c r="H164" s="43"/>
      <c r="I164" s="43"/>
    </row>
    <row r="165" ht="12.75" customHeight="1">
      <c r="A165" s="48" t="s">
        <v>44</v>
      </c>
      <c r="B165" s="48" t="s">
        <v>29</v>
      </c>
      <c r="C165" s="48" t="s">
        <v>56</v>
      </c>
      <c r="D165" s="48" t="s">
        <v>50</v>
      </c>
      <c r="E165" s="48"/>
      <c r="F165" s="48">
        <v>12896.800000000001</v>
      </c>
      <c r="G165" s="43"/>
      <c r="H165" s="43"/>
      <c r="I165" s="43"/>
    </row>
    <row r="166" ht="12.75" customHeight="1">
      <c r="A166" s="48" t="s">
        <v>44</v>
      </c>
      <c r="B166" s="48" t="s">
        <v>29</v>
      </c>
      <c r="C166" s="48" t="s">
        <v>56</v>
      </c>
      <c r="D166" s="48" t="s">
        <v>50</v>
      </c>
      <c r="E166" s="48"/>
      <c r="F166" s="48">
        <v>11388.1</v>
      </c>
      <c r="G166" s="43"/>
      <c r="H166" s="43"/>
      <c r="I166" s="43"/>
    </row>
    <row r="167" ht="12.75" customHeight="1">
      <c r="A167" s="48" t="s">
        <v>44</v>
      </c>
      <c r="B167" s="48" t="s">
        <v>29</v>
      </c>
      <c r="C167" s="48" t="s">
        <v>56</v>
      </c>
      <c r="D167" s="48" t="s">
        <v>50</v>
      </c>
      <c r="E167" s="48"/>
      <c r="F167" s="48">
        <v>16943.5</v>
      </c>
      <c r="G167" s="43"/>
      <c r="H167" s="43"/>
      <c r="I167" s="43"/>
    </row>
    <row r="168" ht="12.75" customHeight="1">
      <c r="A168" s="48" t="s">
        <v>44</v>
      </c>
      <c r="B168" s="48" t="s">
        <v>29</v>
      </c>
      <c r="C168" s="48" t="s">
        <v>56</v>
      </c>
      <c r="D168" s="48" t="s">
        <v>47</v>
      </c>
      <c r="E168" s="48"/>
      <c r="F168" s="48">
        <v>0.0</v>
      </c>
      <c r="G168" s="43"/>
      <c r="H168" s="43"/>
      <c r="I168" s="43"/>
    </row>
    <row r="169" ht="12.75" customHeight="1">
      <c r="A169" s="48" t="s">
        <v>44</v>
      </c>
      <c r="B169" s="48" t="s">
        <v>29</v>
      </c>
      <c r="C169" s="48" t="s">
        <v>56</v>
      </c>
      <c r="D169" s="48" t="s">
        <v>47</v>
      </c>
      <c r="E169" s="48"/>
      <c r="F169" s="48">
        <v>0.0</v>
      </c>
      <c r="G169" s="43"/>
      <c r="H169" s="43"/>
      <c r="I169" s="43"/>
    </row>
    <row r="170" ht="12.75" customHeight="1">
      <c r="A170" s="48" t="s">
        <v>44</v>
      </c>
      <c r="B170" s="48" t="s">
        <v>29</v>
      </c>
      <c r="C170" s="48" t="s">
        <v>56</v>
      </c>
      <c r="D170" s="48" t="s">
        <v>47</v>
      </c>
      <c r="E170" s="48"/>
      <c r="F170" s="48">
        <v>705.0</v>
      </c>
      <c r="G170" s="43"/>
      <c r="H170" s="43"/>
      <c r="I170" s="43"/>
    </row>
    <row r="171" ht="12.75" customHeight="1">
      <c r="A171" s="48" t="s">
        <v>44</v>
      </c>
      <c r="B171" s="48" t="s">
        <v>29</v>
      </c>
      <c r="C171" s="48" t="s">
        <v>56</v>
      </c>
      <c r="D171" s="48" t="s">
        <v>47</v>
      </c>
      <c r="E171" s="48"/>
      <c r="F171" s="48">
        <v>1057.5</v>
      </c>
      <c r="G171" s="43"/>
      <c r="H171" s="43"/>
      <c r="I171" s="43"/>
    </row>
    <row r="172" ht="12.75" customHeight="1">
      <c r="A172" s="48" t="s">
        <v>44</v>
      </c>
      <c r="B172" s="48" t="s">
        <v>29</v>
      </c>
      <c r="C172" s="48" t="s">
        <v>59</v>
      </c>
      <c r="D172" s="48" t="s">
        <v>58</v>
      </c>
      <c r="E172" s="48"/>
      <c r="F172" s="48">
        <v>76873.2</v>
      </c>
      <c r="G172" s="43"/>
      <c r="H172" s="43"/>
      <c r="I172" s="43"/>
    </row>
    <row r="173" ht="12.75" customHeight="1">
      <c r="A173" s="48" t="s">
        <v>44</v>
      </c>
      <c r="B173" s="48" t="s">
        <v>29</v>
      </c>
      <c r="C173" s="48" t="s">
        <v>59</v>
      </c>
      <c r="D173" s="48" t="s">
        <v>54</v>
      </c>
      <c r="E173" s="48"/>
      <c r="F173" s="48">
        <v>7618.700000000001</v>
      </c>
      <c r="G173" s="43"/>
      <c r="H173" s="43"/>
      <c r="I173" s="43"/>
    </row>
    <row r="174" ht="12.75" customHeight="1">
      <c r="A174" s="48" t="s">
        <v>44</v>
      </c>
      <c r="B174" s="48" t="s">
        <v>29</v>
      </c>
      <c r="C174" s="48" t="s">
        <v>59</v>
      </c>
      <c r="D174" s="48" t="s">
        <v>50</v>
      </c>
      <c r="E174" s="48"/>
      <c r="F174" s="48">
        <v>10932.2</v>
      </c>
      <c r="G174" s="43"/>
      <c r="H174" s="43"/>
      <c r="I174" s="43"/>
    </row>
    <row r="175" ht="12.75" customHeight="1">
      <c r="A175" s="48" t="s">
        <v>44</v>
      </c>
      <c r="B175" s="48" t="s">
        <v>29</v>
      </c>
      <c r="C175" s="48" t="s">
        <v>59</v>
      </c>
      <c r="D175" s="48" t="s">
        <v>50</v>
      </c>
      <c r="E175" s="48"/>
      <c r="F175" s="48">
        <v>13996.6</v>
      </c>
      <c r="G175" s="43"/>
      <c r="H175" s="43"/>
      <c r="I175" s="43"/>
    </row>
    <row r="176" ht="12.75" customHeight="1">
      <c r="A176" s="48" t="s">
        <v>44</v>
      </c>
      <c r="B176" s="48" t="s">
        <v>30</v>
      </c>
      <c r="C176" s="48" t="s">
        <v>6</v>
      </c>
      <c r="D176" s="48" t="s">
        <v>6</v>
      </c>
      <c r="E176" s="48"/>
      <c r="F176" s="48">
        <v>17625.0</v>
      </c>
      <c r="G176" s="43"/>
      <c r="H176" s="43"/>
      <c r="I176" s="43"/>
    </row>
    <row r="177" ht="12.75" customHeight="1">
      <c r="A177" s="48" t="s">
        <v>44</v>
      </c>
      <c r="B177" s="48" t="s">
        <v>30</v>
      </c>
      <c r="C177" s="48" t="s">
        <v>6</v>
      </c>
      <c r="D177" s="48" t="s">
        <v>6</v>
      </c>
      <c r="E177" s="48"/>
      <c r="F177" s="48">
        <v>0.0</v>
      </c>
      <c r="G177" s="43"/>
      <c r="H177" s="43"/>
      <c r="I177" s="43"/>
    </row>
    <row r="178" ht="12.75" customHeight="1">
      <c r="A178" s="48" t="s">
        <v>44</v>
      </c>
      <c r="B178" s="48" t="s">
        <v>30</v>
      </c>
      <c r="C178" s="48" t="s">
        <v>6</v>
      </c>
      <c r="D178" s="48" t="s">
        <v>6</v>
      </c>
      <c r="E178" s="48"/>
      <c r="F178" s="48">
        <v>0.0</v>
      </c>
      <c r="G178" s="43"/>
      <c r="H178" s="43"/>
      <c r="I178" s="43"/>
    </row>
    <row r="179" ht="12.75" customHeight="1">
      <c r="A179" s="48" t="s">
        <v>44</v>
      </c>
      <c r="B179" s="48" t="s">
        <v>30</v>
      </c>
      <c r="C179" s="48" t="s">
        <v>6</v>
      </c>
      <c r="D179" s="48" t="s">
        <v>6</v>
      </c>
      <c r="E179" s="48"/>
      <c r="F179" s="48">
        <v>10175.5</v>
      </c>
      <c r="G179" s="43"/>
      <c r="H179" s="43"/>
      <c r="I179" s="43"/>
    </row>
    <row r="180" ht="12.75" customHeight="1">
      <c r="A180" s="48" t="s">
        <v>44</v>
      </c>
      <c r="B180" s="48" t="s">
        <v>30</v>
      </c>
      <c r="C180" s="48" t="s">
        <v>6</v>
      </c>
      <c r="D180" s="48" t="s">
        <v>54</v>
      </c>
      <c r="E180" s="48"/>
      <c r="F180" s="48">
        <v>3609.6000000000004</v>
      </c>
      <c r="G180" s="43"/>
      <c r="H180" s="43"/>
      <c r="I180" s="43"/>
    </row>
    <row r="181" ht="12.75" customHeight="1">
      <c r="A181" s="48" t="s">
        <v>44</v>
      </c>
      <c r="B181" s="48" t="s">
        <v>30</v>
      </c>
      <c r="C181" s="48" t="s">
        <v>6</v>
      </c>
      <c r="D181" s="48" t="s">
        <v>49</v>
      </c>
      <c r="E181" s="48"/>
      <c r="F181" s="48">
        <v>40076.9</v>
      </c>
      <c r="G181" s="43"/>
      <c r="H181" s="43"/>
      <c r="I181" s="43"/>
    </row>
    <row r="182" ht="12.75" customHeight="1">
      <c r="A182" s="48" t="s">
        <v>44</v>
      </c>
      <c r="B182" s="48" t="s">
        <v>30</v>
      </c>
      <c r="C182" s="48" t="s">
        <v>6</v>
      </c>
      <c r="D182" s="48" t="s">
        <v>50</v>
      </c>
      <c r="E182" s="48"/>
      <c r="F182" s="48">
        <v>117.5</v>
      </c>
      <c r="G182" s="43"/>
      <c r="H182" s="43"/>
      <c r="I182" s="43"/>
    </row>
    <row r="183" ht="12.75" customHeight="1">
      <c r="A183" s="48" t="s">
        <v>44</v>
      </c>
      <c r="B183" s="48" t="s">
        <v>30</v>
      </c>
      <c r="C183" s="48" t="s">
        <v>6</v>
      </c>
      <c r="D183" s="48" t="s">
        <v>50</v>
      </c>
      <c r="E183" s="48"/>
      <c r="F183" s="48">
        <v>0.0</v>
      </c>
      <c r="G183" s="43"/>
      <c r="H183" s="43"/>
      <c r="I183" s="43"/>
    </row>
    <row r="184" ht="12.75" customHeight="1">
      <c r="A184" s="48" t="s">
        <v>44</v>
      </c>
      <c r="B184" s="48" t="s">
        <v>30</v>
      </c>
      <c r="C184" s="48" t="s">
        <v>6</v>
      </c>
      <c r="D184" s="48" t="s">
        <v>50</v>
      </c>
      <c r="E184" s="48"/>
      <c r="F184" s="48">
        <v>3252.4</v>
      </c>
      <c r="G184" s="43"/>
      <c r="H184" s="43"/>
      <c r="I184" s="43"/>
    </row>
    <row r="185" ht="12.75" customHeight="1">
      <c r="A185" s="48" t="s">
        <v>44</v>
      </c>
      <c r="B185" s="48" t="s">
        <v>30</v>
      </c>
      <c r="C185" s="48" t="s">
        <v>6</v>
      </c>
      <c r="D185" s="48" t="s">
        <v>47</v>
      </c>
      <c r="E185" s="48"/>
      <c r="F185" s="48">
        <v>1757.8</v>
      </c>
      <c r="G185" s="43"/>
      <c r="H185" s="43"/>
      <c r="I185" s="43"/>
    </row>
    <row r="186" ht="12.75" customHeight="1">
      <c r="A186" s="48" t="s">
        <v>44</v>
      </c>
      <c r="B186" s="48" t="s">
        <v>30</v>
      </c>
      <c r="C186" s="48" t="s">
        <v>5</v>
      </c>
      <c r="D186" s="48" t="s">
        <v>60</v>
      </c>
      <c r="E186" s="48"/>
      <c r="F186" s="48">
        <v>2961.0</v>
      </c>
      <c r="G186" s="43"/>
      <c r="H186" s="43"/>
      <c r="I186" s="43"/>
    </row>
    <row r="187" ht="12.75" customHeight="1">
      <c r="A187" s="48" t="s">
        <v>44</v>
      </c>
      <c r="B187" s="48" t="s">
        <v>30</v>
      </c>
      <c r="C187" s="48" t="s">
        <v>5</v>
      </c>
      <c r="D187" s="48" t="s">
        <v>53</v>
      </c>
      <c r="E187" s="48"/>
      <c r="F187" s="48">
        <v>46544.1</v>
      </c>
      <c r="G187" s="43"/>
      <c r="H187" s="43"/>
      <c r="I187" s="43"/>
    </row>
    <row r="188" ht="12.75" customHeight="1">
      <c r="A188" s="48" t="s">
        <v>44</v>
      </c>
      <c r="B188" s="48" t="s">
        <v>30</v>
      </c>
      <c r="C188" s="48" t="s">
        <v>5</v>
      </c>
      <c r="D188" s="48" t="s">
        <v>53</v>
      </c>
      <c r="E188" s="48"/>
      <c r="F188" s="48">
        <v>0.0</v>
      </c>
      <c r="G188" s="43"/>
      <c r="H188" s="43"/>
      <c r="I188" s="43"/>
    </row>
    <row r="189" ht="12.75" customHeight="1">
      <c r="A189" s="48" t="s">
        <v>44</v>
      </c>
      <c r="B189" s="48" t="s">
        <v>30</v>
      </c>
      <c r="C189" s="48" t="s">
        <v>5</v>
      </c>
      <c r="D189" s="48" t="s">
        <v>58</v>
      </c>
      <c r="E189" s="48"/>
      <c r="F189" s="48">
        <v>0.0</v>
      </c>
      <c r="G189" s="43"/>
      <c r="H189" s="43"/>
      <c r="I189" s="43"/>
    </row>
    <row r="190" ht="12.75" customHeight="1">
      <c r="A190" s="48" t="s">
        <v>44</v>
      </c>
      <c r="B190" s="48" t="s">
        <v>30</v>
      </c>
      <c r="C190" s="48" t="s">
        <v>5</v>
      </c>
      <c r="D190" s="48" t="s">
        <v>6</v>
      </c>
      <c r="E190" s="48"/>
      <c r="F190" s="48">
        <v>324.3</v>
      </c>
      <c r="G190" s="43"/>
      <c r="H190" s="43"/>
      <c r="I190" s="43"/>
    </row>
    <row r="191" ht="12.75" customHeight="1">
      <c r="A191" s="48" t="s">
        <v>44</v>
      </c>
      <c r="B191" s="48" t="s">
        <v>30</v>
      </c>
      <c r="C191" s="48" t="s">
        <v>5</v>
      </c>
      <c r="D191" s="48" t="s">
        <v>54</v>
      </c>
      <c r="E191" s="48"/>
      <c r="F191" s="48">
        <v>0.0</v>
      </c>
      <c r="G191" s="43"/>
      <c r="H191" s="43"/>
      <c r="I191" s="43"/>
    </row>
    <row r="192" ht="12.75" customHeight="1">
      <c r="A192" s="48" t="s">
        <v>44</v>
      </c>
      <c r="B192" s="48" t="s">
        <v>30</v>
      </c>
      <c r="C192" s="48" t="s">
        <v>5</v>
      </c>
      <c r="D192" s="48" t="s">
        <v>54</v>
      </c>
      <c r="E192" s="48"/>
      <c r="F192" s="48">
        <v>0.0</v>
      </c>
      <c r="G192" s="43"/>
      <c r="H192" s="43"/>
      <c r="I192" s="43"/>
    </row>
    <row r="193" ht="12.75" customHeight="1">
      <c r="A193" s="48" t="s">
        <v>44</v>
      </c>
      <c r="B193" s="48" t="s">
        <v>30</v>
      </c>
      <c r="C193" s="48" t="s">
        <v>5</v>
      </c>
      <c r="D193" s="48" t="s">
        <v>49</v>
      </c>
      <c r="E193" s="48"/>
      <c r="F193" s="48">
        <v>26569.100000000002</v>
      </c>
      <c r="G193" s="43"/>
      <c r="H193" s="43"/>
      <c r="I193" s="43"/>
    </row>
    <row r="194" ht="12.75" customHeight="1">
      <c r="A194" s="48" t="s">
        <v>44</v>
      </c>
      <c r="B194" s="48" t="s">
        <v>30</v>
      </c>
      <c r="C194" s="48" t="s">
        <v>5</v>
      </c>
      <c r="D194" s="48" t="s">
        <v>50</v>
      </c>
      <c r="E194" s="48"/>
      <c r="F194" s="48">
        <v>0.0</v>
      </c>
      <c r="G194" s="43"/>
      <c r="H194" s="43"/>
      <c r="I194" s="43"/>
    </row>
    <row r="195" ht="12.75" customHeight="1">
      <c r="A195" s="48" t="s">
        <v>44</v>
      </c>
      <c r="B195" s="48" t="s">
        <v>30</v>
      </c>
      <c r="C195" s="48" t="s">
        <v>5</v>
      </c>
      <c r="D195" s="48" t="s">
        <v>50</v>
      </c>
      <c r="E195" s="48"/>
      <c r="F195" s="48">
        <v>2575.6</v>
      </c>
      <c r="G195" s="43"/>
      <c r="H195" s="43"/>
      <c r="I195" s="43"/>
    </row>
    <row r="196" ht="12.75" customHeight="1">
      <c r="A196" s="48" t="s">
        <v>44</v>
      </c>
      <c r="B196" s="48" t="s">
        <v>30</v>
      </c>
      <c r="C196" s="48" t="s">
        <v>5</v>
      </c>
      <c r="D196" s="48" t="s">
        <v>50</v>
      </c>
      <c r="E196" s="48"/>
      <c r="F196" s="48">
        <v>3811.7000000000003</v>
      </c>
      <c r="G196" s="43"/>
      <c r="H196" s="43"/>
      <c r="I196" s="43"/>
    </row>
    <row r="197" ht="12.75" customHeight="1">
      <c r="A197" s="48" t="s">
        <v>44</v>
      </c>
      <c r="B197" s="48" t="s">
        <v>30</v>
      </c>
      <c r="C197" s="48" t="s">
        <v>5</v>
      </c>
      <c r="D197" s="48" t="s">
        <v>47</v>
      </c>
      <c r="E197" s="48"/>
      <c r="F197" s="48">
        <v>0.0</v>
      </c>
      <c r="G197" s="43"/>
      <c r="H197" s="43"/>
      <c r="I197" s="43"/>
    </row>
    <row r="198" ht="12.75" customHeight="1">
      <c r="A198" s="48" t="s">
        <v>44</v>
      </c>
      <c r="B198" s="48" t="s">
        <v>30</v>
      </c>
      <c r="C198" s="48" t="s">
        <v>5</v>
      </c>
      <c r="D198" s="48" t="s">
        <v>47</v>
      </c>
      <c r="E198" s="48"/>
      <c r="F198" s="48">
        <v>-75.2</v>
      </c>
      <c r="G198" s="43"/>
      <c r="H198" s="43"/>
      <c r="I198" s="43"/>
    </row>
    <row r="199" ht="12.75" customHeight="1">
      <c r="A199" s="48" t="s">
        <v>44</v>
      </c>
      <c r="B199" s="48" t="s">
        <v>30</v>
      </c>
      <c r="C199" s="48" t="s">
        <v>5</v>
      </c>
      <c r="D199" s="48" t="s">
        <v>47</v>
      </c>
      <c r="E199" s="48"/>
      <c r="F199" s="48">
        <v>0.0</v>
      </c>
      <c r="G199" s="43"/>
      <c r="H199" s="43"/>
      <c r="I199" s="43"/>
    </row>
    <row r="200" ht="12.75" customHeight="1">
      <c r="A200" s="48" t="s">
        <v>44</v>
      </c>
      <c r="B200" s="48" t="s">
        <v>30</v>
      </c>
      <c r="C200" s="48" t="s">
        <v>5</v>
      </c>
      <c r="D200" s="48" t="s">
        <v>47</v>
      </c>
      <c r="E200" s="48"/>
      <c r="F200" s="48">
        <v>0.0</v>
      </c>
      <c r="G200" s="43"/>
      <c r="H200" s="43"/>
      <c r="I200" s="43"/>
    </row>
    <row r="201" ht="12.75" customHeight="1">
      <c r="A201" s="48" t="s">
        <v>44</v>
      </c>
      <c r="B201" s="48" t="s">
        <v>30</v>
      </c>
      <c r="C201" s="48" t="s">
        <v>5</v>
      </c>
      <c r="D201" s="48" t="s">
        <v>47</v>
      </c>
      <c r="E201" s="48"/>
      <c r="F201" s="48">
        <v>1560.4</v>
      </c>
      <c r="G201" s="43"/>
      <c r="H201" s="43"/>
      <c r="I201" s="43"/>
    </row>
    <row r="202" ht="12.75" customHeight="1">
      <c r="A202" s="48" t="s">
        <v>44</v>
      </c>
      <c r="B202" s="48" t="s">
        <v>30</v>
      </c>
      <c r="C202" s="48" t="s">
        <v>5</v>
      </c>
      <c r="D202" s="48" t="s">
        <v>47</v>
      </c>
      <c r="E202" s="48"/>
      <c r="F202" s="48">
        <v>32528.7</v>
      </c>
      <c r="G202" s="43"/>
      <c r="H202" s="43"/>
      <c r="I202" s="43"/>
    </row>
    <row r="203" ht="12.75" customHeight="1">
      <c r="A203" s="48" t="s">
        <v>44</v>
      </c>
      <c r="B203" s="48" t="s">
        <v>30</v>
      </c>
      <c r="C203" s="48" t="s">
        <v>5</v>
      </c>
      <c r="D203" s="48" t="s">
        <v>47</v>
      </c>
      <c r="E203" s="48"/>
      <c r="F203" s="48">
        <v>0.0</v>
      </c>
      <c r="G203" s="43"/>
      <c r="H203" s="43"/>
      <c r="I203" s="43"/>
    </row>
    <row r="204" ht="12.75" customHeight="1">
      <c r="A204" s="48" t="s">
        <v>44</v>
      </c>
      <c r="B204" s="48" t="s">
        <v>30</v>
      </c>
      <c r="C204" s="48" t="s">
        <v>61</v>
      </c>
      <c r="D204" s="48" t="s">
        <v>54</v>
      </c>
      <c r="E204" s="48"/>
      <c r="F204" s="48">
        <v>7618.700000000001</v>
      </c>
      <c r="G204" s="43"/>
      <c r="H204" s="43"/>
      <c r="I204" s="43"/>
    </row>
    <row r="205" ht="12.75" customHeight="1">
      <c r="A205" s="48" t="s">
        <v>44</v>
      </c>
      <c r="B205" s="48" t="s">
        <v>30</v>
      </c>
      <c r="C205" s="48" t="s">
        <v>61</v>
      </c>
      <c r="D205" s="48" t="s">
        <v>50</v>
      </c>
      <c r="E205" s="48"/>
      <c r="F205" s="48">
        <v>10932.2</v>
      </c>
      <c r="G205" s="43"/>
      <c r="H205" s="43"/>
      <c r="I205" s="43"/>
    </row>
    <row r="206" ht="12.75" customHeight="1">
      <c r="A206" s="48" t="s">
        <v>44</v>
      </c>
      <c r="B206" s="48" t="s">
        <v>30</v>
      </c>
      <c r="C206" s="48" t="s">
        <v>61</v>
      </c>
      <c r="D206" s="48" t="s">
        <v>50</v>
      </c>
      <c r="E206" s="48"/>
      <c r="F206" s="48">
        <v>12708.800000000001</v>
      </c>
      <c r="G206" s="43"/>
      <c r="H206" s="43"/>
      <c r="I206" s="43"/>
    </row>
    <row r="207" ht="12.75" customHeight="1">
      <c r="A207" s="48" t="s">
        <v>44</v>
      </c>
      <c r="B207" s="48" t="s">
        <v>30</v>
      </c>
      <c r="C207" s="48" t="s">
        <v>61</v>
      </c>
      <c r="D207" s="48" t="s">
        <v>47</v>
      </c>
      <c r="E207" s="48"/>
      <c r="F207" s="48">
        <v>0.0</v>
      </c>
      <c r="G207" s="43"/>
      <c r="H207" s="43"/>
      <c r="I207" s="43"/>
    </row>
    <row r="208" ht="12.75" customHeight="1">
      <c r="A208" s="48" t="s">
        <v>44</v>
      </c>
      <c r="B208" s="48" t="s">
        <v>30</v>
      </c>
      <c r="C208" s="48" t="s">
        <v>61</v>
      </c>
      <c r="D208" s="48" t="s">
        <v>47</v>
      </c>
      <c r="E208" s="48"/>
      <c r="F208" s="48">
        <v>0.0</v>
      </c>
      <c r="G208" s="43"/>
      <c r="H208" s="43"/>
      <c r="I208" s="43"/>
    </row>
    <row r="209" ht="12.75" customHeight="1">
      <c r="A209" s="48" t="s">
        <v>44</v>
      </c>
      <c r="B209" s="48" t="s">
        <v>28</v>
      </c>
      <c r="C209" s="48" t="s">
        <v>64</v>
      </c>
      <c r="D209" s="48" t="s">
        <v>50</v>
      </c>
      <c r="E209" s="48"/>
      <c r="F209" s="48">
        <v>88750.1</v>
      </c>
      <c r="G209" s="43"/>
      <c r="H209" s="43"/>
      <c r="I209" s="43"/>
    </row>
    <row r="210" ht="12.75" customHeight="1">
      <c r="A210" s="48" t="s">
        <v>44</v>
      </c>
      <c r="B210" s="48" t="s">
        <v>28</v>
      </c>
      <c r="C210" s="48" t="s">
        <v>64</v>
      </c>
      <c r="D210" s="48" t="s">
        <v>50</v>
      </c>
      <c r="E210" s="48"/>
      <c r="F210" s="48">
        <v>-88750.1</v>
      </c>
      <c r="G210" s="43"/>
      <c r="H210" s="43"/>
      <c r="I210" s="43"/>
    </row>
    <row r="211" ht="12.75" customHeight="1">
      <c r="A211" s="48" t="s">
        <v>44</v>
      </c>
      <c r="B211" s="48" t="s">
        <v>28</v>
      </c>
      <c r="C211" s="48" t="s">
        <v>45</v>
      </c>
      <c r="D211" s="48" t="s">
        <v>8</v>
      </c>
      <c r="E211" s="48"/>
      <c r="F211" s="48">
        <v>2006.9</v>
      </c>
      <c r="G211" s="43"/>
      <c r="H211" s="43"/>
      <c r="I211" s="43"/>
    </row>
    <row r="212" ht="12.75" customHeight="1">
      <c r="A212" s="48" t="s">
        <v>44</v>
      </c>
      <c r="B212" s="48" t="s">
        <v>28</v>
      </c>
      <c r="C212" s="48" t="s">
        <v>46</v>
      </c>
      <c r="D212" s="48" t="s">
        <v>8</v>
      </c>
      <c r="E212" s="48"/>
      <c r="F212" s="48">
        <v>0.0</v>
      </c>
      <c r="G212" s="43"/>
      <c r="H212" s="43"/>
      <c r="I212" s="43"/>
    </row>
    <row r="213" ht="12.75" customHeight="1">
      <c r="A213" s="48" t="s">
        <v>44</v>
      </c>
      <c r="B213" s="48" t="s">
        <v>28</v>
      </c>
      <c r="C213" s="48" t="s">
        <v>46</v>
      </c>
      <c r="D213" s="48" t="s">
        <v>8</v>
      </c>
      <c r="E213" s="48"/>
      <c r="F213" s="48">
        <v>216.20000000000002</v>
      </c>
      <c r="G213" s="43"/>
      <c r="H213" s="43"/>
      <c r="I213" s="43"/>
    </row>
    <row r="214" ht="12.75" customHeight="1">
      <c r="A214" s="48" t="s">
        <v>44</v>
      </c>
      <c r="B214" s="48" t="s">
        <v>28</v>
      </c>
      <c r="C214" s="48" t="s">
        <v>46</v>
      </c>
      <c r="D214" s="48" t="s">
        <v>8</v>
      </c>
      <c r="E214" s="48"/>
      <c r="F214" s="48">
        <v>3144.3</v>
      </c>
      <c r="G214" s="43"/>
      <c r="H214" s="43"/>
      <c r="I214" s="43"/>
    </row>
    <row r="215" ht="12.75" customHeight="1">
      <c r="A215" s="48" t="s">
        <v>44</v>
      </c>
      <c r="B215" s="48" t="s">
        <v>28</v>
      </c>
      <c r="C215" s="48" t="s">
        <v>48</v>
      </c>
      <c r="D215" s="48" t="s">
        <v>54</v>
      </c>
      <c r="E215" s="48"/>
      <c r="F215" s="48">
        <v>122.2</v>
      </c>
      <c r="G215" s="43"/>
      <c r="H215" s="43"/>
      <c r="I215" s="43"/>
    </row>
    <row r="216" ht="12.75" customHeight="1">
      <c r="A216" s="48" t="s">
        <v>44</v>
      </c>
      <c r="B216" s="48" t="s">
        <v>28</v>
      </c>
      <c r="C216" s="48" t="s">
        <v>48</v>
      </c>
      <c r="D216" s="48" t="s">
        <v>54</v>
      </c>
      <c r="E216" s="48"/>
      <c r="F216" s="48">
        <v>28.200000000000003</v>
      </c>
      <c r="G216" s="43"/>
      <c r="H216" s="43"/>
      <c r="I216" s="43"/>
    </row>
    <row r="217" ht="12.75" customHeight="1">
      <c r="A217" s="48" t="s">
        <v>44</v>
      </c>
      <c r="B217" s="48" t="s">
        <v>28</v>
      </c>
      <c r="C217" s="48" t="s">
        <v>48</v>
      </c>
      <c r="D217" s="48" t="s">
        <v>54</v>
      </c>
      <c r="E217" s="48"/>
      <c r="F217" s="48">
        <v>61.1</v>
      </c>
      <c r="G217" s="43"/>
      <c r="H217" s="43"/>
      <c r="I217" s="43"/>
    </row>
    <row r="218" ht="12.75" customHeight="1">
      <c r="A218" s="48" t="s">
        <v>44</v>
      </c>
      <c r="B218" s="48" t="s">
        <v>28</v>
      </c>
      <c r="C218" s="48" t="s">
        <v>48</v>
      </c>
      <c r="D218" s="48" t="s">
        <v>49</v>
      </c>
      <c r="E218" s="48"/>
      <c r="F218" s="48">
        <v>1922.3000000000002</v>
      </c>
      <c r="G218" s="43"/>
      <c r="H218" s="43"/>
      <c r="I218" s="43"/>
    </row>
    <row r="219" ht="12.75" customHeight="1">
      <c r="A219" s="48" t="s">
        <v>44</v>
      </c>
      <c r="B219" s="48" t="s">
        <v>28</v>
      </c>
      <c r="C219" s="48" t="s">
        <v>48</v>
      </c>
      <c r="D219" s="48" t="s">
        <v>49</v>
      </c>
      <c r="E219" s="48"/>
      <c r="F219" s="48">
        <v>70.5</v>
      </c>
      <c r="G219" s="43"/>
      <c r="H219" s="43"/>
      <c r="I219" s="43"/>
    </row>
    <row r="220" ht="12.75" customHeight="1">
      <c r="A220" s="48" t="s">
        <v>44</v>
      </c>
      <c r="B220" s="48" t="s">
        <v>28</v>
      </c>
      <c r="C220" s="48" t="s">
        <v>48</v>
      </c>
      <c r="D220" s="48" t="s">
        <v>47</v>
      </c>
      <c r="E220" s="48"/>
      <c r="F220" s="48">
        <v>2895.2000000000003</v>
      </c>
      <c r="G220" s="43"/>
      <c r="H220" s="43"/>
      <c r="I220" s="43"/>
    </row>
    <row r="221" ht="12.75" customHeight="1">
      <c r="A221" s="48" t="s">
        <v>44</v>
      </c>
      <c r="B221" s="48" t="s">
        <v>28</v>
      </c>
      <c r="C221" s="48" t="s">
        <v>51</v>
      </c>
      <c r="D221" s="48" t="s">
        <v>52</v>
      </c>
      <c r="E221" s="48"/>
      <c r="F221" s="48">
        <v>99386.2</v>
      </c>
      <c r="G221" s="43"/>
      <c r="H221" s="43"/>
      <c r="I221" s="43"/>
    </row>
    <row r="222" ht="12.75" customHeight="1">
      <c r="A222" s="48" t="s">
        <v>44</v>
      </c>
      <c r="B222" s="48" t="s">
        <v>28</v>
      </c>
      <c r="C222" s="48" t="s">
        <v>51</v>
      </c>
      <c r="D222" s="48" t="s">
        <v>52</v>
      </c>
      <c r="E222" s="48"/>
      <c r="F222" s="48">
        <v>0.0</v>
      </c>
      <c r="G222" s="43"/>
      <c r="H222" s="43"/>
      <c r="I222" s="43"/>
    </row>
    <row r="223" ht="12.75" customHeight="1">
      <c r="A223" s="48" t="s">
        <v>44</v>
      </c>
      <c r="B223" s="48" t="s">
        <v>28</v>
      </c>
      <c r="C223" s="48" t="s">
        <v>51</v>
      </c>
      <c r="D223" s="48" t="s">
        <v>53</v>
      </c>
      <c r="E223" s="48"/>
      <c r="F223" s="48">
        <v>4465.0</v>
      </c>
      <c r="G223" s="43"/>
      <c r="H223" s="43"/>
      <c r="I223" s="43"/>
    </row>
    <row r="224" ht="12.75" customHeight="1">
      <c r="A224" s="48" t="s">
        <v>44</v>
      </c>
      <c r="B224" s="48" t="s">
        <v>28</v>
      </c>
      <c r="C224" s="48" t="s">
        <v>51</v>
      </c>
      <c r="D224" s="48" t="s">
        <v>53</v>
      </c>
      <c r="E224" s="48"/>
      <c r="F224" s="48">
        <v>0.0</v>
      </c>
      <c r="G224" s="43"/>
      <c r="H224" s="43"/>
      <c r="I224" s="43"/>
    </row>
    <row r="225" ht="12.75" customHeight="1">
      <c r="A225" s="48" t="s">
        <v>44</v>
      </c>
      <c r="B225" s="48" t="s">
        <v>28</v>
      </c>
      <c r="C225" s="48" t="s">
        <v>51</v>
      </c>
      <c r="D225" s="48" t="s">
        <v>54</v>
      </c>
      <c r="E225" s="48"/>
      <c r="F225" s="48">
        <v>2406.4</v>
      </c>
      <c r="G225" s="43"/>
      <c r="H225" s="43"/>
      <c r="I225" s="43"/>
    </row>
    <row r="226" ht="12.75" customHeight="1">
      <c r="A226" s="48" t="s">
        <v>44</v>
      </c>
      <c r="B226" s="48" t="s">
        <v>28</v>
      </c>
      <c r="C226" s="48" t="s">
        <v>51</v>
      </c>
      <c r="D226" s="48" t="s">
        <v>54</v>
      </c>
      <c r="E226" s="48"/>
      <c r="F226" s="48">
        <v>1019.9000000000001</v>
      </c>
      <c r="G226" s="43"/>
      <c r="H226" s="43"/>
      <c r="I226" s="43"/>
    </row>
    <row r="227" ht="12.75" customHeight="1">
      <c r="A227" s="48" t="s">
        <v>44</v>
      </c>
      <c r="B227" s="48" t="s">
        <v>28</v>
      </c>
      <c r="C227" s="48" t="s">
        <v>51</v>
      </c>
      <c r="D227" s="48" t="s">
        <v>54</v>
      </c>
      <c r="E227" s="48"/>
      <c r="F227" s="48">
        <v>38070.0</v>
      </c>
      <c r="G227" s="43"/>
      <c r="H227" s="43"/>
      <c r="I227" s="43"/>
    </row>
    <row r="228" ht="12.75" customHeight="1">
      <c r="A228" s="48" t="s">
        <v>44</v>
      </c>
      <c r="B228" s="48" t="s">
        <v>28</v>
      </c>
      <c r="C228" s="48" t="s">
        <v>51</v>
      </c>
      <c r="D228" s="48" t="s">
        <v>54</v>
      </c>
      <c r="E228" s="48"/>
      <c r="F228" s="48">
        <v>310.2</v>
      </c>
      <c r="G228" s="43"/>
      <c r="H228" s="43"/>
      <c r="I228" s="43"/>
    </row>
    <row r="229" ht="12.75" customHeight="1">
      <c r="A229" s="48" t="s">
        <v>44</v>
      </c>
      <c r="B229" s="48" t="s">
        <v>28</v>
      </c>
      <c r="C229" s="48" t="s">
        <v>51</v>
      </c>
      <c r="D229" s="48" t="s">
        <v>50</v>
      </c>
      <c r="E229" s="48"/>
      <c r="F229" s="48">
        <v>1931.7</v>
      </c>
      <c r="G229" s="43"/>
      <c r="H229" s="43"/>
      <c r="I229" s="43"/>
    </row>
    <row r="230" ht="12.75" customHeight="1">
      <c r="A230" s="48" t="s">
        <v>44</v>
      </c>
      <c r="B230" s="48" t="s">
        <v>28</v>
      </c>
      <c r="C230" s="48" t="s">
        <v>51</v>
      </c>
      <c r="D230" s="48" t="s">
        <v>50</v>
      </c>
      <c r="E230" s="48"/>
      <c r="F230" s="48">
        <v>19067.9</v>
      </c>
      <c r="G230" s="43"/>
      <c r="H230" s="43"/>
      <c r="I230" s="43"/>
    </row>
    <row r="231" ht="12.75" customHeight="1">
      <c r="A231" s="48" t="s">
        <v>44</v>
      </c>
      <c r="B231" s="48" t="s">
        <v>28</v>
      </c>
      <c r="C231" s="48" t="s">
        <v>51</v>
      </c>
      <c r="D231" s="48" t="s">
        <v>50</v>
      </c>
      <c r="E231" s="48"/>
      <c r="F231" s="48">
        <v>7825.5</v>
      </c>
      <c r="G231" s="43"/>
      <c r="H231" s="43"/>
      <c r="I231" s="43"/>
    </row>
    <row r="232" ht="12.75" customHeight="1">
      <c r="A232" s="48" t="s">
        <v>44</v>
      </c>
      <c r="B232" s="48" t="s">
        <v>28</v>
      </c>
      <c r="C232" s="48" t="s">
        <v>51</v>
      </c>
      <c r="D232" s="48" t="s">
        <v>50</v>
      </c>
      <c r="E232" s="48"/>
      <c r="F232" s="48">
        <v>11139.0</v>
      </c>
      <c r="G232" s="43"/>
      <c r="H232" s="43"/>
      <c r="I232" s="43"/>
    </row>
    <row r="233" ht="12.75" customHeight="1">
      <c r="A233" s="48" t="s">
        <v>44</v>
      </c>
      <c r="B233" s="48" t="s">
        <v>28</v>
      </c>
      <c r="C233" s="48" t="s">
        <v>51</v>
      </c>
      <c r="D233" s="48" t="s">
        <v>50</v>
      </c>
      <c r="E233" s="48"/>
      <c r="F233" s="48">
        <v>4873.900000000001</v>
      </c>
      <c r="G233" s="43"/>
      <c r="H233" s="43"/>
      <c r="I233" s="43"/>
    </row>
    <row r="234" ht="12.75" customHeight="1">
      <c r="A234" s="48" t="s">
        <v>44</v>
      </c>
      <c r="B234" s="48" t="s">
        <v>28</v>
      </c>
      <c r="C234" s="48" t="s">
        <v>51</v>
      </c>
      <c r="D234" s="48" t="s">
        <v>50</v>
      </c>
      <c r="E234" s="48"/>
      <c r="F234" s="48">
        <v>0.0</v>
      </c>
      <c r="G234" s="43"/>
      <c r="H234" s="43"/>
      <c r="I234" s="43"/>
    </row>
    <row r="235" ht="12.75" customHeight="1">
      <c r="A235" s="48" t="s">
        <v>44</v>
      </c>
      <c r="B235" s="48" t="s">
        <v>28</v>
      </c>
      <c r="C235" s="48" t="s">
        <v>51</v>
      </c>
      <c r="D235" s="48" t="s">
        <v>47</v>
      </c>
      <c r="E235" s="48"/>
      <c r="F235" s="48">
        <v>4512.0</v>
      </c>
      <c r="G235" s="43"/>
      <c r="H235" s="43"/>
      <c r="I235" s="43"/>
    </row>
    <row r="236" ht="12.75" customHeight="1">
      <c r="A236" s="48" t="s">
        <v>44</v>
      </c>
      <c r="B236" s="48" t="s">
        <v>28</v>
      </c>
      <c r="C236" s="48" t="s">
        <v>51</v>
      </c>
      <c r="D236" s="48" t="s">
        <v>47</v>
      </c>
      <c r="E236" s="48"/>
      <c r="F236" s="48">
        <v>5193.5</v>
      </c>
      <c r="G236" s="43"/>
      <c r="H236" s="43"/>
      <c r="I236" s="43"/>
    </row>
    <row r="237" ht="12.75" customHeight="1">
      <c r="A237" s="48" t="s">
        <v>44</v>
      </c>
      <c r="B237" s="48" t="s">
        <v>28</v>
      </c>
      <c r="C237" s="48" t="s">
        <v>51</v>
      </c>
      <c r="D237" s="48" t="s">
        <v>47</v>
      </c>
      <c r="E237" s="48"/>
      <c r="F237" s="48">
        <v>16553.4</v>
      </c>
      <c r="G237" s="43"/>
      <c r="H237" s="43"/>
      <c r="I237" s="43"/>
    </row>
    <row r="238" ht="12.75" customHeight="1">
      <c r="A238" s="48" t="s">
        <v>44</v>
      </c>
      <c r="B238" s="48" t="s">
        <v>28</v>
      </c>
      <c r="C238" s="48" t="s">
        <v>51</v>
      </c>
      <c r="D238" s="48" t="s">
        <v>47</v>
      </c>
      <c r="E238" s="48"/>
      <c r="F238" s="48">
        <v>615.7</v>
      </c>
      <c r="G238" s="43"/>
      <c r="H238" s="43"/>
      <c r="I238" s="43"/>
    </row>
    <row r="239" ht="12.75" customHeight="1">
      <c r="A239" s="48" t="s">
        <v>44</v>
      </c>
      <c r="B239" s="48" t="s">
        <v>28</v>
      </c>
      <c r="C239" s="48" t="s">
        <v>54</v>
      </c>
      <c r="D239" s="48" t="s">
        <v>8</v>
      </c>
      <c r="E239" s="48"/>
      <c r="F239" s="48">
        <v>484.1</v>
      </c>
      <c r="G239" s="43"/>
      <c r="H239" s="43"/>
      <c r="I239" s="43"/>
    </row>
    <row r="240" ht="12.75" customHeight="1">
      <c r="A240" s="48" t="s">
        <v>44</v>
      </c>
      <c r="B240" s="48" t="s">
        <v>28</v>
      </c>
      <c r="C240" s="48" t="s">
        <v>54</v>
      </c>
      <c r="D240" s="48" t="s">
        <v>8</v>
      </c>
      <c r="E240" s="48"/>
      <c r="F240" s="48">
        <v>0.0</v>
      </c>
      <c r="G240" s="43"/>
      <c r="H240" s="43"/>
      <c r="I240" s="43"/>
    </row>
    <row r="241" ht="12.75" customHeight="1">
      <c r="A241" s="48" t="s">
        <v>44</v>
      </c>
      <c r="B241" s="48" t="s">
        <v>28</v>
      </c>
      <c r="C241" s="48" t="s">
        <v>54</v>
      </c>
      <c r="D241" s="48" t="s">
        <v>8</v>
      </c>
      <c r="E241" s="48"/>
      <c r="F241" s="48">
        <v>2077.4</v>
      </c>
      <c r="G241" s="43"/>
      <c r="H241" s="43"/>
      <c r="I241" s="43"/>
    </row>
    <row r="242" ht="12.75" customHeight="1">
      <c r="A242" s="48" t="s">
        <v>44</v>
      </c>
      <c r="B242" s="48" t="s">
        <v>28</v>
      </c>
      <c r="C242" s="48" t="s">
        <v>54</v>
      </c>
      <c r="D242" s="48" t="s">
        <v>54</v>
      </c>
      <c r="E242" s="48"/>
      <c r="F242" s="48">
        <v>460.6</v>
      </c>
      <c r="G242" s="43"/>
      <c r="H242" s="43"/>
      <c r="I242" s="43"/>
    </row>
    <row r="243" ht="12.75" customHeight="1">
      <c r="A243" s="48" t="s">
        <v>44</v>
      </c>
      <c r="B243" s="48" t="s">
        <v>28</v>
      </c>
      <c r="C243" s="48" t="s">
        <v>54</v>
      </c>
      <c r="D243" s="48" t="s">
        <v>54</v>
      </c>
      <c r="E243" s="48"/>
      <c r="F243" s="48">
        <v>12939.1</v>
      </c>
      <c r="G243" s="43"/>
      <c r="H243" s="43"/>
      <c r="I243" s="43"/>
    </row>
    <row r="244" ht="12.75" customHeight="1">
      <c r="A244" s="48" t="s">
        <v>44</v>
      </c>
      <c r="B244" s="48" t="s">
        <v>28</v>
      </c>
      <c r="C244" s="48" t="s">
        <v>54</v>
      </c>
      <c r="D244" s="48" t="s">
        <v>54</v>
      </c>
      <c r="E244" s="48"/>
      <c r="F244" s="48">
        <v>319.6</v>
      </c>
      <c r="G244" s="43"/>
      <c r="H244" s="43"/>
      <c r="I244" s="43"/>
    </row>
    <row r="245" ht="12.75" customHeight="1">
      <c r="A245" s="48" t="s">
        <v>44</v>
      </c>
      <c r="B245" s="48" t="s">
        <v>28</v>
      </c>
      <c r="C245" s="48" t="s">
        <v>54</v>
      </c>
      <c r="D245" s="48" t="s">
        <v>54</v>
      </c>
      <c r="E245" s="48"/>
      <c r="F245" s="48">
        <v>7773.8</v>
      </c>
      <c r="G245" s="43"/>
      <c r="H245" s="43"/>
      <c r="I245" s="43"/>
    </row>
    <row r="246" ht="12.75" customHeight="1">
      <c r="A246" s="48" t="s">
        <v>44</v>
      </c>
      <c r="B246" s="48" t="s">
        <v>28</v>
      </c>
      <c r="C246" s="48" t="s">
        <v>54</v>
      </c>
      <c r="D246" s="48" t="s">
        <v>54</v>
      </c>
      <c r="E246" s="48"/>
      <c r="F246" s="48">
        <v>2021.0</v>
      </c>
      <c r="G246" s="43"/>
      <c r="H246" s="43"/>
      <c r="I246" s="43"/>
    </row>
    <row r="247" ht="12.75" customHeight="1">
      <c r="A247" s="48" t="s">
        <v>44</v>
      </c>
      <c r="B247" s="48" t="s">
        <v>28</v>
      </c>
      <c r="C247" s="48" t="s">
        <v>54</v>
      </c>
      <c r="D247" s="48" t="s">
        <v>54</v>
      </c>
      <c r="E247" s="48"/>
      <c r="F247" s="48">
        <v>954.1</v>
      </c>
      <c r="G247" s="43"/>
      <c r="H247" s="43"/>
      <c r="I247" s="43"/>
    </row>
    <row r="248" ht="12.75" customHeight="1">
      <c r="A248" s="48" t="s">
        <v>44</v>
      </c>
      <c r="B248" s="48" t="s">
        <v>28</v>
      </c>
      <c r="C248" s="48" t="s">
        <v>54</v>
      </c>
      <c r="D248" s="48" t="s">
        <v>54</v>
      </c>
      <c r="E248" s="48"/>
      <c r="F248" s="48">
        <v>-219480.6</v>
      </c>
      <c r="G248" s="43"/>
      <c r="H248" s="43"/>
      <c r="I248" s="43"/>
    </row>
    <row r="249" ht="12.75" customHeight="1">
      <c r="A249" s="48" t="s">
        <v>44</v>
      </c>
      <c r="B249" s="48" t="s">
        <v>28</v>
      </c>
      <c r="C249" s="48" t="s">
        <v>54</v>
      </c>
      <c r="D249" s="48" t="s">
        <v>54</v>
      </c>
      <c r="E249" s="48"/>
      <c r="F249" s="48">
        <v>742.6</v>
      </c>
      <c r="G249" s="43"/>
      <c r="H249" s="43"/>
      <c r="I249" s="43"/>
    </row>
    <row r="250" ht="12.75" customHeight="1">
      <c r="A250" s="48" t="s">
        <v>44</v>
      </c>
      <c r="B250" s="48" t="s">
        <v>28</v>
      </c>
      <c r="C250" s="48" t="s">
        <v>54</v>
      </c>
      <c r="D250" s="48" t="s">
        <v>54</v>
      </c>
      <c r="E250" s="48"/>
      <c r="F250" s="48">
        <v>1217.3</v>
      </c>
      <c r="G250" s="43"/>
      <c r="H250" s="43"/>
      <c r="I250" s="43"/>
    </row>
    <row r="251" ht="12.75" customHeight="1">
      <c r="A251" s="48" t="s">
        <v>44</v>
      </c>
      <c r="B251" s="48" t="s">
        <v>28</v>
      </c>
      <c r="C251" s="48" t="s">
        <v>54</v>
      </c>
      <c r="D251" s="48" t="s">
        <v>54</v>
      </c>
      <c r="E251" s="48"/>
      <c r="F251" s="48">
        <v>517.0</v>
      </c>
      <c r="G251" s="43"/>
      <c r="H251" s="43"/>
      <c r="I251" s="43"/>
    </row>
    <row r="252" ht="12.75" customHeight="1">
      <c r="A252" s="48" t="s">
        <v>44</v>
      </c>
      <c r="B252" s="48" t="s">
        <v>28</v>
      </c>
      <c r="C252" s="48" t="s">
        <v>54</v>
      </c>
      <c r="D252" s="48" t="s">
        <v>54</v>
      </c>
      <c r="E252" s="48"/>
      <c r="F252" s="48">
        <v>117072.3</v>
      </c>
      <c r="G252" s="43"/>
      <c r="H252" s="43"/>
      <c r="I252" s="43"/>
    </row>
    <row r="253" ht="12.75" customHeight="1">
      <c r="A253" s="48" t="s">
        <v>44</v>
      </c>
      <c r="B253" s="48" t="s">
        <v>28</v>
      </c>
      <c r="C253" s="48" t="s">
        <v>54</v>
      </c>
      <c r="D253" s="48" t="s">
        <v>54</v>
      </c>
      <c r="E253" s="48"/>
      <c r="F253" s="48">
        <v>18015.100000000002</v>
      </c>
      <c r="G253" s="43"/>
      <c r="H253" s="43"/>
      <c r="I253" s="43"/>
    </row>
    <row r="254" ht="12.75" customHeight="1">
      <c r="A254" s="48" t="s">
        <v>44</v>
      </c>
      <c r="B254" s="48" t="s">
        <v>28</v>
      </c>
      <c r="C254" s="48" t="s">
        <v>54</v>
      </c>
      <c r="D254" s="48" t="s">
        <v>49</v>
      </c>
      <c r="E254" s="48"/>
      <c r="F254" s="48">
        <v>1062.2</v>
      </c>
      <c r="G254" s="43"/>
      <c r="H254" s="43"/>
      <c r="I254" s="43"/>
    </row>
    <row r="255" ht="12.75" customHeight="1">
      <c r="A255" s="48" t="s">
        <v>44</v>
      </c>
      <c r="B255" s="48" t="s">
        <v>28</v>
      </c>
      <c r="C255" s="48" t="s">
        <v>54</v>
      </c>
      <c r="D255" s="48" t="s">
        <v>47</v>
      </c>
      <c r="E255" s="48"/>
      <c r="F255" s="48">
        <v>10114.4</v>
      </c>
      <c r="G255" s="43"/>
      <c r="H255" s="43"/>
      <c r="I255" s="43"/>
    </row>
    <row r="256" ht="12.75" customHeight="1">
      <c r="A256" s="48" t="s">
        <v>44</v>
      </c>
      <c r="B256" s="48" t="s">
        <v>28</v>
      </c>
      <c r="C256" s="48" t="s">
        <v>54</v>
      </c>
      <c r="D256" s="48" t="s">
        <v>47</v>
      </c>
      <c r="E256" s="48"/>
      <c r="F256" s="48">
        <v>0.0</v>
      </c>
      <c r="G256" s="43"/>
      <c r="H256" s="43"/>
      <c r="I256" s="43"/>
    </row>
    <row r="257" ht="12.75" customHeight="1">
      <c r="A257" s="48" t="s">
        <v>44</v>
      </c>
      <c r="B257" s="48" t="s">
        <v>28</v>
      </c>
      <c r="C257" s="48" t="s">
        <v>54</v>
      </c>
      <c r="D257" s="48" t="s">
        <v>47</v>
      </c>
      <c r="E257" s="48"/>
      <c r="F257" s="48">
        <v>4991.400000000001</v>
      </c>
      <c r="G257" s="43"/>
      <c r="H257" s="43"/>
      <c r="I257" s="43"/>
    </row>
    <row r="258" ht="12.75" customHeight="1">
      <c r="A258" s="48" t="s">
        <v>44</v>
      </c>
      <c r="B258" s="48" t="s">
        <v>28</v>
      </c>
      <c r="C258" s="48" t="s">
        <v>54</v>
      </c>
      <c r="D258" s="48" t="s">
        <v>47</v>
      </c>
      <c r="E258" s="48"/>
      <c r="F258" s="48">
        <v>23518.8</v>
      </c>
      <c r="G258" s="43"/>
      <c r="H258" s="43"/>
      <c r="I258" s="43"/>
    </row>
    <row r="259" ht="12.75" customHeight="1">
      <c r="A259" s="48" t="s">
        <v>44</v>
      </c>
      <c r="B259" s="48" t="s">
        <v>28</v>
      </c>
      <c r="C259" s="48" t="s">
        <v>54</v>
      </c>
      <c r="D259" s="48" t="s">
        <v>47</v>
      </c>
      <c r="E259" s="48"/>
      <c r="F259" s="48">
        <v>12356.300000000001</v>
      </c>
      <c r="G259" s="43"/>
      <c r="H259" s="43"/>
      <c r="I259" s="43"/>
    </row>
    <row r="260" ht="12.75" customHeight="1">
      <c r="A260" s="48" t="s">
        <v>44</v>
      </c>
      <c r="B260" s="48" t="s">
        <v>28</v>
      </c>
      <c r="C260" s="48" t="s">
        <v>54</v>
      </c>
      <c r="D260" s="48" t="s">
        <v>47</v>
      </c>
      <c r="E260" s="48"/>
      <c r="F260" s="48">
        <v>2838.8</v>
      </c>
      <c r="G260" s="43"/>
      <c r="H260" s="43"/>
      <c r="I260" s="43"/>
    </row>
    <row r="261" ht="12.75" customHeight="1">
      <c r="A261" s="48" t="s">
        <v>44</v>
      </c>
      <c r="B261" s="48" t="s">
        <v>28</v>
      </c>
      <c r="C261" s="48" t="s">
        <v>65</v>
      </c>
      <c r="D261" s="48" t="s">
        <v>54</v>
      </c>
      <c r="E261" s="48"/>
      <c r="F261" s="48">
        <v>601.6</v>
      </c>
      <c r="G261" s="43"/>
      <c r="H261" s="43"/>
      <c r="I261" s="43"/>
    </row>
    <row r="262" ht="12.75" customHeight="1">
      <c r="A262" s="48" t="s">
        <v>44</v>
      </c>
      <c r="B262" s="48" t="s">
        <v>28</v>
      </c>
      <c r="C262" s="48" t="s">
        <v>65</v>
      </c>
      <c r="D262" s="48" t="s">
        <v>47</v>
      </c>
      <c r="E262" s="48"/>
      <c r="F262" s="48">
        <v>470.0</v>
      </c>
      <c r="G262" s="43"/>
      <c r="H262" s="43"/>
      <c r="I262" s="43"/>
    </row>
    <row r="263" ht="12.75" customHeight="1">
      <c r="A263" s="48" t="s">
        <v>44</v>
      </c>
      <c r="B263" s="48" t="s">
        <v>29</v>
      </c>
      <c r="C263" s="48" t="s">
        <v>56</v>
      </c>
      <c r="D263" s="48" t="s">
        <v>52</v>
      </c>
      <c r="E263" s="48"/>
      <c r="F263" s="48">
        <v>43399.8</v>
      </c>
      <c r="G263" s="43"/>
      <c r="H263" s="43"/>
      <c r="I263" s="43"/>
    </row>
    <row r="264" ht="12.75" customHeight="1">
      <c r="A264" s="48" t="s">
        <v>44</v>
      </c>
      <c r="B264" s="48" t="s">
        <v>29</v>
      </c>
      <c r="C264" s="48" t="s">
        <v>56</v>
      </c>
      <c r="D264" s="48" t="s">
        <v>52</v>
      </c>
      <c r="E264" s="48"/>
      <c r="F264" s="48">
        <v>0.0</v>
      </c>
      <c r="G264" s="43"/>
      <c r="H264" s="43"/>
      <c r="I264" s="43"/>
    </row>
    <row r="265" ht="12.75" customHeight="1">
      <c r="A265" s="48" t="s">
        <v>44</v>
      </c>
      <c r="B265" s="48" t="s">
        <v>29</v>
      </c>
      <c r="C265" s="48" t="s">
        <v>56</v>
      </c>
      <c r="D265" s="48" t="s">
        <v>53</v>
      </c>
      <c r="E265" s="48"/>
      <c r="F265" s="48">
        <v>-17930.5</v>
      </c>
      <c r="G265" s="43"/>
      <c r="H265" s="43"/>
      <c r="I265" s="43"/>
    </row>
    <row r="266" ht="12.75" customHeight="1">
      <c r="A266" s="48" t="s">
        <v>44</v>
      </c>
      <c r="B266" s="48" t="s">
        <v>29</v>
      </c>
      <c r="C266" s="48" t="s">
        <v>56</v>
      </c>
      <c r="D266" s="48" t="s">
        <v>53</v>
      </c>
      <c r="E266" s="48"/>
      <c r="F266" s="48">
        <v>0.0</v>
      </c>
      <c r="G266" s="43"/>
      <c r="H266" s="43"/>
      <c r="I266" s="43"/>
    </row>
    <row r="267" ht="12.75" customHeight="1">
      <c r="A267" s="48" t="s">
        <v>44</v>
      </c>
      <c r="B267" s="48" t="s">
        <v>29</v>
      </c>
      <c r="C267" s="48" t="s">
        <v>56</v>
      </c>
      <c r="D267" s="48" t="s">
        <v>57</v>
      </c>
      <c r="E267" s="48"/>
      <c r="F267" s="48">
        <v>188888.30000000002</v>
      </c>
      <c r="G267" s="43"/>
      <c r="H267" s="43"/>
      <c r="I267" s="43"/>
    </row>
    <row r="268" ht="12.75" customHeight="1">
      <c r="A268" s="48" t="s">
        <v>44</v>
      </c>
      <c r="B268" s="48" t="s">
        <v>29</v>
      </c>
      <c r="C268" s="48" t="s">
        <v>56</v>
      </c>
      <c r="D268" s="48" t="s">
        <v>8</v>
      </c>
      <c r="E268" s="48"/>
      <c r="F268" s="48">
        <v>0.0</v>
      </c>
      <c r="G268" s="43"/>
      <c r="H268" s="43"/>
      <c r="I268" s="43"/>
    </row>
    <row r="269" ht="12.75" customHeight="1">
      <c r="A269" s="48" t="s">
        <v>44</v>
      </c>
      <c r="B269" s="48" t="s">
        <v>29</v>
      </c>
      <c r="C269" s="48" t="s">
        <v>56</v>
      </c>
      <c r="D269" s="48" t="s">
        <v>8</v>
      </c>
      <c r="E269" s="48"/>
      <c r="F269" s="48">
        <v>1198.5</v>
      </c>
      <c r="G269" s="43"/>
      <c r="H269" s="43"/>
      <c r="I269" s="43"/>
    </row>
    <row r="270" ht="12.75" customHeight="1">
      <c r="A270" s="48" t="s">
        <v>44</v>
      </c>
      <c r="B270" s="48" t="s">
        <v>29</v>
      </c>
      <c r="C270" s="48" t="s">
        <v>56</v>
      </c>
      <c r="D270" s="48" t="s">
        <v>8</v>
      </c>
      <c r="E270" s="48"/>
      <c r="F270" s="48">
        <v>634.5</v>
      </c>
      <c r="G270" s="43"/>
      <c r="H270" s="43"/>
      <c r="I270" s="43"/>
    </row>
    <row r="271" ht="12.75" customHeight="1">
      <c r="A271" s="48" t="s">
        <v>44</v>
      </c>
      <c r="B271" s="48" t="s">
        <v>29</v>
      </c>
      <c r="C271" s="48" t="s">
        <v>56</v>
      </c>
      <c r="D271" s="48" t="s">
        <v>8</v>
      </c>
      <c r="E271" s="48"/>
      <c r="F271" s="48">
        <v>0.0</v>
      </c>
      <c r="G271" s="43"/>
      <c r="H271" s="43"/>
      <c r="I271" s="43"/>
    </row>
    <row r="272" ht="12.75" customHeight="1">
      <c r="A272" s="48" t="s">
        <v>44</v>
      </c>
      <c r="B272" s="48" t="s">
        <v>29</v>
      </c>
      <c r="C272" s="48" t="s">
        <v>56</v>
      </c>
      <c r="D272" s="48" t="s">
        <v>8</v>
      </c>
      <c r="E272" s="48"/>
      <c r="F272" s="48">
        <v>2162.0</v>
      </c>
      <c r="G272" s="43"/>
      <c r="H272" s="43"/>
      <c r="I272" s="43"/>
    </row>
    <row r="273" ht="12.75" customHeight="1">
      <c r="A273" s="48" t="s">
        <v>44</v>
      </c>
      <c r="B273" s="48" t="s">
        <v>29</v>
      </c>
      <c r="C273" s="48" t="s">
        <v>56</v>
      </c>
      <c r="D273" s="48" t="s">
        <v>54</v>
      </c>
      <c r="E273" s="48"/>
      <c r="F273" s="48">
        <v>55314.3</v>
      </c>
      <c r="G273" s="43"/>
      <c r="H273" s="43"/>
      <c r="I273" s="43"/>
    </row>
    <row r="274" ht="12.75" customHeight="1">
      <c r="A274" s="48" t="s">
        <v>44</v>
      </c>
      <c r="B274" s="48" t="s">
        <v>29</v>
      </c>
      <c r="C274" s="48" t="s">
        <v>56</v>
      </c>
      <c r="D274" s="48" t="s">
        <v>54</v>
      </c>
      <c r="E274" s="48"/>
      <c r="F274" s="48">
        <v>925.9000000000001</v>
      </c>
      <c r="G274" s="43"/>
      <c r="H274" s="43"/>
      <c r="I274" s="43"/>
    </row>
    <row r="275" ht="12.75" customHeight="1">
      <c r="A275" s="48" t="s">
        <v>44</v>
      </c>
      <c r="B275" s="48" t="s">
        <v>29</v>
      </c>
      <c r="C275" s="48" t="s">
        <v>56</v>
      </c>
      <c r="D275" s="48" t="s">
        <v>50</v>
      </c>
      <c r="E275" s="48"/>
      <c r="F275" s="48">
        <v>0.0</v>
      </c>
      <c r="G275" s="43"/>
      <c r="H275" s="43"/>
      <c r="I275" s="43"/>
    </row>
    <row r="276" ht="12.75" customHeight="1">
      <c r="A276" s="48" t="s">
        <v>44</v>
      </c>
      <c r="B276" s="48" t="s">
        <v>29</v>
      </c>
      <c r="C276" s="48" t="s">
        <v>56</v>
      </c>
      <c r="D276" s="48" t="s">
        <v>50</v>
      </c>
      <c r="E276" s="48"/>
      <c r="F276" s="48">
        <v>12455.0</v>
      </c>
      <c r="G276" s="43"/>
      <c r="H276" s="43"/>
      <c r="I276" s="43"/>
    </row>
    <row r="277" ht="12.75" customHeight="1">
      <c r="A277" s="48" t="s">
        <v>44</v>
      </c>
      <c r="B277" s="48" t="s">
        <v>29</v>
      </c>
      <c r="C277" s="48" t="s">
        <v>56</v>
      </c>
      <c r="D277" s="48" t="s">
        <v>50</v>
      </c>
      <c r="E277" s="48"/>
      <c r="F277" s="48">
        <v>8615.1</v>
      </c>
      <c r="G277" s="43"/>
      <c r="H277" s="43"/>
      <c r="I277" s="43"/>
    </row>
    <row r="278" ht="12.75" customHeight="1">
      <c r="A278" s="48" t="s">
        <v>44</v>
      </c>
      <c r="B278" s="48" t="s">
        <v>29</v>
      </c>
      <c r="C278" s="48" t="s">
        <v>56</v>
      </c>
      <c r="D278" s="48" t="s">
        <v>50</v>
      </c>
      <c r="E278" s="48"/>
      <c r="F278" s="48">
        <v>9541.0</v>
      </c>
      <c r="G278" s="43"/>
      <c r="H278" s="43"/>
      <c r="I278" s="43"/>
    </row>
    <row r="279" ht="12.75" customHeight="1">
      <c r="A279" s="48" t="s">
        <v>44</v>
      </c>
      <c r="B279" s="48" t="s">
        <v>29</v>
      </c>
      <c r="C279" s="48" t="s">
        <v>56</v>
      </c>
      <c r="D279" s="48" t="s">
        <v>50</v>
      </c>
      <c r="E279" s="48"/>
      <c r="F279" s="48">
        <v>19462.7</v>
      </c>
      <c r="G279" s="43"/>
      <c r="H279" s="43"/>
      <c r="I279" s="43"/>
    </row>
    <row r="280" ht="12.75" customHeight="1">
      <c r="A280" s="48" t="s">
        <v>44</v>
      </c>
      <c r="B280" s="48" t="s">
        <v>29</v>
      </c>
      <c r="C280" s="48" t="s">
        <v>56</v>
      </c>
      <c r="D280" s="48" t="s">
        <v>50</v>
      </c>
      <c r="E280" s="48"/>
      <c r="F280" s="48">
        <v>8065.200000000001</v>
      </c>
      <c r="G280" s="43"/>
      <c r="H280" s="43"/>
      <c r="I280" s="43"/>
    </row>
    <row r="281" ht="12.75" customHeight="1">
      <c r="A281" s="48" t="s">
        <v>44</v>
      </c>
      <c r="B281" s="48" t="s">
        <v>29</v>
      </c>
      <c r="C281" s="48" t="s">
        <v>56</v>
      </c>
      <c r="D281" s="48" t="s">
        <v>50</v>
      </c>
      <c r="E281" s="48"/>
      <c r="F281" s="48">
        <v>14617.0</v>
      </c>
      <c r="G281" s="43"/>
      <c r="H281" s="43"/>
      <c r="I281" s="43"/>
    </row>
    <row r="282" ht="12.75" customHeight="1">
      <c r="A282" s="48" t="s">
        <v>44</v>
      </c>
      <c r="B282" s="48" t="s">
        <v>29</v>
      </c>
      <c r="C282" s="48" t="s">
        <v>56</v>
      </c>
      <c r="D282" s="48" t="s">
        <v>50</v>
      </c>
      <c r="E282" s="48"/>
      <c r="F282" s="48">
        <v>9719.6</v>
      </c>
      <c r="G282" s="43"/>
      <c r="H282" s="43"/>
      <c r="I282" s="43"/>
    </row>
    <row r="283" ht="12.75" customHeight="1">
      <c r="A283" s="48" t="s">
        <v>44</v>
      </c>
      <c r="B283" s="48" t="s">
        <v>29</v>
      </c>
      <c r="C283" s="48" t="s">
        <v>56</v>
      </c>
      <c r="D283" s="48" t="s">
        <v>50</v>
      </c>
      <c r="E283" s="48"/>
      <c r="F283" s="48">
        <v>8131.0</v>
      </c>
      <c r="G283" s="43"/>
      <c r="H283" s="43"/>
      <c r="I283" s="43"/>
    </row>
    <row r="284" ht="12.75" customHeight="1">
      <c r="A284" s="48" t="s">
        <v>44</v>
      </c>
      <c r="B284" s="48" t="s">
        <v>29</v>
      </c>
      <c r="C284" s="48" t="s">
        <v>56</v>
      </c>
      <c r="D284" s="48" t="s">
        <v>50</v>
      </c>
      <c r="E284" s="48"/>
      <c r="F284" s="48">
        <v>0.0</v>
      </c>
      <c r="G284" s="43"/>
      <c r="H284" s="43"/>
      <c r="I284" s="43"/>
    </row>
    <row r="285" ht="12.75" customHeight="1">
      <c r="A285" s="48" t="s">
        <v>44</v>
      </c>
      <c r="B285" s="48" t="s">
        <v>29</v>
      </c>
      <c r="C285" s="48" t="s">
        <v>56</v>
      </c>
      <c r="D285" s="48" t="s">
        <v>47</v>
      </c>
      <c r="E285" s="48"/>
      <c r="F285" s="48">
        <v>8046.400000000001</v>
      </c>
      <c r="G285" s="43"/>
      <c r="H285" s="43"/>
      <c r="I285" s="43"/>
    </row>
    <row r="286" ht="12.75" customHeight="1">
      <c r="A286" s="48" t="s">
        <v>44</v>
      </c>
      <c r="B286" s="48" t="s">
        <v>29</v>
      </c>
      <c r="C286" s="48" t="s">
        <v>56</v>
      </c>
      <c r="D286" s="48" t="s">
        <v>47</v>
      </c>
      <c r="E286" s="48"/>
      <c r="F286" s="48">
        <v>1847.1000000000001</v>
      </c>
      <c r="G286" s="43"/>
      <c r="H286" s="43"/>
      <c r="I286" s="43"/>
    </row>
    <row r="287" ht="12.75" customHeight="1">
      <c r="A287" s="48" t="s">
        <v>44</v>
      </c>
      <c r="B287" s="48" t="s">
        <v>29</v>
      </c>
      <c r="C287" s="48" t="s">
        <v>59</v>
      </c>
      <c r="D287" s="48" t="s">
        <v>53</v>
      </c>
      <c r="E287" s="48"/>
      <c r="F287" s="48">
        <v>3106.7000000000003</v>
      </c>
      <c r="G287" s="43"/>
      <c r="H287" s="43"/>
      <c r="I287" s="43"/>
    </row>
    <row r="288" ht="12.75" customHeight="1">
      <c r="A288" s="48" t="s">
        <v>44</v>
      </c>
      <c r="B288" s="48" t="s">
        <v>29</v>
      </c>
      <c r="C288" s="48" t="s">
        <v>59</v>
      </c>
      <c r="D288" s="48" t="s">
        <v>53</v>
      </c>
      <c r="E288" s="48"/>
      <c r="F288" s="48">
        <v>0.0</v>
      </c>
      <c r="G288" s="43"/>
      <c r="H288" s="43"/>
      <c r="I288" s="43"/>
    </row>
    <row r="289" ht="12.75" customHeight="1">
      <c r="A289" s="48" t="s">
        <v>44</v>
      </c>
      <c r="B289" s="48" t="s">
        <v>29</v>
      </c>
      <c r="C289" s="48" t="s">
        <v>59</v>
      </c>
      <c r="D289" s="48" t="s">
        <v>54</v>
      </c>
      <c r="E289" s="48"/>
      <c r="F289" s="48">
        <v>28961.4</v>
      </c>
      <c r="G289" s="43"/>
      <c r="H289" s="43"/>
      <c r="I289" s="43"/>
    </row>
    <row r="290" ht="12.75" customHeight="1">
      <c r="A290" s="48" t="s">
        <v>44</v>
      </c>
      <c r="B290" s="48" t="s">
        <v>29</v>
      </c>
      <c r="C290" s="48" t="s">
        <v>59</v>
      </c>
      <c r="D290" s="48" t="s">
        <v>50</v>
      </c>
      <c r="E290" s="48"/>
      <c r="F290" s="48">
        <v>6453.1</v>
      </c>
      <c r="G290" s="43"/>
      <c r="H290" s="43"/>
      <c r="I290" s="43"/>
    </row>
    <row r="291" ht="12.75" customHeight="1">
      <c r="A291" s="48" t="s">
        <v>44</v>
      </c>
      <c r="B291" s="48" t="s">
        <v>29</v>
      </c>
      <c r="C291" s="48" t="s">
        <v>59</v>
      </c>
      <c r="D291" s="48" t="s">
        <v>50</v>
      </c>
      <c r="E291" s="48"/>
      <c r="F291" s="48">
        <v>4676.5</v>
      </c>
      <c r="G291" s="43"/>
      <c r="H291" s="43"/>
      <c r="I291" s="43"/>
    </row>
    <row r="292" ht="12.75" customHeight="1">
      <c r="A292" s="48" t="s">
        <v>44</v>
      </c>
      <c r="B292" s="48" t="s">
        <v>29</v>
      </c>
      <c r="C292" s="48" t="s">
        <v>59</v>
      </c>
      <c r="D292" s="48" t="s">
        <v>50</v>
      </c>
      <c r="E292" s="48"/>
      <c r="F292" s="48">
        <v>10730.1</v>
      </c>
      <c r="G292" s="43"/>
      <c r="H292" s="43"/>
      <c r="I292" s="43"/>
    </row>
    <row r="293" ht="12.75" customHeight="1">
      <c r="A293" s="48" t="s">
        <v>44</v>
      </c>
      <c r="B293" s="48" t="s">
        <v>29</v>
      </c>
      <c r="C293" s="48" t="s">
        <v>59</v>
      </c>
      <c r="D293" s="48" t="s">
        <v>50</v>
      </c>
      <c r="E293" s="48"/>
      <c r="F293" s="48">
        <v>5621.2</v>
      </c>
      <c r="G293" s="43"/>
      <c r="H293" s="43"/>
      <c r="I293" s="43"/>
    </row>
    <row r="294" ht="12.75" customHeight="1">
      <c r="A294" s="48" t="s">
        <v>44</v>
      </c>
      <c r="B294" s="48" t="s">
        <v>29</v>
      </c>
      <c r="C294" s="48" t="s">
        <v>59</v>
      </c>
      <c r="D294" s="48" t="s">
        <v>50</v>
      </c>
      <c r="E294" s="48"/>
      <c r="F294" s="48">
        <v>11707.7</v>
      </c>
      <c r="G294" s="43"/>
      <c r="H294" s="43"/>
      <c r="I294" s="43"/>
    </row>
    <row r="295" ht="12.75" customHeight="1">
      <c r="A295" s="48" t="s">
        <v>44</v>
      </c>
      <c r="B295" s="48" t="s">
        <v>29</v>
      </c>
      <c r="C295" s="48" t="s">
        <v>59</v>
      </c>
      <c r="D295" s="48" t="s">
        <v>50</v>
      </c>
      <c r="E295" s="48"/>
      <c r="F295" s="48">
        <v>0.0</v>
      </c>
      <c r="G295" s="43"/>
      <c r="H295" s="43"/>
      <c r="I295" s="43"/>
    </row>
    <row r="296" ht="12.75" customHeight="1">
      <c r="A296" s="48" t="s">
        <v>44</v>
      </c>
      <c r="B296" s="48" t="s">
        <v>30</v>
      </c>
      <c r="C296" s="48" t="s">
        <v>6</v>
      </c>
      <c r="D296" s="48" t="s">
        <v>53</v>
      </c>
      <c r="E296" s="48"/>
      <c r="F296" s="48">
        <v>291.40000000000003</v>
      </c>
      <c r="G296" s="43"/>
      <c r="H296" s="43"/>
      <c r="I296" s="43"/>
    </row>
    <row r="297" ht="12.75" customHeight="1">
      <c r="A297" s="48" t="s">
        <v>44</v>
      </c>
      <c r="B297" s="48" t="s">
        <v>30</v>
      </c>
      <c r="C297" s="48" t="s">
        <v>6</v>
      </c>
      <c r="D297" s="48" t="s">
        <v>8</v>
      </c>
      <c r="E297" s="48"/>
      <c r="F297" s="48">
        <v>2401.7000000000003</v>
      </c>
      <c r="G297" s="43"/>
      <c r="H297" s="43"/>
      <c r="I297" s="43"/>
    </row>
    <row r="298" ht="12.75" customHeight="1">
      <c r="A298" s="48" t="s">
        <v>44</v>
      </c>
      <c r="B298" s="48" t="s">
        <v>30</v>
      </c>
      <c r="C298" s="48" t="s">
        <v>6</v>
      </c>
      <c r="D298" s="48" t="s">
        <v>6</v>
      </c>
      <c r="E298" s="48"/>
      <c r="F298" s="48">
        <v>0.0</v>
      </c>
      <c r="G298" s="43"/>
      <c r="H298" s="43"/>
      <c r="I298" s="43"/>
    </row>
    <row r="299" ht="12.75" customHeight="1">
      <c r="A299" s="48" t="s">
        <v>44</v>
      </c>
      <c r="B299" s="48" t="s">
        <v>30</v>
      </c>
      <c r="C299" s="48" t="s">
        <v>6</v>
      </c>
      <c r="D299" s="48" t="s">
        <v>6</v>
      </c>
      <c r="E299" s="48"/>
      <c r="F299" s="48">
        <v>1607.4</v>
      </c>
      <c r="G299" s="43"/>
      <c r="H299" s="43"/>
      <c r="I299" s="43"/>
    </row>
    <row r="300" ht="12.75" customHeight="1">
      <c r="A300" s="48" t="s">
        <v>44</v>
      </c>
      <c r="B300" s="48" t="s">
        <v>30</v>
      </c>
      <c r="C300" s="48" t="s">
        <v>6</v>
      </c>
      <c r="D300" s="48" t="s">
        <v>6</v>
      </c>
      <c r="E300" s="48"/>
      <c r="F300" s="48">
        <v>0.0</v>
      </c>
      <c r="G300" s="43"/>
      <c r="H300" s="43"/>
      <c r="I300" s="43"/>
    </row>
    <row r="301" ht="12.75" customHeight="1">
      <c r="A301" s="48" t="s">
        <v>44</v>
      </c>
      <c r="B301" s="48" t="s">
        <v>30</v>
      </c>
      <c r="C301" s="48" t="s">
        <v>6</v>
      </c>
      <c r="D301" s="48" t="s">
        <v>6</v>
      </c>
      <c r="E301" s="48"/>
      <c r="F301" s="48">
        <v>20877.4</v>
      </c>
      <c r="G301" s="43"/>
      <c r="H301" s="43"/>
      <c r="I301" s="43"/>
    </row>
    <row r="302" ht="12.75" customHeight="1">
      <c r="A302" s="48" t="s">
        <v>44</v>
      </c>
      <c r="B302" s="48" t="s">
        <v>30</v>
      </c>
      <c r="C302" s="48" t="s">
        <v>6</v>
      </c>
      <c r="D302" s="48" t="s">
        <v>6</v>
      </c>
      <c r="E302" s="48"/>
      <c r="F302" s="48">
        <v>0.0</v>
      </c>
      <c r="G302" s="43"/>
      <c r="H302" s="43"/>
      <c r="I302" s="43"/>
    </row>
    <row r="303" ht="12.75" customHeight="1">
      <c r="A303" s="48" t="s">
        <v>44</v>
      </c>
      <c r="B303" s="48" t="s">
        <v>30</v>
      </c>
      <c r="C303" s="48" t="s">
        <v>6</v>
      </c>
      <c r="D303" s="48" t="s">
        <v>6</v>
      </c>
      <c r="E303" s="48"/>
      <c r="F303" s="48">
        <v>10739.5</v>
      </c>
      <c r="G303" s="43"/>
      <c r="H303" s="43"/>
      <c r="I303" s="43"/>
    </row>
    <row r="304" ht="12.75" customHeight="1">
      <c r="A304" s="48" t="s">
        <v>44</v>
      </c>
      <c r="B304" s="48" t="s">
        <v>30</v>
      </c>
      <c r="C304" s="48" t="s">
        <v>6</v>
      </c>
      <c r="D304" s="48" t="s">
        <v>6</v>
      </c>
      <c r="E304" s="48"/>
      <c r="F304" s="48">
        <v>14.100000000000001</v>
      </c>
      <c r="G304" s="43"/>
      <c r="H304" s="43"/>
      <c r="I304" s="43"/>
    </row>
    <row r="305" ht="12.75" customHeight="1">
      <c r="A305" s="48" t="s">
        <v>44</v>
      </c>
      <c r="B305" s="48" t="s">
        <v>30</v>
      </c>
      <c r="C305" s="48" t="s">
        <v>6</v>
      </c>
      <c r="D305" s="48" t="s">
        <v>6</v>
      </c>
      <c r="E305" s="48"/>
      <c r="F305" s="48">
        <v>5254.6</v>
      </c>
      <c r="G305" s="43"/>
      <c r="H305" s="43"/>
      <c r="I305" s="43"/>
    </row>
    <row r="306" ht="12.75" customHeight="1">
      <c r="A306" s="48" t="s">
        <v>44</v>
      </c>
      <c r="B306" s="48" t="s">
        <v>30</v>
      </c>
      <c r="C306" s="48" t="s">
        <v>6</v>
      </c>
      <c r="D306" s="48" t="s">
        <v>54</v>
      </c>
      <c r="E306" s="48"/>
      <c r="F306" s="48">
        <v>10293.0</v>
      </c>
      <c r="G306" s="43"/>
      <c r="H306" s="43"/>
      <c r="I306" s="43"/>
    </row>
    <row r="307" ht="12.75" customHeight="1">
      <c r="A307" s="48" t="s">
        <v>44</v>
      </c>
      <c r="B307" s="48" t="s">
        <v>30</v>
      </c>
      <c r="C307" s="48" t="s">
        <v>6</v>
      </c>
      <c r="D307" s="48" t="s">
        <v>49</v>
      </c>
      <c r="E307" s="48"/>
      <c r="F307" s="48">
        <v>57231.9</v>
      </c>
      <c r="G307" s="43"/>
      <c r="H307" s="43"/>
      <c r="I307" s="43"/>
    </row>
    <row r="308" ht="12.75" customHeight="1">
      <c r="A308" s="48" t="s">
        <v>44</v>
      </c>
      <c r="B308" s="48" t="s">
        <v>30</v>
      </c>
      <c r="C308" s="48" t="s">
        <v>6</v>
      </c>
      <c r="D308" s="48" t="s">
        <v>50</v>
      </c>
      <c r="E308" s="48"/>
      <c r="F308" s="48">
        <v>34357.0</v>
      </c>
      <c r="G308" s="43"/>
      <c r="H308" s="43"/>
      <c r="I308" s="43"/>
    </row>
    <row r="309" ht="12.75" customHeight="1">
      <c r="A309" s="48" t="s">
        <v>44</v>
      </c>
      <c r="B309" s="48" t="s">
        <v>30</v>
      </c>
      <c r="C309" s="48" t="s">
        <v>6</v>
      </c>
      <c r="D309" s="48" t="s">
        <v>50</v>
      </c>
      <c r="E309" s="48"/>
      <c r="F309" s="48">
        <v>4032.6000000000004</v>
      </c>
      <c r="G309" s="43"/>
      <c r="H309" s="43"/>
      <c r="I309" s="43"/>
    </row>
    <row r="310" ht="12.75" customHeight="1">
      <c r="A310" s="48" t="s">
        <v>44</v>
      </c>
      <c r="B310" s="48" t="s">
        <v>30</v>
      </c>
      <c r="C310" s="48" t="s">
        <v>6</v>
      </c>
      <c r="D310" s="48" t="s">
        <v>50</v>
      </c>
      <c r="E310" s="48"/>
      <c r="F310" s="48">
        <v>2928.1</v>
      </c>
      <c r="G310" s="43"/>
      <c r="H310" s="43"/>
      <c r="I310" s="43"/>
    </row>
    <row r="311" ht="12.75" customHeight="1">
      <c r="A311" s="48" t="s">
        <v>44</v>
      </c>
      <c r="B311" s="48" t="s">
        <v>30</v>
      </c>
      <c r="C311" s="48" t="s">
        <v>6</v>
      </c>
      <c r="D311" s="48" t="s">
        <v>50</v>
      </c>
      <c r="E311" s="48"/>
      <c r="F311" s="48">
        <v>0.0</v>
      </c>
      <c r="G311" s="43"/>
      <c r="H311" s="43"/>
      <c r="I311" s="43"/>
    </row>
    <row r="312" ht="12.75" customHeight="1">
      <c r="A312" s="48" t="s">
        <v>44</v>
      </c>
      <c r="B312" s="48" t="s">
        <v>30</v>
      </c>
      <c r="C312" s="48" t="s">
        <v>6</v>
      </c>
      <c r="D312" s="48" t="s">
        <v>47</v>
      </c>
      <c r="E312" s="48"/>
      <c r="F312" s="48">
        <v>4056.1000000000004</v>
      </c>
      <c r="G312" s="43"/>
      <c r="H312" s="43"/>
      <c r="I312" s="43"/>
    </row>
    <row r="313" ht="12.75" customHeight="1">
      <c r="A313" s="48" t="s">
        <v>44</v>
      </c>
      <c r="B313" s="48" t="s">
        <v>30</v>
      </c>
      <c r="C313" s="48" t="s">
        <v>5</v>
      </c>
      <c r="D313" s="48" t="s">
        <v>60</v>
      </c>
      <c r="E313" s="48"/>
      <c r="F313" s="48">
        <v>-2998.6</v>
      </c>
      <c r="G313" s="43"/>
      <c r="H313" s="43"/>
      <c r="I313" s="43"/>
    </row>
    <row r="314" ht="12.75" customHeight="1">
      <c r="A314" s="48" t="s">
        <v>44</v>
      </c>
      <c r="B314" s="48" t="s">
        <v>30</v>
      </c>
      <c r="C314" s="48" t="s">
        <v>5</v>
      </c>
      <c r="D314" s="48" t="s">
        <v>53</v>
      </c>
      <c r="E314" s="48"/>
      <c r="F314" s="48">
        <v>130058.40000000001</v>
      </c>
      <c r="G314" s="43"/>
      <c r="H314" s="43"/>
      <c r="I314" s="43"/>
    </row>
    <row r="315" ht="12.75" customHeight="1">
      <c r="A315" s="48" t="s">
        <v>44</v>
      </c>
      <c r="B315" s="48" t="s">
        <v>30</v>
      </c>
      <c r="C315" s="48" t="s">
        <v>5</v>
      </c>
      <c r="D315" s="48" t="s">
        <v>53</v>
      </c>
      <c r="E315" s="48"/>
      <c r="F315" s="48">
        <v>0.0</v>
      </c>
      <c r="G315" s="43"/>
      <c r="H315" s="43"/>
      <c r="I315" s="43"/>
    </row>
    <row r="316" ht="12.75" customHeight="1">
      <c r="A316" s="48" t="s">
        <v>44</v>
      </c>
      <c r="B316" s="48" t="s">
        <v>30</v>
      </c>
      <c r="C316" s="48" t="s">
        <v>5</v>
      </c>
      <c r="D316" s="48" t="s">
        <v>53</v>
      </c>
      <c r="E316" s="48"/>
      <c r="F316" s="48">
        <v>0.0</v>
      </c>
      <c r="G316" s="43"/>
      <c r="H316" s="43"/>
      <c r="I316" s="43"/>
    </row>
    <row r="317" ht="12.75" customHeight="1">
      <c r="A317" s="48" t="s">
        <v>44</v>
      </c>
      <c r="B317" s="48" t="s">
        <v>30</v>
      </c>
      <c r="C317" s="48" t="s">
        <v>5</v>
      </c>
      <c r="D317" s="48" t="s">
        <v>6</v>
      </c>
      <c r="E317" s="48"/>
      <c r="F317" s="48">
        <v>1720.2</v>
      </c>
      <c r="G317" s="43"/>
      <c r="H317" s="43"/>
      <c r="I317" s="43"/>
    </row>
    <row r="318" ht="12.75" customHeight="1">
      <c r="A318" s="48" t="s">
        <v>44</v>
      </c>
      <c r="B318" s="48" t="s">
        <v>30</v>
      </c>
      <c r="C318" s="48" t="s">
        <v>5</v>
      </c>
      <c r="D318" s="48" t="s">
        <v>54</v>
      </c>
      <c r="E318" s="48"/>
      <c r="F318" s="48">
        <v>28961.4</v>
      </c>
      <c r="G318" s="43"/>
      <c r="H318" s="43"/>
      <c r="I318" s="43"/>
    </row>
    <row r="319" ht="12.75" customHeight="1">
      <c r="A319" s="48" t="s">
        <v>44</v>
      </c>
      <c r="B319" s="48" t="s">
        <v>30</v>
      </c>
      <c r="C319" s="48" t="s">
        <v>5</v>
      </c>
      <c r="D319" s="48" t="s">
        <v>50</v>
      </c>
      <c r="E319" s="48"/>
      <c r="F319" s="48">
        <v>7082.900000000001</v>
      </c>
      <c r="G319" s="43"/>
      <c r="H319" s="43"/>
      <c r="I319" s="43"/>
    </row>
    <row r="320" ht="12.75" customHeight="1">
      <c r="A320" s="48" t="s">
        <v>44</v>
      </c>
      <c r="B320" s="48" t="s">
        <v>30</v>
      </c>
      <c r="C320" s="48" t="s">
        <v>5</v>
      </c>
      <c r="D320" s="48" t="s">
        <v>50</v>
      </c>
      <c r="E320" s="48"/>
      <c r="F320" s="48">
        <v>5160.6</v>
      </c>
      <c r="G320" s="43"/>
      <c r="H320" s="43"/>
      <c r="I320" s="43"/>
    </row>
    <row r="321" ht="12.75" customHeight="1">
      <c r="A321" s="48" t="s">
        <v>44</v>
      </c>
      <c r="B321" s="48" t="s">
        <v>30</v>
      </c>
      <c r="C321" s="48" t="s">
        <v>5</v>
      </c>
      <c r="D321" s="48" t="s">
        <v>50</v>
      </c>
      <c r="E321" s="48"/>
      <c r="F321" s="48">
        <v>8102.8</v>
      </c>
      <c r="G321" s="43"/>
      <c r="H321" s="43"/>
      <c r="I321" s="43"/>
    </row>
    <row r="322" ht="12.75" customHeight="1">
      <c r="A322" s="48" t="s">
        <v>44</v>
      </c>
      <c r="B322" s="48" t="s">
        <v>30</v>
      </c>
      <c r="C322" s="48" t="s">
        <v>5</v>
      </c>
      <c r="D322" s="48" t="s">
        <v>50</v>
      </c>
      <c r="E322" s="48"/>
      <c r="F322" s="48">
        <v>90916.8</v>
      </c>
      <c r="G322" s="43"/>
      <c r="H322" s="43"/>
      <c r="I322" s="43"/>
    </row>
    <row r="323" ht="12.75" customHeight="1">
      <c r="A323" s="48" t="s">
        <v>44</v>
      </c>
      <c r="B323" s="48" t="s">
        <v>30</v>
      </c>
      <c r="C323" s="48" t="s">
        <v>5</v>
      </c>
      <c r="D323" s="48" t="s">
        <v>50</v>
      </c>
      <c r="E323" s="48"/>
      <c r="F323" s="48">
        <v>0.0</v>
      </c>
      <c r="G323" s="43"/>
      <c r="H323" s="43"/>
      <c r="I323" s="43"/>
    </row>
    <row r="324" ht="12.75" customHeight="1">
      <c r="A324" s="48" t="s">
        <v>44</v>
      </c>
      <c r="B324" s="48" t="s">
        <v>30</v>
      </c>
      <c r="C324" s="48" t="s">
        <v>5</v>
      </c>
      <c r="D324" s="48" t="s">
        <v>50</v>
      </c>
      <c r="E324" s="48"/>
      <c r="F324" s="48">
        <v>11707.7</v>
      </c>
      <c r="G324" s="43"/>
      <c r="H324" s="43"/>
      <c r="I324" s="43"/>
    </row>
    <row r="325" ht="12.75" customHeight="1">
      <c r="A325" s="48" t="s">
        <v>44</v>
      </c>
      <c r="B325" s="48" t="s">
        <v>30</v>
      </c>
      <c r="C325" s="48" t="s">
        <v>5</v>
      </c>
      <c r="D325" s="48" t="s">
        <v>50</v>
      </c>
      <c r="E325" s="48"/>
      <c r="F325" s="48">
        <v>4502.6</v>
      </c>
      <c r="G325" s="43"/>
      <c r="H325" s="43"/>
      <c r="I325" s="43"/>
    </row>
    <row r="326" ht="12.75" customHeight="1">
      <c r="A326" s="48" t="s">
        <v>44</v>
      </c>
      <c r="B326" s="48" t="s">
        <v>30</v>
      </c>
      <c r="C326" s="48" t="s">
        <v>5</v>
      </c>
      <c r="D326" s="48" t="s">
        <v>50</v>
      </c>
      <c r="E326" s="48"/>
      <c r="F326" s="48">
        <v>0.0</v>
      </c>
      <c r="G326" s="43"/>
      <c r="H326" s="43"/>
      <c r="I326" s="43"/>
    </row>
    <row r="327" ht="12.75" customHeight="1">
      <c r="A327" s="48" t="s">
        <v>44</v>
      </c>
      <c r="B327" s="48" t="s">
        <v>30</v>
      </c>
      <c r="C327" s="48" t="s">
        <v>5</v>
      </c>
      <c r="D327" s="48" t="s">
        <v>47</v>
      </c>
      <c r="E327" s="48"/>
      <c r="F327" s="48">
        <v>5870.3</v>
      </c>
      <c r="G327" s="43"/>
      <c r="H327" s="43"/>
      <c r="I327" s="43"/>
    </row>
    <row r="328" ht="12.75" customHeight="1">
      <c r="A328" s="48" t="s">
        <v>44</v>
      </c>
      <c r="B328" s="48" t="s">
        <v>30</v>
      </c>
      <c r="C328" s="48" t="s">
        <v>5</v>
      </c>
      <c r="D328" s="48" t="s">
        <v>47</v>
      </c>
      <c r="E328" s="48"/>
      <c r="F328" s="48">
        <v>5804.5</v>
      </c>
      <c r="G328" s="43"/>
      <c r="H328" s="43"/>
      <c r="I328" s="43"/>
    </row>
    <row r="329" ht="12.75" customHeight="1">
      <c r="A329" s="48" t="s">
        <v>44</v>
      </c>
      <c r="B329" s="48" t="s">
        <v>30</v>
      </c>
      <c r="C329" s="48" t="s">
        <v>5</v>
      </c>
      <c r="D329" s="48" t="s">
        <v>47</v>
      </c>
      <c r="E329" s="48"/>
      <c r="F329" s="48">
        <v>9367.1</v>
      </c>
      <c r="G329" s="43"/>
      <c r="H329" s="43"/>
      <c r="I329" s="43"/>
    </row>
    <row r="330" ht="12.75" customHeight="1">
      <c r="A330" s="48" t="s">
        <v>44</v>
      </c>
      <c r="B330" s="48" t="s">
        <v>30</v>
      </c>
      <c r="C330" s="48" t="s">
        <v>61</v>
      </c>
      <c r="D330" s="48" t="s">
        <v>53</v>
      </c>
      <c r="E330" s="48"/>
      <c r="F330" s="48">
        <v>2434.6</v>
      </c>
      <c r="G330" s="43"/>
      <c r="H330" s="43"/>
      <c r="I330" s="43"/>
    </row>
    <row r="331" ht="12.75" customHeight="1">
      <c r="A331" s="48" t="s">
        <v>44</v>
      </c>
      <c r="B331" s="48" t="s">
        <v>30</v>
      </c>
      <c r="C331" s="48" t="s">
        <v>61</v>
      </c>
      <c r="D331" s="48" t="s">
        <v>53</v>
      </c>
      <c r="E331" s="48"/>
      <c r="F331" s="48">
        <v>0.0</v>
      </c>
      <c r="G331" s="43"/>
      <c r="H331" s="43"/>
      <c r="I331" s="43"/>
    </row>
    <row r="332" ht="12.75" customHeight="1">
      <c r="A332" s="48" t="s">
        <v>44</v>
      </c>
      <c r="B332" s="48" t="s">
        <v>30</v>
      </c>
      <c r="C332" s="48" t="s">
        <v>61</v>
      </c>
      <c r="D332" s="48" t="s">
        <v>54</v>
      </c>
      <c r="E332" s="48"/>
      <c r="F332" s="48">
        <v>7242.700000000001</v>
      </c>
      <c r="G332" s="43"/>
      <c r="H332" s="43"/>
      <c r="I332" s="43"/>
    </row>
    <row r="333" ht="12.75" customHeight="1">
      <c r="A333" s="48" t="s">
        <v>44</v>
      </c>
      <c r="B333" s="48" t="s">
        <v>30</v>
      </c>
      <c r="C333" s="48" t="s">
        <v>61</v>
      </c>
      <c r="D333" s="48" t="s">
        <v>50</v>
      </c>
      <c r="E333" s="48"/>
      <c r="F333" s="48">
        <v>6852.6</v>
      </c>
      <c r="G333" s="43"/>
      <c r="H333" s="43"/>
      <c r="I333" s="43"/>
    </row>
    <row r="334" ht="12.75" customHeight="1">
      <c r="A334" s="48" t="s">
        <v>44</v>
      </c>
      <c r="B334" s="48" t="s">
        <v>30</v>
      </c>
      <c r="C334" s="48" t="s">
        <v>61</v>
      </c>
      <c r="D334" s="48" t="s">
        <v>50</v>
      </c>
      <c r="E334" s="48"/>
      <c r="F334" s="48">
        <v>2928.1</v>
      </c>
      <c r="G334" s="43"/>
      <c r="H334" s="43"/>
      <c r="I334" s="43"/>
    </row>
    <row r="335" ht="12.75" customHeight="1">
      <c r="A335" s="48" t="s">
        <v>44</v>
      </c>
      <c r="B335" s="48" t="s">
        <v>30</v>
      </c>
      <c r="C335" s="48" t="s">
        <v>61</v>
      </c>
      <c r="D335" s="48" t="s">
        <v>50</v>
      </c>
      <c r="E335" s="48"/>
      <c r="F335" s="48">
        <v>0.0</v>
      </c>
      <c r="G335" s="43"/>
      <c r="H335" s="43"/>
      <c r="I335" s="43"/>
    </row>
    <row r="336" ht="12.75" customHeight="1">
      <c r="A336" s="48" t="s">
        <v>44</v>
      </c>
      <c r="B336" s="48" t="s">
        <v>30</v>
      </c>
      <c r="C336" s="48" t="s">
        <v>61</v>
      </c>
      <c r="D336" s="48" t="s">
        <v>47</v>
      </c>
      <c r="E336" s="48"/>
      <c r="F336" s="48">
        <v>4244.1</v>
      </c>
      <c r="G336" s="43"/>
      <c r="H336" s="43"/>
      <c r="I336" s="43"/>
    </row>
    <row r="337" ht="12.75" customHeight="1">
      <c r="A337" s="48" t="s">
        <v>44</v>
      </c>
      <c r="B337" s="48" t="s">
        <v>30</v>
      </c>
      <c r="C337" s="48" t="s">
        <v>61</v>
      </c>
      <c r="D337" s="48" t="s">
        <v>47</v>
      </c>
      <c r="E337" s="48"/>
      <c r="F337" s="48">
        <v>3830.5</v>
      </c>
      <c r="G337" s="43"/>
      <c r="H337" s="43"/>
      <c r="I337" s="43"/>
    </row>
    <row r="338" ht="12.75" customHeight="1">
      <c r="A338" s="48" t="s">
        <v>44</v>
      </c>
      <c r="B338" s="48" t="s">
        <v>28</v>
      </c>
      <c r="C338" s="48" t="s">
        <v>48</v>
      </c>
      <c r="D338" s="48" t="s">
        <v>8</v>
      </c>
      <c r="E338" s="48"/>
      <c r="F338" s="48">
        <v>3816.4</v>
      </c>
      <c r="G338" s="43"/>
      <c r="H338" s="43"/>
      <c r="I338" s="43"/>
    </row>
    <row r="339" ht="12.75" customHeight="1">
      <c r="A339" s="48" t="s">
        <v>44</v>
      </c>
      <c r="B339" s="48" t="s">
        <v>28</v>
      </c>
      <c r="C339" s="48" t="s">
        <v>48</v>
      </c>
      <c r="D339" s="48" t="s">
        <v>6</v>
      </c>
      <c r="E339" s="48"/>
      <c r="F339" s="48">
        <v>2209.0</v>
      </c>
      <c r="G339" s="43"/>
      <c r="H339" s="43"/>
      <c r="I339" s="43"/>
    </row>
    <row r="340" ht="12.75" customHeight="1">
      <c r="A340" s="48" t="s">
        <v>44</v>
      </c>
      <c r="B340" s="48" t="s">
        <v>28</v>
      </c>
      <c r="C340" s="48" t="s">
        <v>48</v>
      </c>
      <c r="D340" s="48" t="s">
        <v>54</v>
      </c>
      <c r="E340" s="48"/>
      <c r="F340" s="48">
        <v>70.5</v>
      </c>
      <c r="G340" s="43"/>
      <c r="H340" s="43"/>
      <c r="I340" s="43"/>
    </row>
    <row r="341" ht="12.75" customHeight="1">
      <c r="A341" s="48" t="s">
        <v>44</v>
      </c>
      <c r="B341" s="48" t="s">
        <v>28</v>
      </c>
      <c r="C341" s="48" t="s">
        <v>48</v>
      </c>
      <c r="D341" s="48" t="s">
        <v>54</v>
      </c>
      <c r="E341" s="48"/>
      <c r="F341" s="48">
        <v>197.4</v>
      </c>
      <c r="G341" s="43"/>
      <c r="H341" s="43"/>
      <c r="I341" s="43"/>
    </row>
    <row r="342" ht="12.75" customHeight="1">
      <c r="A342" s="48" t="s">
        <v>44</v>
      </c>
      <c r="B342" s="48" t="s">
        <v>28</v>
      </c>
      <c r="C342" s="48" t="s">
        <v>48</v>
      </c>
      <c r="D342" s="48" t="s">
        <v>54</v>
      </c>
      <c r="E342" s="48"/>
      <c r="F342" s="48">
        <v>930.6</v>
      </c>
      <c r="G342" s="43"/>
      <c r="H342" s="43"/>
      <c r="I342" s="43"/>
    </row>
    <row r="343" ht="12.75" customHeight="1">
      <c r="A343" s="48" t="s">
        <v>44</v>
      </c>
      <c r="B343" s="48" t="s">
        <v>28</v>
      </c>
      <c r="C343" s="48" t="s">
        <v>48</v>
      </c>
      <c r="D343" s="48" t="s">
        <v>49</v>
      </c>
      <c r="E343" s="48"/>
      <c r="F343" s="48">
        <v>117.5</v>
      </c>
      <c r="G343" s="43"/>
      <c r="H343" s="43"/>
      <c r="I343" s="43"/>
    </row>
    <row r="344" ht="12.75" customHeight="1">
      <c r="A344" s="48" t="s">
        <v>44</v>
      </c>
      <c r="B344" s="48" t="s">
        <v>28</v>
      </c>
      <c r="C344" s="48" t="s">
        <v>48</v>
      </c>
      <c r="D344" s="48" t="s">
        <v>49</v>
      </c>
      <c r="E344" s="48"/>
      <c r="F344" s="48">
        <v>159.8</v>
      </c>
      <c r="G344" s="43"/>
      <c r="H344" s="43"/>
      <c r="I344" s="43"/>
    </row>
    <row r="345" ht="12.75" customHeight="1">
      <c r="A345" s="48" t="s">
        <v>44</v>
      </c>
      <c r="B345" s="48" t="s">
        <v>28</v>
      </c>
      <c r="C345" s="48" t="s">
        <v>48</v>
      </c>
      <c r="D345" s="48" t="s">
        <v>49</v>
      </c>
      <c r="E345" s="48"/>
      <c r="F345" s="48">
        <v>98.7</v>
      </c>
      <c r="G345" s="43"/>
      <c r="H345" s="43"/>
      <c r="I345" s="43"/>
    </row>
    <row r="346" ht="12.75" customHeight="1">
      <c r="A346" s="48" t="s">
        <v>44</v>
      </c>
      <c r="B346" s="48" t="s">
        <v>28</v>
      </c>
      <c r="C346" s="48" t="s">
        <v>48</v>
      </c>
      <c r="D346" s="48" t="s">
        <v>49</v>
      </c>
      <c r="E346" s="48"/>
      <c r="F346" s="48">
        <v>1823.6000000000001</v>
      </c>
      <c r="G346" s="43"/>
      <c r="H346" s="43"/>
      <c r="I346" s="43"/>
    </row>
    <row r="347" ht="12.75" customHeight="1">
      <c r="A347" s="48" t="s">
        <v>44</v>
      </c>
      <c r="B347" s="48" t="s">
        <v>28</v>
      </c>
      <c r="C347" s="48" t="s">
        <v>48</v>
      </c>
      <c r="D347" s="48" t="s">
        <v>49</v>
      </c>
      <c r="E347" s="48"/>
      <c r="F347" s="48">
        <v>117.5</v>
      </c>
      <c r="G347" s="43"/>
      <c r="H347" s="43"/>
      <c r="I347" s="43"/>
    </row>
    <row r="348" ht="12.75" customHeight="1">
      <c r="A348" s="48" t="s">
        <v>44</v>
      </c>
      <c r="B348" s="48" t="s">
        <v>28</v>
      </c>
      <c r="C348" s="48" t="s">
        <v>48</v>
      </c>
      <c r="D348" s="48" t="s">
        <v>47</v>
      </c>
      <c r="E348" s="48"/>
      <c r="F348" s="48">
        <v>54144.0</v>
      </c>
      <c r="G348" s="43"/>
      <c r="H348" s="43"/>
      <c r="I348" s="43"/>
    </row>
    <row r="349" ht="12.75" customHeight="1">
      <c r="A349" s="48" t="s">
        <v>44</v>
      </c>
      <c r="B349" s="48" t="s">
        <v>28</v>
      </c>
      <c r="C349" s="48" t="s">
        <v>48</v>
      </c>
      <c r="D349" s="48" t="s">
        <v>47</v>
      </c>
      <c r="E349" s="48"/>
      <c r="F349" s="48">
        <v>-54144.0</v>
      </c>
      <c r="G349" s="43"/>
      <c r="H349" s="43"/>
      <c r="I349" s="43"/>
    </row>
    <row r="350" ht="12.75" customHeight="1">
      <c r="A350" s="48" t="s">
        <v>44</v>
      </c>
      <c r="B350" s="48" t="s">
        <v>28</v>
      </c>
      <c r="C350" s="48" t="s">
        <v>48</v>
      </c>
      <c r="D350" s="48" t="s">
        <v>47</v>
      </c>
      <c r="E350" s="48"/>
      <c r="F350" s="48">
        <v>-376.0</v>
      </c>
      <c r="G350" s="43"/>
      <c r="H350" s="43"/>
      <c r="I350" s="43"/>
    </row>
    <row r="351" ht="12.75" customHeight="1">
      <c r="A351" s="48" t="s">
        <v>44</v>
      </c>
      <c r="B351" s="48" t="s">
        <v>28</v>
      </c>
      <c r="C351" s="48" t="s">
        <v>48</v>
      </c>
      <c r="D351" s="48" t="s">
        <v>47</v>
      </c>
      <c r="E351" s="48"/>
      <c r="F351" s="48">
        <v>376.0</v>
      </c>
      <c r="G351" s="43"/>
      <c r="H351" s="43"/>
      <c r="I351" s="43"/>
    </row>
    <row r="352" ht="12.75" customHeight="1">
      <c r="A352" s="48" t="s">
        <v>44</v>
      </c>
      <c r="B352" s="48" t="s">
        <v>28</v>
      </c>
      <c r="C352" s="48" t="s">
        <v>48</v>
      </c>
      <c r="D352" s="48" t="s">
        <v>47</v>
      </c>
      <c r="E352" s="48"/>
      <c r="F352" s="48">
        <v>6194.6</v>
      </c>
      <c r="G352" s="43"/>
      <c r="H352" s="43"/>
      <c r="I352" s="43"/>
    </row>
    <row r="353" ht="12.75" customHeight="1">
      <c r="A353" s="48" t="s">
        <v>44</v>
      </c>
      <c r="B353" s="48" t="s">
        <v>28</v>
      </c>
      <c r="C353" s="48" t="s">
        <v>28</v>
      </c>
      <c r="D353" s="48" t="s">
        <v>50</v>
      </c>
      <c r="E353" s="48"/>
      <c r="F353" s="48">
        <v>-493.5</v>
      </c>
      <c r="G353" s="43"/>
      <c r="H353" s="43"/>
      <c r="I353" s="43"/>
    </row>
    <row r="354" ht="12.75" customHeight="1">
      <c r="A354" s="48" t="s">
        <v>44</v>
      </c>
      <c r="B354" s="48" t="s">
        <v>28</v>
      </c>
      <c r="C354" s="48" t="s">
        <v>28</v>
      </c>
      <c r="D354" s="48" t="s">
        <v>47</v>
      </c>
      <c r="E354" s="48"/>
      <c r="F354" s="48">
        <v>4479.1</v>
      </c>
      <c r="G354" s="43"/>
      <c r="H354" s="43"/>
      <c r="I354" s="43"/>
    </row>
    <row r="355" ht="12.75" customHeight="1">
      <c r="A355" s="48" t="s">
        <v>44</v>
      </c>
      <c r="B355" s="48" t="s">
        <v>28</v>
      </c>
      <c r="C355" s="48" t="s">
        <v>28</v>
      </c>
      <c r="D355" s="48" t="s">
        <v>47</v>
      </c>
      <c r="E355" s="48"/>
      <c r="F355" s="48">
        <v>352.5</v>
      </c>
      <c r="G355" s="43"/>
      <c r="H355" s="43"/>
      <c r="I355" s="43"/>
    </row>
    <row r="356" ht="12.75" customHeight="1">
      <c r="A356" s="48" t="s">
        <v>44</v>
      </c>
      <c r="B356" s="48" t="s">
        <v>28</v>
      </c>
      <c r="C356" s="48" t="s">
        <v>28</v>
      </c>
      <c r="D356" s="48" t="s">
        <v>47</v>
      </c>
      <c r="E356" s="48"/>
      <c r="F356" s="48">
        <v>-4831.6</v>
      </c>
      <c r="G356" s="43"/>
      <c r="H356" s="43"/>
      <c r="I356" s="43"/>
    </row>
    <row r="357" ht="12.75" customHeight="1">
      <c r="A357" s="48" t="s">
        <v>44</v>
      </c>
      <c r="B357" s="48" t="s">
        <v>28</v>
      </c>
      <c r="C357" s="48" t="s">
        <v>51</v>
      </c>
      <c r="D357" s="48" t="s">
        <v>54</v>
      </c>
      <c r="E357" s="48"/>
      <c r="F357" s="48">
        <v>1099.8</v>
      </c>
      <c r="G357" s="43"/>
      <c r="H357" s="43"/>
      <c r="I357" s="43"/>
    </row>
    <row r="358" ht="12.75" customHeight="1">
      <c r="A358" s="48" t="s">
        <v>44</v>
      </c>
      <c r="B358" s="48" t="s">
        <v>28</v>
      </c>
      <c r="C358" s="48" t="s">
        <v>51</v>
      </c>
      <c r="D358" s="48" t="s">
        <v>54</v>
      </c>
      <c r="E358" s="48"/>
      <c r="F358" s="48">
        <v>11909.800000000001</v>
      </c>
      <c r="G358" s="43"/>
      <c r="H358" s="43"/>
      <c r="I358" s="43"/>
    </row>
    <row r="359" ht="12.75" customHeight="1">
      <c r="A359" s="48" t="s">
        <v>44</v>
      </c>
      <c r="B359" s="48" t="s">
        <v>28</v>
      </c>
      <c r="C359" s="48" t="s">
        <v>51</v>
      </c>
      <c r="D359" s="48" t="s">
        <v>50</v>
      </c>
      <c r="E359" s="48"/>
      <c r="F359" s="48">
        <v>493.5</v>
      </c>
      <c r="G359" s="43"/>
      <c r="H359" s="43"/>
      <c r="I359" s="43"/>
    </row>
    <row r="360" ht="12.75" customHeight="1">
      <c r="A360" s="48" t="s">
        <v>44</v>
      </c>
      <c r="B360" s="48" t="s">
        <v>28</v>
      </c>
      <c r="C360" s="48" t="s">
        <v>51</v>
      </c>
      <c r="D360" s="48" t="s">
        <v>50</v>
      </c>
      <c r="E360" s="48"/>
      <c r="F360" s="48">
        <v>7407.200000000001</v>
      </c>
      <c r="G360" s="43"/>
      <c r="H360" s="43"/>
      <c r="I360" s="43"/>
    </row>
    <row r="361" ht="12.75" customHeight="1">
      <c r="A361" s="48" t="s">
        <v>44</v>
      </c>
      <c r="B361" s="48" t="s">
        <v>28</v>
      </c>
      <c r="C361" s="48" t="s">
        <v>51</v>
      </c>
      <c r="D361" s="48" t="s">
        <v>50</v>
      </c>
      <c r="E361" s="48"/>
      <c r="F361" s="48">
        <v>4178.3</v>
      </c>
      <c r="G361" s="43"/>
      <c r="H361" s="43"/>
      <c r="I361" s="43"/>
    </row>
    <row r="362" ht="12.75" customHeight="1">
      <c r="A362" s="48" t="s">
        <v>44</v>
      </c>
      <c r="B362" s="48" t="s">
        <v>28</v>
      </c>
      <c r="C362" s="48" t="s">
        <v>51</v>
      </c>
      <c r="D362" s="48" t="s">
        <v>47</v>
      </c>
      <c r="E362" s="48"/>
      <c r="F362" s="48">
        <v>1057.5</v>
      </c>
      <c r="G362" s="43"/>
      <c r="H362" s="43"/>
      <c r="I362" s="43"/>
    </row>
    <row r="363" ht="12.75" customHeight="1">
      <c r="A363" s="48" t="s">
        <v>44</v>
      </c>
      <c r="B363" s="48" t="s">
        <v>28</v>
      </c>
      <c r="C363" s="48" t="s">
        <v>51</v>
      </c>
      <c r="D363" s="48" t="s">
        <v>47</v>
      </c>
      <c r="E363" s="48"/>
      <c r="F363" s="48">
        <v>-705.0</v>
      </c>
      <c r="G363" s="43"/>
      <c r="H363" s="43"/>
      <c r="I363" s="43"/>
    </row>
    <row r="364" ht="12.75" customHeight="1">
      <c r="A364" s="48" t="s">
        <v>44</v>
      </c>
      <c r="B364" s="48" t="s">
        <v>28</v>
      </c>
      <c r="C364" s="48" t="s">
        <v>54</v>
      </c>
      <c r="D364" s="48" t="s">
        <v>54</v>
      </c>
      <c r="E364" s="48"/>
      <c r="F364" s="48">
        <v>761.4</v>
      </c>
      <c r="G364" s="43"/>
      <c r="H364" s="43"/>
      <c r="I364" s="43"/>
    </row>
    <row r="365" ht="12.75" customHeight="1">
      <c r="A365" s="48" t="s">
        <v>44</v>
      </c>
      <c r="B365" s="48" t="s">
        <v>28</v>
      </c>
      <c r="C365" s="48" t="s">
        <v>54</v>
      </c>
      <c r="D365" s="48" t="s">
        <v>54</v>
      </c>
      <c r="E365" s="48"/>
      <c r="F365" s="48">
        <v>13113.0</v>
      </c>
      <c r="G365" s="43"/>
      <c r="H365" s="43"/>
      <c r="I365" s="43"/>
    </row>
    <row r="366" ht="12.75" customHeight="1">
      <c r="A366" s="48" t="s">
        <v>44</v>
      </c>
      <c r="B366" s="48" t="s">
        <v>28</v>
      </c>
      <c r="C366" s="48" t="s">
        <v>54</v>
      </c>
      <c r="D366" s="48" t="s">
        <v>54</v>
      </c>
      <c r="E366" s="48"/>
      <c r="F366" s="48">
        <v>-343565.3</v>
      </c>
      <c r="G366" s="43"/>
      <c r="H366" s="43"/>
      <c r="I366" s="43"/>
    </row>
    <row r="367" ht="12.75" customHeight="1">
      <c r="A367" s="48" t="s">
        <v>44</v>
      </c>
      <c r="B367" s="48" t="s">
        <v>28</v>
      </c>
      <c r="C367" s="48" t="s">
        <v>54</v>
      </c>
      <c r="D367" s="48" t="s">
        <v>54</v>
      </c>
      <c r="E367" s="48"/>
      <c r="F367" s="48">
        <v>761.4</v>
      </c>
      <c r="G367" s="43"/>
      <c r="H367" s="43"/>
      <c r="I367" s="43"/>
    </row>
    <row r="368" ht="12.75" customHeight="1">
      <c r="A368" s="48" t="s">
        <v>44</v>
      </c>
      <c r="B368" s="48" t="s">
        <v>28</v>
      </c>
      <c r="C368" s="48" t="s">
        <v>54</v>
      </c>
      <c r="D368" s="48" t="s">
        <v>54</v>
      </c>
      <c r="E368" s="48"/>
      <c r="F368" s="48">
        <v>148604.6</v>
      </c>
      <c r="G368" s="43"/>
      <c r="H368" s="43"/>
      <c r="I368" s="43"/>
    </row>
    <row r="369" ht="12.75" customHeight="1">
      <c r="A369" s="48" t="s">
        <v>44</v>
      </c>
      <c r="B369" s="48" t="s">
        <v>28</v>
      </c>
      <c r="C369" s="48" t="s">
        <v>54</v>
      </c>
      <c r="D369" s="48" t="s">
        <v>54</v>
      </c>
      <c r="E369" s="48"/>
      <c r="F369" s="48">
        <v>14570.0</v>
      </c>
      <c r="G369" s="43"/>
      <c r="H369" s="43"/>
      <c r="I369" s="43"/>
    </row>
    <row r="370" ht="12.75" customHeight="1">
      <c r="A370" s="48" t="s">
        <v>44</v>
      </c>
      <c r="B370" s="48" t="s">
        <v>28</v>
      </c>
      <c r="C370" s="48" t="s">
        <v>54</v>
      </c>
      <c r="D370" s="48" t="s">
        <v>47</v>
      </c>
      <c r="E370" s="48"/>
      <c r="F370" s="48">
        <v>105331.7</v>
      </c>
      <c r="G370" s="43"/>
      <c r="H370" s="43"/>
      <c r="I370" s="43"/>
    </row>
    <row r="371" ht="12.75" customHeight="1">
      <c r="A371" s="48" t="s">
        <v>44</v>
      </c>
      <c r="B371" s="48" t="s">
        <v>28</v>
      </c>
      <c r="C371" s="48" t="s">
        <v>54</v>
      </c>
      <c r="D371" s="48" t="s">
        <v>47</v>
      </c>
      <c r="E371" s="48"/>
      <c r="F371" s="48">
        <v>8460.0</v>
      </c>
      <c r="G371" s="43"/>
      <c r="H371" s="43"/>
      <c r="I371" s="43"/>
    </row>
    <row r="372" ht="12.75" customHeight="1">
      <c r="A372" s="48" t="s">
        <v>44</v>
      </c>
      <c r="B372" s="48" t="s">
        <v>28</v>
      </c>
      <c r="C372" s="48" t="s">
        <v>54</v>
      </c>
      <c r="D372" s="48" t="s">
        <v>47</v>
      </c>
      <c r="E372" s="48"/>
      <c r="F372" s="48">
        <v>34784.700000000004</v>
      </c>
      <c r="G372" s="43"/>
      <c r="H372" s="43"/>
      <c r="I372" s="43"/>
    </row>
    <row r="373" ht="12.75" customHeight="1">
      <c r="A373" s="48" t="s">
        <v>44</v>
      </c>
      <c r="B373" s="48" t="s">
        <v>28</v>
      </c>
      <c r="C373" s="48" t="s">
        <v>54</v>
      </c>
      <c r="D373" s="48" t="s">
        <v>47</v>
      </c>
      <c r="E373" s="48"/>
      <c r="F373" s="48">
        <v>16290.2</v>
      </c>
      <c r="G373" s="43"/>
      <c r="H373" s="43"/>
      <c r="I373" s="43"/>
    </row>
    <row r="374" ht="12.75" customHeight="1">
      <c r="A374" s="48" t="s">
        <v>44</v>
      </c>
      <c r="B374" s="48" t="s">
        <v>29</v>
      </c>
      <c r="C374" s="48" t="s">
        <v>56</v>
      </c>
      <c r="D374" s="48" t="s">
        <v>52</v>
      </c>
      <c r="E374" s="48"/>
      <c r="F374" s="48">
        <v>22155.8</v>
      </c>
      <c r="G374" s="43"/>
      <c r="H374" s="43"/>
      <c r="I374" s="43"/>
    </row>
    <row r="375" ht="12.75" customHeight="1">
      <c r="A375" s="48" t="s">
        <v>44</v>
      </c>
      <c r="B375" s="48" t="s">
        <v>29</v>
      </c>
      <c r="C375" s="48" t="s">
        <v>56</v>
      </c>
      <c r="D375" s="48" t="s">
        <v>52</v>
      </c>
      <c r="E375" s="48"/>
      <c r="F375" s="48">
        <v>17455.8</v>
      </c>
      <c r="G375" s="43"/>
      <c r="H375" s="43"/>
      <c r="I375" s="43"/>
    </row>
    <row r="376" ht="12.75" customHeight="1">
      <c r="A376" s="48" t="s">
        <v>44</v>
      </c>
      <c r="B376" s="48" t="s">
        <v>29</v>
      </c>
      <c r="C376" s="48" t="s">
        <v>56</v>
      </c>
      <c r="D376" s="48" t="s">
        <v>58</v>
      </c>
      <c r="E376" s="48"/>
      <c r="F376" s="48">
        <v>153746.4</v>
      </c>
      <c r="G376" s="43"/>
      <c r="H376" s="43"/>
      <c r="I376" s="43"/>
    </row>
    <row r="377" ht="12.75" customHeight="1">
      <c r="A377" s="48" t="s">
        <v>44</v>
      </c>
      <c r="B377" s="48" t="s">
        <v>29</v>
      </c>
      <c r="C377" s="48" t="s">
        <v>56</v>
      </c>
      <c r="D377" s="48" t="s">
        <v>58</v>
      </c>
      <c r="E377" s="48"/>
      <c r="F377" s="48">
        <v>7238.0</v>
      </c>
      <c r="G377" s="43"/>
      <c r="H377" s="43"/>
      <c r="I377" s="43"/>
    </row>
    <row r="378" ht="12.75" customHeight="1">
      <c r="A378" s="48" t="s">
        <v>44</v>
      </c>
      <c r="B378" s="48" t="s">
        <v>29</v>
      </c>
      <c r="C378" s="48" t="s">
        <v>56</v>
      </c>
      <c r="D378" s="48" t="s">
        <v>8</v>
      </c>
      <c r="E378" s="48"/>
      <c r="F378" s="48">
        <v>47.0</v>
      </c>
      <c r="G378" s="43"/>
      <c r="H378" s="43"/>
      <c r="I378" s="43"/>
    </row>
    <row r="379" ht="12.75" customHeight="1">
      <c r="A379" s="48" t="s">
        <v>44</v>
      </c>
      <c r="B379" s="48" t="s">
        <v>29</v>
      </c>
      <c r="C379" s="48" t="s">
        <v>56</v>
      </c>
      <c r="D379" s="48" t="s">
        <v>8</v>
      </c>
      <c r="E379" s="48"/>
      <c r="F379" s="48">
        <v>1405.3</v>
      </c>
      <c r="G379" s="43"/>
      <c r="H379" s="43"/>
      <c r="I379" s="43"/>
    </row>
    <row r="380" ht="12.75" customHeight="1">
      <c r="A380" s="48" t="s">
        <v>44</v>
      </c>
      <c r="B380" s="48" t="s">
        <v>29</v>
      </c>
      <c r="C380" s="48" t="s">
        <v>56</v>
      </c>
      <c r="D380" s="48" t="s">
        <v>8</v>
      </c>
      <c r="E380" s="48"/>
      <c r="F380" s="48">
        <v>9273.1</v>
      </c>
      <c r="G380" s="43"/>
      <c r="H380" s="43"/>
      <c r="I380" s="43"/>
    </row>
    <row r="381" ht="12.75" customHeight="1">
      <c r="A381" s="48" t="s">
        <v>44</v>
      </c>
      <c r="B381" s="48" t="s">
        <v>29</v>
      </c>
      <c r="C381" s="48" t="s">
        <v>56</v>
      </c>
      <c r="D381" s="48" t="s">
        <v>8</v>
      </c>
      <c r="E381" s="48"/>
      <c r="F381" s="48">
        <v>6570.6</v>
      </c>
      <c r="G381" s="43"/>
      <c r="H381" s="43"/>
      <c r="I381" s="43"/>
    </row>
    <row r="382" ht="12.75" customHeight="1">
      <c r="A382" s="48" t="s">
        <v>44</v>
      </c>
      <c r="B382" s="48" t="s">
        <v>29</v>
      </c>
      <c r="C382" s="48" t="s">
        <v>56</v>
      </c>
      <c r="D382" s="48" t="s">
        <v>54</v>
      </c>
      <c r="E382" s="48"/>
      <c r="F382" s="48">
        <v>48598.0</v>
      </c>
      <c r="G382" s="43"/>
      <c r="H382" s="43"/>
      <c r="I382" s="43"/>
    </row>
    <row r="383" ht="12.75" customHeight="1">
      <c r="A383" s="48" t="s">
        <v>44</v>
      </c>
      <c r="B383" s="48" t="s">
        <v>29</v>
      </c>
      <c r="C383" s="48" t="s">
        <v>56</v>
      </c>
      <c r="D383" s="48" t="s">
        <v>49</v>
      </c>
      <c r="E383" s="48"/>
      <c r="F383" s="48">
        <v>700.3000000000001</v>
      </c>
      <c r="G383" s="43"/>
      <c r="H383" s="43"/>
      <c r="I383" s="43"/>
    </row>
    <row r="384" ht="12.75" customHeight="1">
      <c r="A384" s="48" t="s">
        <v>44</v>
      </c>
      <c r="B384" s="48" t="s">
        <v>29</v>
      </c>
      <c r="C384" s="48" t="s">
        <v>56</v>
      </c>
      <c r="D384" s="48" t="s">
        <v>50</v>
      </c>
      <c r="E384" s="48"/>
      <c r="F384" s="48">
        <v>14100.0</v>
      </c>
      <c r="G384" s="43"/>
      <c r="H384" s="43"/>
      <c r="I384" s="43"/>
    </row>
    <row r="385" ht="12.75" customHeight="1">
      <c r="A385" s="48" t="s">
        <v>44</v>
      </c>
      <c r="B385" s="48" t="s">
        <v>29</v>
      </c>
      <c r="C385" s="48" t="s">
        <v>56</v>
      </c>
      <c r="D385" s="48" t="s">
        <v>50</v>
      </c>
      <c r="E385" s="48"/>
      <c r="F385" s="48">
        <v>11952.1</v>
      </c>
      <c r="G385" s="43"/>
      <c r="H385" s="43"/>
      <c r="I385" s="43"/>
    </row>
    <row r="386" ht="12.75" customHeight="1">
      <c r="A386" s="48" t="s">
        <v>44</v>
      </c>
      <c r="B386" s="48" t="s">
        <v>29</v>
      </c>
      <c r="C386" s="48" t="s">
        <v>56</v>
      </c>
      <c r="D386" s="48" t="s">
        <v>50</v>
      </c>
      <c r="E386" s="48"/>
      <c r="F386" s="48">
        <v>8474.1</v>
      </c>
      <c r="G386" s="43"/>
      <c r="H386" s="43"/>
      <c r="I386" s="43"/>
    </row>
    <row r="387" ht="12.75" customHeight="1">
      <c r="A387" s="48" t="s">
        <v>44</v>
      </c>
      <c r="B387" s="48" t="s">
        <v>29</v>
      </c>
      <c r="C387" s="48" t="s">
        <v>56</v>
      </c>
      <c r="D387" s="48" t="s">
        <v>50</v>
      </c>
      <c r="E387" s="48"/>
      <c r="F387" s="48">
        <v>6556.5</v>
      </c>
      <c r="G387" s="43"/>
      <c r="H387" s="43"/>
      <c r="I387" s="43"/>
    </row>
    <row r="388" ht="12.75" customHeight="1">
      <c r="A388" s="48" t="s">
        <v>44</v>
      </c>
      <c r="B388" s="48" t="s">
        <v>29</v>
      </c>
      <c r="C388" s="48" t="s">
        <v>56</v>
      </c>
      <c r="D388" s="48" t="s">
        <v>50</v>
      </c>
      <c r="E388" s="48"/>
      <c r="F388" s="48">
        <v>14010.7</v>
      </c>
      <c r="G388" s="43"/>
      <c r="H388" s="43"/>
      <c r="I388" s="43"/>
    </row>
    <row r="389" ht="12.75" customHeight="1">
      <c r="A389" s="48" t="s">
        <v>44</v>
      </c>
      <c r="B389" s="48" t="s">
        <v>29</v>
      </c>
      <c r="C389" s="48" t="s">
        <v>59</v>
      </c>
      <c r="D389" s="48" t="s">
        <v>53</v>
      </c>
      <c r="E389" s="48"/>
      <c r="F389" s="48">
        <v>2303.0</v>
      </c>
      <c r="G389" s="43"/>
      <c r="H389" s="43"/>
      <c r="I389" s="43"/>
    </row>
    <row r="390" ht="12.75" customHeight="1">
      <c r="A390" s="48" t="s">
        <v>44</v>
      </c>
      <c r="B390" s="48" t="s">
        <v>29</v>
      </c>
      <c r="C390" s="48" t="s">
        <v>59</v>
      </c>
      <c r="D390" s="48" t="s">
        <v>58</v>
      </c>
      <c r="E390" s="48"/>
      <c r="F390" s="48">
        <v>76873.2</v>
      </c>
      <c r="G390" s="43"/>
      <c r="H390" s="43"/>
      <c r="I390" s="43"/>
    </row>
    <row r="391" ht="12.75" customHeight="1">
      <c r="A391" s="48" t="s">
        <v>44</v>
      </c>
      <c r="B391" s="48" t="s">
        <v>29</v>
      </c>
      <c r="C391" s="48" t="s">
        <v>59</v>
      </c>
      <c r="D391" s="48" t="s">
        <v>54</v>
      </c>
      <c r="E391" s="48"/>
      <c r="F391" s="48">
        <v>23819.600000000002</v>
      </c>
      <c r="G391" s="43"/>
      <c r="H391" s="43"/>
      <c r="I391" s="43"/>
    </row>
    <row r="392" ht="12.75" customHeight="1">
      <c r="A392" s="48" t="s">
        <v>44</v>
      </c>
      <c r="B392" s="48" t="s">
        <v>29</v>
      </c>
      <c r="C392" s="48" t="s">
        <v>59</v>
      </c>
      <c r="D392" s="48" t="s">
        <v>50</v>
      </c>
      <c r="E392" s="48"/>
      <c r="F392" s="48">
        <v>7675.1</v>
      </c>
      <c r="G392" s="43"/>
      <c r="H392" s="43"/>
      <c r="I392" s="43"/>
    </row>
    <row r="393" ht="12.75" customHeight="1">
      <c r="A393" s="48" t="s">
        <v>44</v>
      </c>
      <c r="B393" s="48" t="s">
        <v>29</v>
      </c>
      <c r="C393" s="48" t="s">
        <v>59</v>
      </c>
      <c r="D393" s="48" t="s">
        <v>50</v>
      </c>
      <c r="E393" s="48"/>
      <c r="F393" s="48">
        <v>9973.4</v>
      </c>
      <c r="G393" s="43"/>
      <c r="H393" s="43"/>
      <c r="I393" s="43"/>
    </row>
    <row r="394" ht="12.75" customHeight="1">
      <c r="A394" s="48" t="s">
        <v>44</v>
      </c>
      <c r="B394" s="48" t="s">
        <v>29</v>
      </c>
      <c r="C394" s="48" t="s">
        <v>59</v>
      </c>
      <c r="D394" s="48" t="s">
        <v>50</v>
      </c>
      <c r="E394" s="48"/>
      <c r="F394" s="48">
        <v>6650.5</v>
      </c>
      <c r="G394" s="43"/>
      <c r="H394" s="43"/>
      <c r="I394" s="43"/>
    </row>
    <row r="395" ht="12.75" customHeight="1">
      <c r="A395" s="48" t="s">
        <v>44</v>
      </c>
      <c r="B395" s="48" t="s">
        <v>30</v>
      </c>
      <c r="C395" s="48" t="s">
        <v>6</v>
      </c>
      <c r="D395" s="48" t="s">
        <v>53</v>
      </c>
      <c r="E395" s="48"/>
      <c r="F395" s="48">
        <v>404.2</v>
      </c>
      <c r="G395" s="43"/>
      <c r="H395" s="43"/>
      <c r="I395" s="43"/>
    </row>
    <row r="396" ht="12.75" customHeight="1">
      <c r="A396" s="48" t="s">
        <v>44</v>
      </c>
      <c r="B396" s="48" t="s">
        <v>30</v>
      </c>
      <c r="C396" s="48" t="s">
        <v>6</v>
      </c>
      <c r="D396" s="48" t="s">
        <v>6</v>
      </c>
      <c r="E396" s="48"/>
      <c r="F396" s="48">
        <v>1630.9</v>
      </c>
      <c r="G396" s="43"/>
      <c r="H396" s="43"/>
      <c r="I396" s="43"/>
    </row>
    <row r="397" ht="12.75" customHeight="1">
      <c r="A397" s="48" t="s">
        <v>44</v>
      </c>
      <c r="B397" s="48" t="s">
        <v>30</v>
      </c>
      <c r="C397" s="48" t="s">
        <v>6</v>
      </c>
      <c r="D397" s="48" t="s">
        <v>6</v>
      </c>
      <c r="E397" s="48"/>
      <c r="F397" s="48">
        <v>15839.0</v>
      </c>
      <c r="G397" s="43"/>
      <c r="H397" s="43"/>
      <c r="I397" s="43"/>
    </row>
    <row r="398" ht="12.75" customHeight="1">
      <c r="A398" s="48" t="s">
        <v>44</v>
      </c>
      <c r="B398" s="48" t="s">
        <v>30</v>
      </c>
      <c r="C398" s="48" t="s">
        <v>6</v>
      </c>
      <c r="D398" s="48" t="s">
        <v>6</v>
      </c>
      <c r="E398" s="48"/>
      <c r="F398" s="48">
        <v>7520.0</v>
      </c>
      <c r="G398" s="43"/>
      <c r="H398" s="43"/>
      <c r="I398" s="43"/>
    </row>
    <row r="399" ht="12.75" customHeight="1">
      <c r="A399" s="48" t="s">
        <v>44</v>
      </c>
      <c r="B399" s="48" t="s">
        <v>30</v>
      </c>
      <c r="C399" s="48" t="s">
        <v>6</v>
      </c>
      <c r="D399" s="48" t="s">
        <v>6</v>
      </c>
      <c r="E399" s="48"/>
      <c r="F399" s="48">
        <v>-25850.0</v>
      </c>
      <c r="G399" s="43"/>
      <c r="H399" s="43"/>
      <c r="I399" s="43"/>
    </row>
    <row r="400" ht="12.75" customHeight="1">
      <c r="A400" s="48" t="s">
        <v>44</v>
      </c>
      <c r="B400" s="48" t="s">
        <v>30</v>
      </c>
      <c r="C400" s="48" t="s">
        <v>6</v>
      </c>
      <c r="D400" s="48" t="s">
        <v>6</v>
      </c>
      <c r="E400" s="48"/>
      <c r="F400" s="48">
        <v>-93962.40000000001</v>
      </c>
      <c r="G400" s="43"/>
      <c r="H400" s="43"/>
      <c r="I400" s="43"/>
    </row>
    <row r="401" ht="12.75" customHeight="1">
      <c r="A401" s="48" t="s">
        <v>44</v>
      </c>
      <c r="B401" s="48" t="s">
        <v>30</v>
      </c>
      <c r="C401" s="48" t="s">
        <v>6</v>
      </c>
      <c r="D401" s="48" t="s">
        <v>49</v>
      </c>
      <c r="E401" s="48"/>
      <c r="F401" s="48">
        <v>40758.4</v>
      </c>
      <c r="G401" s="43"/>
      <c r="H401" s="43"/>
      <c r="I401" s="43"/>
    </row>
    <row r="402" ht="12.75" customHeight="1">
      <c r="A402" s="48" t="s">
        <v>44</v>
      </c>
      <c r="B402" s="48" t="s">
        <v>30</v>
      </c>
      <c r="C402" s="48" t="s">
        <v>6</v>
      </c>
      <c r="D402" s="48" t="s">
        <v>50</v>
      </c>
      <c r="E402" s="48"/>
      <c r="F402" s="48">
        <v>2176.1</v>
      </c>
      <c r="G402" s="43"/>
      <c r="H402" s="43"/>
      <c r="I402" s="43"/>
    </row>
    <row r="403" ht="12.75" customHeight="1">
      <c r="A403" s="48" t="s">
        <v>44</v>
      </c>
      <c r="B403" s="48" t="s">
        <v>30</v>
      </c>
      <c r="C403" s="48" t="s">
        <v>5</v>
      </c>
      <c r="D403" s="48" t="s">
        <v>60</v>
      </c>
      <c r="E403" s="48"/>
      <c r="F403" s="48">
        <v>43366.9</v>
      </c>
      <c r="G403" s="43"/>
      <c r="H403" s="43"/>
      <c r="I403" s="43"/>
    </row>
    <row r="404" ht="12.75" customHeight="1">
      <c r="A404" s="48" t="s">
        <v>44</v>
      </c>
      <c r="B404" s="48" t="s">
        <v>30</v>
      </c>
      <c r="C404" s="48" t="s">
        <v>5</v>
      </c>
      <c r="D404" s="48" t="s">
        <v>53</v>
      </c>
      <c r="E404" s="48"/>
      <c r="F404" s="48">
        <v>51967.9</v>
      </c>
      <c r="G404" s="43"/>
      <c r="H404" s="43"/>
      <c r="I404" s="43"/>
    </row>
    <row r="405" ht="12.75" customHeight="1">
      <c r="A405" s="48" t="s">
        <v>44</v>
      </c>
      <c r="B405" s="48" t="s">
        <v>30</v>
      </c>
      <c r="C405" s="48" t="s">
        <v>5</v>
      </c>
      <c r="D405" s="48" t="s">
        <v>8</v>
      </c>
      <c r="E405" s="48"/>
      <c r="F405" s="48">
        <v>28397.4</v>
      </c>
      <c r="G405" s="43"/>
      <c r="H405" s="43"/>
      <c r="I405" s="43"/>
    </row>
    <row r="406" ht="12.75" customHeight="1">
      <c r="A406" s="48" t="s">
        <v>44</v>
      </c>
      <c r="B406" s="48" t="s">
        <v>30</v>
      </c>
      <c r="C406" s="48" t="s">
        <v>5</v>
      </c>
      <c r="D406" s="48" t="s">
        <v>54</v>
      </c>
      <c r="E406" s="48"/>
      <c r="F406" s="48">
        <v>11909.800000000001</v>
      </c>
      <c r="G406" s="43"/>
      <c r="H406" s="43"/>
      <c r="I406" s="43"/>
    </row>
    <row r="407" ht="12.75" customHeight="1">
      <c r="A407" s="48" t="s">
        <v>44</v>
      </c>
      <c r="B407" s="48" t="s">
        <v>30</v>
      </c>
      <c r="C407" s="48" t="s">
        <v>5</v>
      </c>
      <c r="D407" s="48" t="s">
        <v>50</v>
      </c>
      <c r="E407" s="48"/>
      <c r="F407" s="48">
        <v>-5245.2</v>
      </c>
      <c r="G407" s="43"/>
      <c r="H407" s="43"/>
      <c r="I407" s="43"/>
    </row>
    <row r="408" ht="12.75" customHeight="1">
      <c r="A408" s="48" t="s">
        <v>44</v>
      </c>
      <c r="B408" s="48" t="s">
        <v>30</v>
      </c>
      <c r="C408" s="48" t="s">
        <v>5</v>
      </c>
      <c r="D408" s="48" t="s">
        <v>50</v>
      </c>
      <c r="E408" s="48"/>
      <c r="F408" s="48">
        <v>1753.1000000000001</v>
      </c>
      <c r="G408" s="43"/>
      <c r="H408" s="43"/>
      <c r="I408" s="43"/>
    </row>
    <row r="409" ht="12.75" customHeight="1">
      <c r="A409" s="48" t="s">
        <v>44</v>
      </c>
      <c r="B409" s="48" t="s">
        <v>30</v>
      </c>
      <c r="C409" s="48" t="s">
        <v>5</v>
      </c>
      <c r="D409" s="48" t="s">
        <v>50</v>
      </c>
      <c r="E409" s="48"/>
      <c r="F409" s="48">
        <v>18912.8</v>
      </c>
      <c r="G409" s="43"/>
      <c r="H409" s="43"/>
      <c r="I409" s="43"/>
    </row>
    <row r="410" ht="12.75" customHeight="1">
      <c r="A410" s="48" t="s">
        <v>44</v>
      </c>
      <c r="B410" s="48" t="s">
        <v>30</v>
      </c>
      <c r="C410" s="48" t="s">
        <v>5</v>
      </c>
      <c r="D410" s="48" t="s">
        <v>47</v>
      </c>
      <c r="E410" s="48"/>
      <c r="F410" s="48">
        <v>-192.70000000000002</v>
      </c>
      <c r="G410" s="43"/>
      <c r="H410" s="43"/>
      <c r="I410" s="43"/>
    </row>
    <row r="411" ht="12.75" customHeight="1">
      <c r="A411" s="48" t="s">
        <v>44</v>
      </c>
      <c r="B411" s="48" t="s">
        <v>30</v>
      </c>
      <c r="C411" s="48" t="s">
        <v>5</v>
      </c>
      <c r="D411" s="48" t="s">
        <v>47</v>
      </c>
      <c r="E411" s="48"/>
      <c r="F411" s="48">
        <v>170074.2</v>
      </c>
      <c r="G411" s="43"/>
      <c r="H411" s="43"/>
      <c r="I411" s="43"/>
    </row>
    <row r="412" ht="12.75" customHeight="1">
      <c r="A412" s="48" t="s">
        <v>44</v>
      </c>
      <c r="B412" s="48" t="s">
        <v>30</v>
      </c>
      <c r="C412" s="48" t="s">
        <v>5</v>
      </c>
      <c r="D412" s="48" t="s">
        <v>47</v>
      </c>
      <c r="E412" s="48"/>
      <c r="F412" s="48">
        <v>1231.4</v>
      </c>
      <c r="G412" s="43"/>
      <c r="H412" s="43"/>
      <c r="I412" s="43"/>
    </row>
    <row r="413" ht="12.75" customHeight="1">
      <c r="A413" s="48" t="s">
        <v>44</v>
      </c>
      <c r="B413" s="48" t="s">
        <v>30</v>
      </c>
      <c r="C413" s="48" t="s">
        <v>5</v>
      </c>
      <c r="D413" s="48" t="s">
        <v>47</v>
      </c>
      <c r="E413" s="48"/>
      <c r="F413" s="48">
        <v>25793.600000000002</v>
      </c>
      <c r="G413" s="43"/>
      <c r="H413" s="43"/>
      <c r="I413" s="43"/>
    </row>
    <row r="414" ht="12.75" customHeight="1">
      <c r="A414" s="48" t="s">
        <v>44</v>
      </c>
      <c r="B414" s="48" t="s">
        <v>30</v>
      </c>
      <c r="C414" s="48" t="s">
        <v>61</v>
      </c>
      <c r="D414" s="48" t="s">
        <v>54</v>
      </c>
      <c r="E414" s="48"/>
      <c r="F414" s="48">
        <v>11909.800000000001</v>
      </c>
      <c r="G414" s="43"/>
      <c r="H414" s="43"/>
      <c r="I414" s="43"/>
    </row>
    <row r="415" ht="12.75" customHeight="1">
      <c r="A415" s="48" t="s">
        <v>44</v>
      </c>
      <c r="B415" s="48" t="s">
        <v>30</v>
      </c>
      <c r="C415" s="48" t="s">
        <v>61</v>
      </c>
      <c r="D415" s="48" t="s">
        <v>50</v>
      </c>
      <c r="E415" s="48"/>
      <c r="F415" s="48">
        <v>17183.2</v>
      </c>
      <c r="G415" s="43"/>
      <c r="H415" s="43"/>
      <c r="I415" s="43"/>
    </row>
    <row r="416" ht="12.75" customHeight="1">
      <c r="A416" s="48" t="s">
        <v>44</v>
      </c>
      <c r="B416" s="48" t="s">
        <v>30</v>
      </c>
      <c r="C416" s="48" t="s">
        <v>61</v>
      </c>
      <c r="D416" s="48" t="s">
        <v>50</v>
      </c>
      <c r="E416" s="48"/>
      <c r="F416" s="48">
        <v>197.4</v>
      </c>
      <c r="G416" s="43"/>
      <c r="H416" s="43"/>
      <c r="I416" s="43"/>
    </row>
    <row r="417" ht="12.75" customHeight="1">
      <c r="A417" s="48" t="s">
        <v>44</v>
      </c>
      <c r="B417" s="48" t="s">
        <v>30</v>
      </c>
      <c r="C417" s="48" t="s">
        <v>61</v>
      </c>
      <c r="D417" s="48" t="s">
        <v>47</v>
      </c>
      <c r="E417" s="48"/>
      <c r="F417" s="48">
        <v>22376.7</v>
      </c>
      <c r="G417" s="43"/>
      <c r="H417" s="43"/>
      <c r="I417" s="43"/>
    </row>
    <row r="418" ht="12.75" customHeight="1">
      <c r="A418" s="48" t="s">
        <v>44</v>
      </c>
      <c r="B418" s="48" t="s">
        <v>30</v>
      </c>
      <c r="C418" s="48" t="s">
        <v>61</v>
      </c>
      <c r="D418" s="48" t="s">
        <v>47</v>
      </c>
      <c r="E418" s="48"/>
      <c r="F418" s="48">
        <v>83171.2</v>
      </c>
      <c r="G418" s="43"/>
      <c r="H418" s="43"/>
      <c r="I418" s="43"/>
    </row>
    <row r="419" ht="12.75" customHeight="1">
      <c r="A419" s="48" t="s">
        <v>44</v>
      </c>
      <c r="B419" s="48" t="s">
        <v>30</v>
      </c>
      <c r="C419" s="48" t="s">
        <v>61</v>
      </c>
      <c r="D419" s="48" t="s">
        <v>47</v>
      </c>
      <c r="E419" s="48"/>
      <c r="F419" s="48">
        <v>709.7</v>
      </c>
      <c r="G419" s="43"/>
      <c r="H419" s="43"/>
      <c r="I419" s="43"/>
    </row>
    <row r="420" ht="12.75" customHeight="1">
      <c r="A420" s="48" t="s">
        <v>44</v>
      </c>
      <c r="B420" s="48" t="s">
        <v>28</v>
      </c>
      <c r="C420" s="48" t="s">
        <v>45</v>
      </c>
      <c r="D420" s="48" t="s">
        <v>8</v>
      </c>
      <c r="E420" s="48"/>
      <c r="F420" s="48">
        <v>230.3</v>
      </c>
      <c r="G420" s="43"/>
      <c r="H420" s="43"/>
      <c r="I420" s="43"/>
    </row>
    <row r="421" ht="12.75" customHeight="1">
      <c r="A421" s="48" t="s">
        <v>44</v>
      </c>
      <c r="B421" s="48" t="s">
        <v>28</v>
      </c>
      <c r="C421" s="48" t="s">
        <v>45</v>
      </c>
      <c r="D421" s="48" t="s">
        <v>49</v>
      </c>
      <c r="E421" s="48"/>
      <c r="F421" s="48">
        <v>2462.8</v>
      </c>
      <c r="G421" s="43"/>
      <c r="H421" s="43"/>
      <c r="I421" s="43"/>
    </row>
    <row r="422" ht="12.75" customHeight="1">
      <c r="A422" s="48" t="s">
        <v>44</v>
      </c>
      <c r="B422" s="48" t="s">
        <v>28</v>
      </c>
      <c r="C422" s="48" t="s">
        <v>46</v>
      </c>
      <c r="D422" s="48" t="s">
        <v>8</v>
      </c>
      <c r="E422" s="48"/>
      <c r="F422" s="48">
        <v>0.0</v>
      </c>
      <c r="G422" s="43"/>
      <c r="H422" s="43"/>
      <c r="I422" s="43"/>
    </row>
    <row r="423" ht="12.75" customHeight="1">
      <c r="A423" s="48" t="s">
        <v>44</v>
      </c>
      <c r="B423" s="48" t="s">
        <v>28</v>
      </c>
      <c r="C423" s="48" t="s">
        <v>46</v>
      </c>
      <c r="D423" s="48" t="s">
        <v>8</v>
      </c>
      <c r="E423" s="48"/>
      <c r="F423" s="48">
        <v>643.9</v>
      </c>
      <c r="G423" s="43"/>
      <c r="H423" s="43"/>
      <c r="I423" s="43"/>
    </row>
    <row r="424" ht="12.75" customHeight="1">
      <c r="A424" s="48" t="s">
        <v>44</v>
      </c>
      <c r="B424" s="48" t="s">
        <v>28</v>
      </c>
      <c r="C424" s="48" t="s">
        <v>46</v>
      </c>
      <c r="D424" s="48" t="s">
        <v>8</v>
      </c>
      <c r="E424" s="48"/>
      <c r="F424" s="48">
        <v>258.5</v>
      </c>
      <c r="G424" s="43"/>
      <c r="H424" s="43"/>
      <c r="I424" s="43"/>
    </row>
    <row r="425" ht="12.75" customHeight="1">
      <c r="A425" s="48" t="s">
        <v>44</v>
      </c>
      <c r="B425" s="48" t="s">
        <v>28</v>
      </c>
      <c r="C425" s="48" t="s">
        <v>46</v>
      </c>
      <c r="D425" s="48" t="s">
        <v>8</v>
      </c>
      <c r="E425" s="48"/>
      <c r="F425" s="48">
        <v>3487.4</v>
      </c>
      <c r="G425" s="43"/>
      <c r="H425" s="43"/>
      <c r="I425" s="43"/>
    </row>
    <row r="426" ht="12.75" customHeight="1">
      <c r="A426" s="48" t="s">
        <v>44</v>
      </c>
      <c r="B426" s="48" t="s">
        <v>28</v>
      </c>
      <c r="C426" s="48" t="s">
        <v>46</v>
      </c>
      <c r="D426" s="48" t="s">
        <v>54</v>
      </c>
      <c r="E426" s="48"/>
      <c r="F426" s="48">
        <v>0.0</v>
      </c>
      <c r="G426" s="43"/>
      <c r="H426" s="43"/>
      <c r="I426" s="43"/>
    </row>
    <row r="427" ht="12.75" customHeight="1">
      <c r="A427" s="48" t="s">
        <v>44</v>
      </c>
      <c r="B427" s="48" t="s">
        <v>28</v>
      </c>
      <c r="C427" s="48" t="s">
        <v>46</v>
      </c>
      <c r="D427" s="48" t="s">
        <v>54</v>
      </c>
      <c r="E427" s="48"/>
      <c r="F427" s="48">
        <v>0.0</v>
      </c>
      <c r="G427" s="43"/>
      <c r="H427" s="43"/>
      <c r="I427" s="43"/>
    </row>
    <row r="428" ht="12.75" customHeight="1">
      <c r="A428" s="48" t="s">
        <v>44</v>
      </c>
      <c r="B428" s="48" t="s">
        <v>28</v>
      </c>
      <c r="C428" s="48" t="s">
        <v>46</v>
      </c>
      <c r="D428" s="48" t="s">
        <v>47</v>
      </c>
      <c r="E428" s="48"/>
      <c r="F428" s="48">
        <v>0.0</v>
      </c>
      <c r="G428" s="43"/>
      <c r="H428" s="43"/>
      <c r="I428" s="43"/>
    </row>
    <row r="429" ht="12.75" customHeight="1">
      <c r="A429" s="48" t="s">
        <v>44</v>
      </c>
      <c r="B429" s="48" t="s">
        <v>28</v>
      </c>
      <c r="C429" s="48" t="s">
        <v>46</v>
      </c>
      <c r="D429" s="48" t="s">
        <v>47</v>
      </c>
      <c r="E429" s="48"/>
      <c r="F429" s="48">
        <v>0.0</v>
      </c>
      <c r="G429" s="43"/>
      <c r="H429" s="43"/>
      <c r="I429" s="43"/>
    </row>
    <row r="430" ht="12.75" customHeight="1">
      <c r="A430" s="48" t="s">
        <v>44</v>
      </c>
      <c r="B430" s="48" t="s">
        <v>28</v>
      </c>
      <c r="C430" s="48" t="s">
        <v>46</v>
      </c>
      <c r="D430" s="48" t="s">
        <v>47</v>
      </c>
      <c r="E430" s="48"/>
      <c r="F430" s="48">
        <v>9747.800000000001</v>
      </c>
      <c r="G430" s="43"/>
      <c r="H430" s="43"/>
      <c r="I430" s="43"/>
    </row>
    <row r="431" ht="12.75" customHeight="1">
      <c r="A431" s="48" t="s">
        <v>44</v>
      </c>
      <c r="B431" s="48" t="s">
        <v>28</v>
      </c>
      <c r="C431" s="48" t="s">
        <v>46</v>
      </c>
      <c r="D431" s="48" t="s">
        <v>47</v>
      </c>
      <c r="E431" s="48"/>
      <c r="F431" s="48">
        <v>35160.700000000004</v>
      </c>
      <c r="G431" s="43"/>
      <c r="H431" s="43"/>
      <c r="I431" s="43"/>
    </row>
    <row r="432" ht="12.75" customHeight="1">
      <c r="A432" s="48" t="s">
        <v>44</v>
      </c>
      <c r="B432" s="48" t="s">
        <v>28</v>
      </c>
      <c r="C432" s="48" t="s">
        <v>46</v>
      </c>
      <c r="D432" s="48" t="s">
        <v>47</v>
      </c>
      <c r="E432" s="48"/>
      <c r="F432" s="48">
        <v>0.0</v>
      </c>
      <c r="G432" s="43"/>
      <c r="H432" s="43"/>
      <c r="I432" s="43"/>
    </row>
    <row r="433" ht="12.75" customHeight="1">
      <c r="A433" s="48" t="s">
        <v>44</v>
      </c>
      <c r="B433" s="48" t="s">
        <v>28</v>
      </c>
      <c r="C433" s="48" t="s">
        <v>48</v>
      </c>
      <c r="D433" s="48" t="s">
        <v>54</v>
      </c>
      <c r="E433" s="48"/>
      <c r="F433" s="48">
        <v>13761.6</v>
      </c>
      <c r="G433" s="43"/>
      <c r="H433" s="43"/>
      <c r="I433" s="43"/>
    </row>
    <row r="434" ht="12.75" customHeight="1">
      <c r="A434" s="48" t="s">
        <v>44</v>
      </c>
      <c r="B434" s="48" t="s">
        <v>28</v>
      </c>
      <c r="C434" s="48" t="s">
        <v>48</v>
      </c>
      <c r="D434" s="48" t="s">
        <v>49</v>
      </c>
      <c r="E434" s="48"/>
      <c r="F434" s="48">
        <v>361.90000000000003</v>
      </c>
      <c r="G434" s="43"/>
      <c r="H434" s="43"/>
      <c r="I434" s="43"/>
    </row>
    <row r="435" ht="12.75" customHeight="1">
      <c r="A435" s="48" t="s">
        <v>44</v>
      </c>
      <c r="B435" s="48" t="s">
        <v>28</v>
      </c>
      <c r="C435" s="48" t="s">
        <v>48</v>
      </c>
      <c r="D435" s="48" t="s">
        <v>49</v>
      </c>
      <c r="E435" s="48"/>
      <c r="F435" s="48">
        <v>-719.1</v>
      </c>
      <c r="G435" s="43"/>
      <c r="H435" s="43"/>
      <c r="I435" s="43"/>
    </row>
    <row r="436" ht="12.75" customHeight="1">
      <c r="A436" s="48" t="s">
        <v>44</v>
      </c>
      <c r="B436" s="48" t="s">
        <v>28</v>
      </c>
      <c r="C436" s="48" t="s">
        <v>48</v>
      </c>
      <c r="D436" s="48" t="s">
        <v>49</v>
      </c>
      <c r="E436" s="48"/>
      <c r="F436" s="48">
        <v>117.5</v>
      </c>
      <c r="G436" s="43"/>
      <c r="H436" s="43"/>
      <c r="I436" s="43"/>
    </row>
    <row r="437" ht="12.75" customHeight="1">
      <c r="A437" s="48" t="s">
        <v>44</v>
      </c>
      <c r="B437" s="48" t="s">
        <v>28</v>
      </c>
      <c r="C437" s="48" t="s">
        <v>48</v>
      </c>
      <c r="D437" s="48" t="s">
        <v>49</v>
      </c>
      <c r="E437" s="48"/>
      <c r="F437" s="48">
        <v>126.9</v>
      </c>
      <c r="G437" s="43"/>
      <c r="H437" s="43"/>
      <c r="I437" s="43"/>
    </row>
    <row r="438" ht="12.75" customHeight="1">
      <c r="A438" s="48" t="s">
        <v>44</v>
      </c>
      <c r="B438" s="48" t="s">
        <v>28</v>
      </c>
      <c r="C438" s="48" t="s">
        <v>48</v>
      </c>
      <c r="D438" s="48" t="s">
        <v>49</v>
      </c>
      <c r="E438" s="48"/>
      <c r="F438" s="48">
        <v>94.0</v>
      </c>
      <c r="G438" s="43"/>
      <c r="H438" s="43"/>
      <c r="I438" s="43"/>
    </row>
    <row r="439" ht="12.75" customHeight="1">
      <c r="A439" s="48" t="s">
        <v>44</v>
      </c>
      <c r="B439" s="48" t="s">
        <v>28</v>
      </c>
      <c r="C439" s="48" t="s">
        <v>48</v>
      </c>
      <c r="D439" s="48" t="s">
        <v>49</v>
      </c>
      <c r="E439" s="48"/>
      <c r="F439" s="48">
        <v>-3280.6</v>
      </c>
      <c r="G439" s="43"/>
      <c r="H439" s="43"/>
      <c r="I439" s="43"/>
    </row>
    <row r="440" ht="12.75" customHeight="1">
      <c r="A440" s="48" t="s">
        <v>44</v>
      </c>
      <c r="B440" s="48" t="s">
        <v>28</v>
      </c>
      <c r="C440" s="48" t="s">
        <v>48</v>
      </c>
      <c r="D440" s="48" t="s">
        <v>49</v>
      </c>
      <c r="E440" s="48"/>
      <c r="F440" s="48">
        <v>568.7</v>
      </c>
      <c r="G440" s="43"/>
      <c r="H440" s="43"/>
      <c r="I440" s="43"/>
    </row>
    <row r="441" ht="12.75" customHeight="1">
      <c r="A441" s="48" t="s">
        <v>44</v>
      </c>
      <c r="B441" s="48" t="s">
        <v>28</v>
      </c>
      <c r="C441" s="48" t="s">
        <v>48</v>
      </c>
      <c r="D441" s="48" t="s">
        <v>50</v>
      </c>
      <c r="E441" s="48"/>
      <c r="F441" s="48">
        <v>7294.400000000001</v>
      </c>
      <c r="G441" s="43"/>
      <c r="H441" s="43"/>
      <c r="I441" s="43"/>
    </row>
    <row r="442" ht="12.75" customHeight="1">
      <c r="A442" s="48" t="s">
        <v>44</v>
      </c>
      <c r="B442" s="48" t="s">
        <v>28</v>
      </c>
      <c r="C442" s="48" t="s">
        <v>48</v>
      </c>
      <c r="D442" s="48" t="s">
        <v>50</v>
      </c>
      <c r="E442" s="48"/>
      <c r="F442" s="48">
        <v>10932.2</v>
      </c>
      <c r="G442" s="43"/>
      <c r="H442" s="43"/>
      <c r="I442" s="43"/>
    </row>
    <row r="443" ht="12.75" customHeight="1">
      <c r="A443" s="48" t="s">
        <v>44</v>
      </c>
      <c r="B443" s="48" t="s">
        <v>28</v>
      </c>
      <c r="C443" s="48" t="s">
        <v>48</v>
      </c>
      <c r="D443" s="48" t="s">
        <v>47</v>
      </c>
      <c r="E443" s="48"/>
      <c r="F443" s="48">
        <v>86705.6</v>
      </c>
      <c r="G443" s="43"/>
      <c r="H443" s="43"/>
      <c r="I443" s="43"/>
    </row>
    <row r="444" ht="12.75" customHeight="1">
      <c r="A444" s="48" t="s">
        <v>44</v>
      </c>
      <c r="B444" s="48" t="s">
        <v>28</v>
      </c>
      <c r="C444" s="48" t="s">
        <v>48</v>
      </c>
      <c r="D444" s="48" t="s">
        <v>47</v>
      </c>
      <c r="E444" s="48"/>
      <c r="F444" s="48">
        <v>-86705.6</v>
      </c>
      <c r="G444" s="43"/>
      <c r="H444" s="43"/>
      <c r="I444" s="43"/>
    </row>
    <row r="445" ht="12.75" customHeight="1">
      <c r="A445" s="48" t="s">
        <v>44</v>
      </c>
      <c r="B445" s="48" t="s">
        <v>28</v>
      </c>
      <c r="C445" s="48" t="s">
        <v>28</v>
      </c>
      <c r="D445" s="48" t="s">
        <v>54</v>
      </c>
      <c r="E445" s="48"/>
      <c r="F445" s="48">
        <v>-1184.4</v>
      </c>
      <c r="G445" s="43"/>
      <c r="H445" s="43"/>
      <c r="I445" s="43"/>
    </row>
    <row r="446" ht="12.75" customHeight="1">
      <c r="A446" s="48" t="s">
        <v>44</v>
      </c>
      <c r="B446" s="48" t="s">
        <v>28</v>
      </c>
      <c r="C446" s="48" t="s">
        <v>28</v>
      </c>
      <c r="D446" s="48" t="s">
        <v>47</v>
      </c>
      <c r="E446" s="48"/>
      <c r="F446" s="48">
        <v>-16224.400000000001</v>
      </c>
      <c r="G446" s="43"/>
      <c r="H446" s="43"/>
      <c r="I446" s="43"/>
    </row>
    <row r="447" ht="12.75" customHeight="1">
      <c r="A447" s="48" t="s">
        <v>44</v>
      </c>
      <c r="B447" s="48" t="s">
        <v>28</v>
      </c>
      <c r="C447" s="48" t="s">
        <v>51</v>
      </c>
      <c r="D447" s="48" t="s">
        <v>8</v>
      </c>
      <c r="E447" s="48"/>
      <c r="F447" s="48">
        <v>0.0</v>
      </c>
      <c r="G447" s="43"/>
      <c r="H447" s="43"/>
      <c r="I447" s="43"/>
    </row>
    <row r="448" ht="12.75" customHeight="1">
      <c r="A448" s="48" t="s">
        <v>44</v>
      </c>
      <c r="B448" s="48" t="s">
        <v>28</v>
      </c>
      <c r="C448" s="48" t="s">
        <v>51</v>
      </c>
      <c r="D448" s="48" t="s">
        <v>6</v>
      </c>
      <c r="E448" s="48"/>
      <c r="F448" s="48">
        <v>0.0</v>
      </c>
      <c r="G448" s="43"/>
      <c r="H448" s="43"/>
      <c r="I448" s="43"/>
    </row>
    <row r="449" ht="12.75" customHeight="1">
      <c r="A449" s="48" t="s">
        <v>44</v>
      </c>
      <c r="B449" s="48" t="s">
        <v>28</v>
      </c>
      <c r="C449" s="48" t="s">
        <v>51</v>
      </c>
      <c r="D449" s="48" t="s">
        <v>54</v>
      </c>
      <c r="E449" s="48"/>
      <c r="F449" s="48">
        <v>14100.0</v>
      </c>
      <c r="G449" s="43"/>
      <c r="H449" s="43"/>
      <c r="I449" s="43"/>
    </row>
    <row r="450" ht="12.75" customHeight="1">
      <c r="A450" s="48" t="s">
        <v>44</v>
      </c>
      <c r="B450" s="48" t="s">
        <v>28</v>
      </c>
      <c r="C450" s="48" t="s">
        <v>51</v>
      </c>
      <c r="D450" s="48" t="s">
        <v>54</v>
      </c>
      <c r="E450" s="48"/>
      <c r="F450" s="48">
        <v>2448.7000000000003</v>
      </c>
      <c r="G450" s="43"/>
      <c r="H450" s="43"/>
      <c r="I450" s="43"/>
    </row>
    <row r="451" ht="12.75" customHeight="1">
      <c r="A451" s="48" t="s">
        <v>44</v>
      </c>
      <c r="B451" s="48" t="s">
        <v>28</v>
      </c>
      <c r="C451" s="48" t="s">
        <v>51</v>
      </c>
      <c r="D451" s="48" t="s">
        <v>54</v>
      </c>
      <c r="E451" s="48"/>
      <c r="F451" s="48">
        <v>0.0</v>
      </c>
      <c r="G451" s="43"/>
      <c r="H451" s="43"/>
      <c r="I451" s="43"/>
    </row>
    <row r="452" ht="12.75" customHeight="1">
      <c r="A452" s="48" t="s">
        <v>44</v>
      </c>
      <c r="B452" s="48" t="s">
        <v>28</v>
      </c>
      <c r="C452" s="48" t="s">
        <v>51</v>
      </c>
      <c r="D452" s="48" t="s">
        <v>54</v>
      </c>
      <c r="E452" s="48"/>
      <c r="F452" s="48">
        <v>13761.6</v>
      </c>
      <c r="G452" s="43"/>
      <c r="H452" s="43"/>
      <c r="I452" s="43"/>
    </row>
    <row r="453" ht="12.75" customHeight="1">
      <c r="A453" s="48" t="s">
        <v>44</v>
      </c>
      <c r="B453" s="48" t="s">
        <v>28</v>
      </c>
      <c r="C453" s="48" t="s">
        <v>51</v>
      </c>
      <c r="D453" s="48" t="s">
        <v>50</v>
      </c>
      <c r="E453" s="48"/>
      <c r="F453" s="48">
        <v>0.0</v>
      </c>
      <c r="G453" s="43"/>
      <c r="H453" s="43"/>
      <c r="I453" s="43"/>
    </row>
    <row r="454" ht="12.75" customHeight="1">
      <c r="A454" s="48" t="s">
        <v>44</v>
      </c>
      <c r="B454" s="48" t="s">
        <v>28</v>
      </c>
      <c r="C454" s="48" t="s">
        <v>51</v>
      </c>
      <c r="D454" s="48" t="s">
        <v>50</v>
      </c>
      <c r="E454" s="48"/>
      <c r="F454" s="48">
        <v>2209.0</v>
      </c>
      <c r="G454" s="43"/>
      <c r="H454" s="43"/>
      <c r="I454" s="43"/>
    </row>
    <row r="455" ht="12.75" customHeight="1">
      <c r="A455" s="48" t="s">
        <v>44</v>
      </c>
      <c r="B455" s="48" t="s">
        <v>28</v>
      </c>
      <c r="C455" s="48" t="s">
        <v>51</v>
      </c>
      <c r="D455" s="48" t="s">
        <v>50</v>
      </c>
      <c r="E455" s="48"/>
      <c r="F455" s="48">
        <v>10932.2</v>
      </c>
      <c r="G455" s="43"/>
      <c r="H455" s="43"/>
      <c r="I455" s="43"/>
    </row>
    <row r="456" ht="12.75" customHeight="1">
      <c r="A456" s="48" t="s">
        <v>44</v>
      </c>
      <c r="B456" s="48" t="s">
        <v>28</v>
      </c>
      <c r="C456" s="48" t="s">
        <v>51</v>
      </c>
      <c r="D456" s="48" t="s">
        <v>50</v>
      </c>
      <c r="E456" s="48"/>
      <c r="F456" s="48">
        <v>3835.2000000000003</v>
      </c>
      <c r="G456" s="43"/>
      <c r="H456" s="43"/>
      <c r="I456" s="43"/>
    </row>
    <row r="457" ht="12.75" customHeight="1">
      <c r="A457" s="48" t="s">
        <v>44</v>
      </c>
      <c r="B457" s="48" t="s">
        <v>28</v>
      </c>
      <c r="C457" s="48" t="s">
        <v>51</v>
      </c>
      <c r="D457" s="48" t="s">
        <v>47</v>
      </c>
      <c r="E457" s="48"/>
      <c r="F457" s="48">
        <v>164918.30000000002</v>
      </c>
      <c r="G457" s="43"/>
      <c r="H457" s="43"/>
      <c r="I457" s="43"/>
    </row>
    <row r="458" ht="12.75" customHeight="1">
      <c r="A458" s="48" t="s">
        <v>44</v>
      </c>
      <c r="B458" s="48" t="s">
        <v>28</v>
      </c>
      <c r="C458" s="48" t="s">
        <v>51</v>
      </c>
      <c r="D458" s="48" t="s">
        <v>47</v>
      </c>
      <c r="E458" s="48"/>
      <c r="F458" s="48">
        <v>526.4</v>
      </c>
      <c r="G458" s="43"/>
      <c r="H458" s="43"/>
      <c r="I458" s="43"/>
    </row>
    <row r="459" ht="12.75" customHeight="1">
      <c r="A459" s="48" t="s">
        <v>44</v>
      </c>
      <c r="B459" s="48" t="s">
        <v>28</v>
      </c>
      <c r="C459" s="48" t="s">
        <v>55</v>
      </c>
      <c r="D459" s="48" t="s">
        <v>54</v>
      </c>
      <c r="E459" s="48"/>
      <c r="F459" s="48">
        <v>968.2</v>
      </c>
      <c r="G459" s="43"/>
      <c r="H459" s="43"/>
      <c r="I459" s="43"/>
    </row>
    <row r="460" ht="12.75" customHeight="1">
      <c r="A460" s="48" t="s">
        <v>44</v>
      </c>
      <c r="B460" s="48" t="s">
        <v>28</v>
      </c>
      <c r="C460" s="48" t="s">
        <v>54</v>
      </c>
      <c r="D460" s="48" t="s">
        <v>8</v>
      </c>
      <c r="E460" s="48"/>
      <c r="F460" s="48">
        <v>2646.1</v>
      </c>
      <c r="G460" s="43"/>
      <c r="H460" s="43"/>
      <c r="I460" s="43"/>
    </row>
    <row r="461" ht="12.75" customHeight="1">
      <c r="A461" s="48" t="s">
        <v>44</v>
      </c>
      <c r="B461" s="48" t="s">
        <v>28</v>
      </c>
      <c r="C461" s="48" t="s">
        <v>54</v>
      </c>
      <c r="D461" s="48" t="s">
        <v>54</v>
      </c>
      <c r="E461" s="48"/>
      <c r="F461" s="48">
        <v>0.0</v>
      </c>
      <c r="G461" s="43"/>
      <c r="H461" s="43"/>
      <c r="I461" s="43"/>
    </row>
    <row r="462" ht="12.75" customHeight="1">
      <c r="A462" s="48" t="s">
        <v>44</v>
      </c>
      <c r="B462" s="48" t="s">
        <v>28</v>
      </c>
      <c r="C462" s="48" t="s">
        <v>54</v>
      </c>
      <c r="D462" s="48" t="s">
        <v>54</v>
      </c>
      <c r="E462" s="48"/>
      <c r="F462" s="48">
        <v>4032.6000000000004</v>
      </c>
      <c r="G462" s="43"/>
      <c r="H462" s="43"/>
      <c r="I462" s="43"/>
    </row>
    <row r="463" ht="12.75" customHeight="1">
      <c r="A463" s="48" t="s">
        <v>44</v>
      </c>
      <c r="B463" s="48" t="s">
        <v>28</v>
      </c>
      <c r="C463" s="48" t="s">
        <v>54</v>
      </c>
      <c r="D463" s="48" t="s">
        <v>54</v>
      </c>
      <c r="E463" s="48"/>
      <c r="F463" s="48">
        <v>7595.200000000001</v>
      </c>
      <c r="G463" s="43"/>
      <c r="H463" s="43"/>
      <c r="I463" s="43"/>
    </row>
    <row r="464" ht="12.75" customHeight="1">
      <c r="A464" s="48" t="s">
        <v>44</v>
      </c>
      <c r="B464" s="48" t="s">
        <v>28</v>
      </c>
      <c r="C464" s="48" t="s">
        <v>54</v>
      </c>
      <c r="D464" s="48" t="s">
        <v>54</v>
      </c>
      <c r="E464" s="48"/>
      <c r="F464" s="48">
        <v>18221.9</v>
      </c>
      <c r="G464" s="43"/>
      <c r="H464" s="43"/>
      <c r="I464" s="43"/>
    </row>
    <row r="465" ht="12.75" customHeight="1">
      <c r="A465" s="48" t="s">
        <v>44</v>
      </c>
      <c r="B465" s="48" t="s">
        <v>28</v>
      </c>
      <c r="C465" s="48" t="s">
        <v>54</v>
      </c>
      <c r="D465" s="48" t="s">
        <v>54</v>
      </c>
      <c r="E465" s="48"/>
      <c r="F465" s="48">
        <v>634.5</v>
      </c>
      <c r="G465" s="43"/>
      <c r="H465" s="43"/>
      <c r="I465" s="43"/>
    </row>
    <row r="466" ht="12.75" customHeight="1">
      <c r="A466" s="48" t="s">
        <v>44</v>
      </c>
      <c r="B466" s="48" t="s">
        <v>28</v>
      </c>
      <c r="C466" s="48" t="s">
        <v>54</v>
      </c>
      <c r="D466" s="48" t="s">
        <v>54</v>
      </c>
      <c r="E466" s="48"/>
      <c r="F466" s="48">
        <v>846.0</v>
      </c>
      <c r="G466" s="43"/>
      <c r="H466" s="43"/>
      <c r="I466" s="43"/>
    </row>
    <row r="467" ht="12.75" customHeight="1">
      <c r="A467" s="48" t="s">
        <v>44</v>
      </c>
      <c r="B467" s="48" t="s">
        <v>28</v>
      </c>
      <c r="C467" s="48" t="s">
        <v>54</v>
      </c>
      <c r="D467" s="48" t="s">
        <v>54</v>
      </c>
      <c r="E467" s="48"/>
      <c r="F467" s="48">
        <v>648.6</v>
      </c>
      <c r="G467" s="43"/>
      <c r="H467" s="43"/>
      <c r="I467" s="43"/>
    </row>
    <row r="468" ht="12.75" customHeight="1">
      <c r="A468" s="48" t="s">
        <v>44</v>
      </c>
      <c r="B468" s="48" t="s">
        <v>28</v>
      </c>
      <c r="C468" s="48" t="s">
        <v>54</v>
      </c>
      <c r="D468" s="48" t="s">
        <v>54</v>
      </c>
      <c r="E468" s="48"/>
      <c r="F468" s="48">
        <v>1231.4</v>
      </c>
      <c r="G468" s="43"/>
      <c r="H468" s="43"/>
      <c r="I468" s="43"/>
    </row>
    <row r="469" ht="12.75" customHeight="1">
      <c r="A469" s="48" t="s">
        <v>44</v>
      </c>
      <c r="B469" s="48" t="s">
        <v>28</v>
      </c>
      <c r="C469" s="48" t="s">
        <v>54</v>
      </c>
      <c r="D469" s="48" t="s">
        <v>54</v>
      </c>
      <c r="E469" s="48"/>
      <c r="F469" s="48">
        <v>2138.5</v>
      </c>
      <c r="G469" s="43"/>
      <c r="H469" s="43"/>
      <c r="I469" s="43"/>
    </row>
    <row r="470" ht="12.75" customHeight="1">
      <c r="A470" s="48" t="s">
        <v>44</v>
      </c>
      <c r="B470" s="48" t="s">
        <v>28</v>
      </c>
      <c r="C470" s="48" t="s">
        <v>54</v>
      </c>
      <c r="D470" s="48" t="s">
        <v>54</v>
      </c>
      <c r="E470" s="48"/>
      <c r="F470" s="48">
        <v>13818.0</v>
      </c>
      <c r="G470" s="43"/>
      <c r="H470" s="43"/>
      <c r="I470" s="43"/>
    </row>
    <row r="471" ht="12.75" customHeight="1">
      <c r="A471" s="48" t="s">
        <v>44</v>
      </c>
      <c r="B471" s="48" t="s">
        <v>28</v>
      </c>
      <c r="C471" s="48" t="s">
        <v>54</v>
      </c>
      <c r="D471" s="48" t="s">
        <v>54</v>
      </c>
      <c r="E471" s="48"/>
      <c r="F471" s="48">
        <v>10927.5</v>
      </c>
      <c r="G471" s="43"/>
      <c r="H471" s="43"/>
      <c r="I471" s="43"/>
    </row>
    <row r="472" ht="12.75" customHeight="1">
      <c r="A472" s="48" t="s">
        <v>44</v>
      </c>
      <c r="B472" s="48" t="s">
        <v>28</v>
      </c>
      <c r="C472" s="48" t="s">
        <v>54</v>
      </c>
      <c r="D472" s="48" t="s">
        <v>54</v>
      </c>
      <c r="E472" s="48"/>
      <c r="F472" s="48">
        <v>11350.5</v>
      </c>
      <c r="G472" s="43"/>
      <c r="H472" s="43"/>
      <c r="I472" s="43"/>
    </row>
    <row r="473" ht="12.75" customHeight="1">
      <c r="A473" s="48" t="s">
        <v>44</v>
      </c>
      <c r="B473" s="48" t="s">
        <v>28</v>
      </c>
      <c r="C473" s="48" t="s">
        <v>54</v>
      </c>
      <c r="D473" s="48" t="s">
        <v>54</v>
      </c>
      <c r="E473" s="48"/>
      <c r="F473" s="48">
        <v>19716.5</v>
      </c>
      <c r="G473" s="43"/>
      <c r="H473" s="43"/>
      <c r="I473" s="43"/>
    </row>
    <row r="474" ht="12.75" customHeight="1">
      <c r="A474" s="48" t="s">
        <v>44</v>
      </c>
      <c r="B474" s="48" t="s">
        <v>28</v>
      </c>
      <c r="C474" s="48" t="s">
        <v>54</v>
      </c>
      <c r="D474" s="48" t="s">
        <v>54</v>
      </c>
      <c r="E474" s="48"/>
      <c r="F474" s="48">
        <v>188.0</v>
      </c>
      <c r="G474" s="43"/>
      <c r="H474" s="43"/>
      <c r="I474" s="43"/>
    </row>
    <row r="475" ht="12.75" customHeight="1">
      <c r="A475" s="48" t="s">
        <v>44</v>
      </c>
      <c r="B475" s="48" t="s">
        <v>28</v>
      </c>
      <c r="C475" s="48" t="s">
        <v>54</v>
      </c>
      <c r="D475" s="48" t="s">
        <v>54</v>
      </c>
      <c r="E475" s="48"/>
      <c r="F475" s="48">
        <v>339612.60000000003</v>
      </c>
      <c r="G475" s="43"/>
      <c r="H475" s="43"/>
      <c r="I475" s="43"/>
    </row>
    <row r="476" ht="12.75" customHeight="1">
      <c r="A476" s="48" t="s">
        <v>44</v>
      </c>
      <c r="B476" s="48" t="s">
        <v>28</v>
      </c>
      <c r="C476" s="48" t="s">
        <v>54</v>
      </c>
      <c r="D476" s="48" t="s">
        <v>54</v>
      </c>
      <c r="E476" s="48"/>
      <c r="F476" s="48">
        <v>888.3000000000001</v>
      </c>
      <c r="G476" s="43"/>
      <c r="H476" s="43"/>
      <c r="I476" s="43"/>
    </row>
    <row r="477" ht="12.75" customHeight="1">
      <c r="A477" s="48" t="s">
        <v>44</v>
      </c>
      <c r="B477" s="48" t="s">
        <v>28</v>
      </c>
      <c r="C477" s="48" t="s">
        <v>54</v>
      </c>
      <c r="D477" s="48" t="s">
        <v>54</v>
      </c>
      <c r="E477" s="48"/>
      <c r="F477" s="48">
        <v>418.3</v>
      </c>
      <c r="G477" s="43"/>
      <c r="H477" s="43"/>
      <c r="I477" s="43"/>
    </row>
    <row r="478" ht="12.75" customHeight="1">
      <c r="A478" s="48" t="s">
        <v>44</v>
      </c>
      <c r="B478" s="48" t="s">
        <v>28</v>
      </c>
      <c r="C478" s="48" t="s">
        <v>54</v>
      </c>
      <c r="D478" s="48" t="s">
        <v>54</v>
      </c>
      <c r="E478" s="48"/>
      <c r="F478" s="48">
        <v>1363.0</v>
      </c>
      <c r="G478" s="43"/>
      <c r="H478" s="43"/>
      <c r="I478" s="43"/>
    </row>
    <row r="479" ht="12.75" customHeight="1">
      <c r="A479" s="48" t="s">
        <v>44</v>
      </c>
      <c r="B479" s="48" t="s">
        <v>28</v>
      </c>
      <c r="C479" s="48" t="s">
        <v>54</v>
      </c>
      <c r="D479" s="48" t="s">
        <v>54</v>
      </c>
      <c r="E479" s="48"/>
      <c r="F479" s="48">
        <v>-578645.2000000001</v>
      </c>
      <c r="G479" s="43"/>
      <c r="H479" s="43"/>
      <c r="I479" s="43"/>
    </row>
    <row r="480" ht="12.75" customHeight="1">
      <c r="A480" s="48" t="s">
        <v>44</v>
      </c>
      <c r="B480" s="48" t="s">
        <v>28</v>
      </c>
      <c r="C480" s="48" t="s">
        <v>54</v>
      </c>
      <c r="D480" s="48" t="s">
        <v>54</v>
      </c>
      <c r="E480" s="48"/>
      <c r="F480" s="48">
        <v>648.6</v>
      </c>
      <c r="G480" s="43"/>
      <c r="H480" s="43"/>
      <c r="I480" s="43"/>
    </row>
    <row r="481" ht="12.75" customHeight="1">
      <c r="A481" s="48" t="s">
        <v>44</v>
      </c>
      <c r="B481" s="48" t="s">
        <v>28</v>
      </c>
      <c r="C481" s="48" t="s">
        <v>54</v>
      </c>
      <c r="D481" s="48" t="s">
        <v>54</v>
      </c>
      <c r="E481" s="48"/>
      <c r="F481" s="48">
        <v>10152.0</v>
      </c>
      <c r="G481" s="43"/>
      <c r="H481" s="43"/>
      <c r="I481" s="43"/>
    </row>
    <row r="482" ht="12.75" customHeight="1">
      <c r="A482" s="48" t="s">
        <v>44</v>
      </c>
      <c r="B482" s="48" t="s">
        <v>28</v>
      </c>
      <c r="C482" s="48" t="s">
        <v>54</v>
      </c>
      <c r="D482" s="48" t="s">
        <v>54</v>
      </c>
      <c r="E482" s="48"/>
      <c r="F482" s="48">
        <v>32345.4</v>
      </c>
      <c r="G482" s="43"/>
      <c r="H482" s="43"/>
      <c r="I482" s="43"/>
    </row>
    <row r="483" ht="12.75" customHeight="1">
      <c r="A483" s="48" t="s">
        <v>44</v>
      </c>
      <c r="B483" s="48" t="s">
        <v>28</v>
      </c>
      <c r="C483" s="48" t="s">
        <v>54</v>
      </c>
      <c r="D483" s="48" t="s">
        <v>54</v>
      </c>
      <c r="E483" s="48"/>
      <c r="F483" s="48">
        <v>0.0</v>
      </c>
      <c r="G483" s="43"/>
      <c r="H483" s="43"/>
      <c r="I483" s="43"/>
    </row>
    <row r="484" ht="12.75" customHeight="1">
      <c r="A484" s="48" t="s">
        <v>44</v>
      </c>
      <c r="B484" s="48" t="s">
        <v>28</v>
      </c>
      <c r="C484" s="48" t="s">
        <v>54</v>
      </c>
      <c r="D484" s="48" t="s">
        <v>54</v>
      </c>
      <c r="E484" s="48"/>
      <c r="F484" s="48">
        <v>662.7</v>
      </c>
      <c r="G484" s="43"/>
      <c r="H484" s="43"/>
      <c r="I484" s="43"/>
    </row>
    <row r="485" ht="12.75" customHeight="1">
      <c r="A485" s="48" t="s">
        <v>44</v>
      </c>
      <c r="B485" s="48" t="s">
        <v>28</v>
      </c>
      <c r="C485" s="48" t="s">
        <v>54</v>
      </c>
      <c r="D485" s="48" t="s">
        <v>54</v>
      </c>
      <c r="E485" s="48"/>
      <c r="F485" s="48">
        <v>-206.8</v>
      </c>
      <c r="G485" s="43"/>
      <c r="H485" s="43"/>
      <c r="I485" s="43"/>
    </row>
    <row r="486" ht="12.75" customHeight="1">
      <c r="A486" s="48" t="s">
        <v>44</v>
      </c>
      <c r="B486" s="48" t="s">
        <v>28</v>
      </c>
      <c r="C486" s="48" t="s">
        <v>54</v>
      </c>
      <c r="D486" s="48" t="s">
        <v>54</v>
      </c>
      <c r="E486" s="48"/>
      <c r="F486" s="48">
        <v>225.60000000000002</v>
      </c>
      <c r="G486" s="43"/>
      <c r="H486" s="43"/>
      <c r="I486" s="43"/>
    </row>
    <row r="487" ht="12.75" customHeight="1">
      <c r="A487" s="48" t="s">
        <v>44</v>
      </c>
      <c r="B487" s="48" t="s">
        <v>28</v>
      </c>
      <c r="C487" s="48" t="s">
        <v>54</v>
      </c>
      <c r="D487" s="48" t="s">
        <v>54</v>
      </c>
      <c r="E487" s="48"/>
      <c r="F487" s="48">
        <v>1659.1000000000001</v>
      </c>
      <c r="G487" s="43"/>
      <c r="H487" s="43"/>
      <c r="I487" s="43"/>
    </row>
    <row r="488" ht="12.75" customHeight="1">
      <c r="A488" s="48" t="s">
        <v>44</v>
      </c>
      <c r="B488" s="48" t="s">
        <v>28</v>
      </c>
      <c r="C488" s="48" t="s">
        <v>54</v>
      </c>
      <c r="D488" s="48" t="s">
        <v>54</v>
      </c>
      <c r="E488" s="48"/>
      <c r="F488" s="48">
        <v>0.0</v>
      </c>
      <c r="G488" s="43"/>
      <c r="H488" s="43"/>
      <c r="I488" s="43"/>
    </row>
    <row r="489" ht="12.75" customHeight="1">
      <c r="A489" s="48" t="s">
        <v>44</v>
      </c>
      <c r="B489" s="48" t="s">
        <v>28</v>
      </c>
      <c r="C489" s="48" t="s">
        <v>54</v>
      </c>
      <c r="D489" s="48" t="s">
        <v>54</v>
      </c>
      <c r="E489" s="48"/>
      <c r="F489" s="48">
        <v>282.0</v>
      </c>
      <c r="G489" s="43"/>
      <c r="H489" s="43"/>
      <c r="I489" s="43"/>
    </row>
    <row r="490" ht="12.75" customHeight="1">
      <c r="A490" s="48" t="s">
        <v>44</v>
      </c>
      <c r="B490" s="48" t="s">
        <v>28</v>
      </c>
      <c r="C490" s="48" t="s">
        <v>54</v>
      </c>
      <c r="D490" s="48" t="s">
        <v>54</v>
      </c>
      <c r="E490" s="48"/>
      <c r="F490" s="48">
        <v>3492.1</v>
      </c>
      <c r="G490" s="43"/>
      <c r="H490" s="43"/>
      <c r="I490" s="43"/>
    </row>
    <row r="491" ht="12.75" customHeight="1">
      <c r="A491" s="48" t="s">
        <v>44</v>
      </c>
      <c r="B491" s="48" t="s">
        <v>28</v>
      </c>
      <c r="C491" s="48" t="s">
        <v>54</v>
      </c>
      <c r="D491" s="48" t="s">
        <v>54</v>
      </c>
      <c r="E491" s="48"/>
      <c r="F491" s="48">
        <v>11768.800000000001</v>
      </c>
      <c r="G491" s="43"/>
      <c r="H491" s="43"/>
      <c r="I491" s="43"/>
    </row>
    <row r="492" ht="12.75" customHeight="1">
      <c r="A492" s="48" t="s">
        <v>44</v>
      </c>
      <c r="B492" s="48" t="s">
        <v>28</v>
      </c>
      <c r="C492" s="48" t="s">
        <v>54</v>
      </c>
      <c r="D492" s="48" t="s">
        <v>54</v>
      </c>
      <c r="E492" s="48"/>
      <c r="F492" s="48">
        <v>0.0</v>
      </c>
      <c r="G492" s="43"/>
      <c r="H492" s="43"/>
      <c r="I492" s="43"/>
    </row>
    <row r="493" ht="12.75" customHeight="1">
      <c r="A493" s="48" t="s">
        <v>44</v>
      </c>
      <c r="B493" s="48" t="s">
        <v>28</v>
      </c>
      <c r="C493" s="48" t="s">
        <v>54</v>
      </c>
      <c r="D493" s="48" t="s">
        <v>54</v>
      </c>
      <c r="E493" s="48"/>
      <c r="F493" s="48">
        <v>5221.7</v>
      </c>
      <c r="G493" s="43"/>
      <c r="H493" s="43"/>
      <c r="I493" s="43"/>
    </row>
    <row r="494" ht="12.75" customHeight="1">
      <c r="A494" s="48" t="s">
        <v>44</v>
      </c>
      <c r="B494" s="48" t="s">
        <v>28</v>
      </c>
      <c r="C494" s="48" t="s">
        <v>54</v>
      </c>
      <c r="D494" s="48" t="s">
        <v>49</v>
      </c>
      <c r="E494" s="48"/>
      <c r="F494" s="48">
        <v>681.5</v>
      </c>
      <c r="G494" s="43"/>
      <c r="H494" s="43"/>
      <c r="I494" s="43"/>
    </row>
    <row r="495" ht="12.75" customHeight="1">
      <c r="A495" s="48" t="s">
        <v>44</v>
      </c>
      <c r="B495" s="48" t="s">
        <v>28</v>
      </c>
      <c r="C495" s="48" t="s">
        <v>54</v>
      </c>
      <c r="D495" s="48" t="s">
        <v>49</v>
      </c>
      <c r="E495" s="48"/>
      <c r="F495" s="48">
        <v>94.0</v>
      </c>
      <c r="G495" s="43"/>
      <c r="H495" s="43"/>
      <c r="I495" s="43"/>
    </row>
    <row r="496" ht="12.75" customHeight="1">
      <c r="A496" s="48" t="s">
        <v>44</v>
      </c>
      <c r="B496" s="48" t="s">
        <v>28</v>
      </c>
      <c r="C496" s="48" t="s">
        <v>54</v>
      </c>
      <c r="D496" s="48" t="s">
        <v>49</v>
      </c>
      <c r="E496" s="48"/>
      <c r="F496" s="48">
        <v>188.0</v>
      </c>
      <c r="G496" s="43"/>
      <c r="H496" s="43"/>
      <c r="I496" s="43"/>
    </row>
    <row r="497" ht="12.75" customHeight="1">
      <c r="A497" s="48" t="s">
        <v>44</v>
      </c>
      <c r="B497" s="48" t="s">
        <v>28</v>
      </c>
      <c r="C497" s="48" t="s">
        <v>54</v>
      </c>
      <c r="D497" s="48" t="s">
        <v>47</v>
      </c>
      <c r="E497" s="48"/>
      <c r="F497" s="48">
        <v>8854.800000000001</v>
      </c>
      <c r="G497" s="43"/>
      <c r="H497" s="43"/>
      <c r="I497" s="43"/>
    </row>
    <row r="498" ht="12.75" customHeight="1">
      <c r="A498" s="48" t="s">
        <v>44</v>
      </c>
      <c r="B498" s="48" t="s">
        <v>28</v>
      </c>
      <c r="C498" s="48" t="s">
        <v>54</v>
      </c>
      <c r="D498" s="48" t="s">
        <v>47</v>
      </c>
      <c r="E498" s="48"/>
      <c r="F498" s="48">
        <v>54228.6</v>
      </c>
      <c r="G498" s="43"/>
      <c r="H498" s="43"/>
      <c r="I498" s="43"/>
    </row>
    <row r="499" ht="12.75" customHeight="1">
      <c r="A499" s="48" t="s">
        <v>44</v>
      </c>
      <c r="B499" s="48" t="s">
        <v>28</v>
      </c>
      <c r="C499" s="48" t="s">
        <v>54</v>
      </c>
      <c r="D499" s="48" t="s">
        <v>47</v>
      </c>
      <c r="E499" s="48"/>
      <c r="F499" s="48">
        <v>0.0</v>
      </c>
      <c r="G499" s="43"/>
      <c r="H499" s="43"/>
      <c r="I499" s="43"/>
    </row>
    <row r="500" ht="12.75" customHeight="1">
      <c r="A500" s="48" t="s">
        <v>44</v>
      </c>
      <c r="B500" s="48" t="s">
        <v>28</v>
      </c>
      <c r="C500" s="48" t="s">
        <v>54</v>
      </c>
      <c r="D500" s="48" t="s">
        <v>47</v>
      </c>
      <c r="E500" s="48"/>
      <c r="F500" s="48">
        <v>0.0</v>
      </c>
      <c r="G500" s="43"/>
      <c r="H500" s="43"/>
      <c r="I500" s="43"/>
    </row>
    <row r="501" ht="12.75" customHeight="1">
      <c r="A501" s="48" t="s">
        <v>44</v>
      </c>
      <c r="B501" s="48" t="s">
        <v>28</v>
      </c>
      <c r="C501" s="48" t="s">
        <v>54</v>
      </c>
      <c r="D501" s="48" t="s">
        <v>47</v>
      </c>
      <c r="E501" s="48"/>
      <c r="F501" s="48">
        <v>2237.2000000000003</v>
      </c>
      <c r="G501" s="43"/>
      <c r="H501" s="43"/>
      <c r="I501" s="43"/>
    </row>
    <row r="502" ht="12.75" customHeight="1">
      <c r="A502" s="48" t="s">
        <v>44</v>
      </c>
      <c r="B502" s="48" t="s">
        <v>28</v>
      </c>
      <c r="C502" s="48" t="s">
        <v>54</v>
      </c>
      <c r="D502" s="48" t="s">
        <v>47</v>
      </c>
      <c r="E502" s="48"/>
      <c r="F502" s="48">
        <v>13122.4</v>
      </c>
      <c r="G502" s="43"/>
      <c r="H502" s="43"/>
      <c r="I502" s="43"/>
    </row>
    <row r="503" ht="12.75" customHeight="1">
      <c r="A503" s="48" t="s">
        <v>44</v>
      </c>
      <c r="B503" s="48" t="s">
        <v>29</v>
      </c>
      <c r="C503" s="48" t="s">
        <v>56</v>
      </c>
      <c r="D503" s="48" t="s">
        <v>53</v>
      </c>
      <c r="E503" s="48"/>
      <c r="F503" s="48">
        <v>-1118.6000000000001</v>
      </c>
      <c r="G503" s="43"/>
      <c r="H503" s="43"/>
      <c r="I503" s="43"/>
    </row>
    <row r="504" ht="12.75" customHeight="1">
      <c r="A504" s="48" t="s">
        <v>44</v>
      </c>
      <c r="B504" s="48" t="s">
        <v>29</v>
      </c>
      <c r="C504" s="48" t="s">
        <v>56</v>
      </c>
      <c r="D504" s="48" t="s">
        <v>57</v>
      </c>
      <c r="E504" s="48"/>
      <c r="F504" s="48">
        <v>392403.0</v>
      </c>
      <c r="G504" s="43"/>
      <c r="H504" s="43"/>
      <c r="I504" s="43"/>
    </row>
    <row r="505" ht="12.75" customHeight="1">
      <c r="A505" s="48" t="s">
        <v>44</v>
      </c>
      <c r="B505" s="48" t="s">
        <v>29</v>
      </c>
      <c r="C505" s="48" t="s">
        <v>56</v>
      </c>
      <c r="D505" s="48" t="s">
        <v>58</v>
      </c>
      <c r="E505" s="48"/>
      <c r="F505" s="48">
        <v>218723.9</v>
      </c>
      <c r="G505" s="43"/>
      <c r="H505" s="43"/>
      <c r="I505" s="43"/>
    </row>
    <row r="506" ht="12.75" customHeight="1">
      <c r="A506" s="48" t="s">
        <v>44</v>
      </c>
      <c r="B506" s="48" t="s">
        <v>29</v>
      </c>
      <c r="C506" s="48" t="s">
        <v>56</v>
      </c>
      <c r="D506" s="48" t="s">
        <v>8</v>
      </c>
      <c r="E506" s="48"/>
      <c r="F506" s="48">
        <v>0.0</v>
      </c>
      <c r="G506" s="43"/>
      <c r="H506" s="43"/>
      <c r="I506" s="43"/>
    </row>
    <row r="507" ht="12.75" customHeight="1">
      <c r="A507" s="48" t="s">
        <v>44</v>
      </c>
      <c r="B507" s="48" t="s">
        <v>29</v>
      </c>
      <c r="C507" s="48" t="s">
        <v>56</v>
      </c>
      <c r="D507" s="48" t="s">
        <v>8</v>
      </c>
      <c r="E507" s="48"/>
      <c r="F507" s="48">
        <v>94000.0</v>
      </c>
      <c r="G507" s="43"/>
      <c r="H507" s="43"/>
      <c r="I507" s="43"/>
    </row>
    <row r="508" ht="12.75" customHeight="1">
      <c r="A508" s="48" t="s">
        <v>44</v>
      </c>
      <c r="B508" s="48" t="s">
        <v>29</v>
      </c>
      <c r="C508" s="48" t="s">
        <v>56</v>
      </c>
      <c r="D508" s="48" t="s">
        <v>8</v>
      </c>
      <c r="E508" s="48"/>
      <c r="F508" s="48">
        <v>4695.3</v>
      </c>
      <c r="G508" s="43"/>
      <c r="H508" s="43"/>
      <c r="I508" s="43"/>
    </row>
    <row r="509" ht="12.75" customHeight="1">
      <c r="A509" s="48" t="s">
        <v>44</v>
      </c>
      <c r="B509" s="48" t="s">
        <v>29</v>
      </c>
      <c r="C509" s="48" t="s">
        <v>56</v>
      </c>
      <c r="D509" s="48" t="s">
        <v>8</v>
      </c>
      <c r="E509" s="48"/>
      <c r="F509" s="48">
        <v>0.0</v>
      </c>
      <c r="G509" s="43"/>
      <c r="H509" s="43"/>
      <c r="I509" s="43"/>
    </row>
    <row r="510" ht="12.75" customHeight="1">
      <c r="A510" s="48" t="s">
        <v>44</v>
      </c>
      <c r="B510" s="48" t="s">
        <v>29</v>
      </c>
      <c r="C510" s="48" t="s">
        <v>56</v>
      </c>
      <c r="D510" s="48" t="s">
        <v>8</v>
      </c>
      <c r="E510" s="48"/>
      <c r="F510" s="48">
        <v>6697.5</v>
      </c>
      <c r="G510" s="43"/>
      <c r="H510" s="43"/>
      <c r="I510" s="43"/>
    </row>
    <row r="511" ht="12.75" customHeight="1">
      <c r="A511" s="48" t="s">
        <v>44</v>
      </c>
      <c r="B511" s="48" t="s">
        <v>29</v>
      </c>
      <c r="C511" s="48" t="s">
        <v>56</v>
      </c>
      <c r="D511" s="48" t="s">
        <v>8</v>
      </c>
      <c r="E511" s="48"/>
      <c r="F511" s="48">
        <v>437.1</v>
      </c>
      <c r="G511" s="43"/>
      <c r="H511" s="43"/>
      <c r="I511" s="43"/>
    </row>
    <row r="512" ht="12.75" customHeight="1">
      <c r="A512" s="48" t="s">
        <v>44</v>
      </c>
      <c r="B512" s="48" t="s">
        <v>29</v>
      </c>
      <c r="C512" s="48" t="s">
        <v>56</v>
      </c>
      <c r="D512" s="48" t="s">
        <v>8</v>
      </c>
      <c r="E512" s="48"/>
      <c r="F512" s="48">
        <v>4225.3</v>
      </c>
      <c r="G512" s="43"/>
      <c r="H512" s="43"/>
      <c r="I512" s="43"/>
    </row>
    <row r="513" ht="12.75" customHeight="1">
      <c r="A513" s="48" t="s">
        <v>44</v>
      </c>
      <c r="B513" s="48" t="s">
        <v>29</v>
      </c>
      <c r="C513" s="48" t="s">
        <v>56</v>
      </c>
      <c r="D513" s="48" t="s">
        <v>8</v>
      </c>
      <c r="E513" s="48"/>
      <c r="F513" s="48">
        <v>3337.0</v>
      </c>
      <c r="G513" s="43"/>
      <c r="H513" s="43"/>
      <c r="I513" s="43"/>
    </row>
    <row r="514" ht="12.75" customHeight="1">
      <c r="A514" s="48" t="s">
        <v>44</v>
      </c>
      <c r="B514" s="48" t="s">
        <v>29</v>
      </c>
      <c r="C514" s="48" t="s">
        <v>56</v>
      </c>
      <c r="D514" s="48" t="s">
        <v>8</v>
      </c>
      <c r="E514" s="48"/>
      <c r="F514" s="48">
        <v>7087.6</v>
      </c>
      <c r="G514" s="43"/>
      <c r="H514" s="43"/>
      <c r="I514" s="43"/>
    </row>
    <row r="515" ht="12.75" customHeight="1">
      <c r="A515" s="48" t="s">
        <v>44</v>
      </c>
      <c r="B515" s="48" t="s">
        <v>29</v>
      </c>
      <c r="C515" s="48" t="s">
        <v>56</v>
      </c>
      <c r="D515" s="48" t="s">
        <v>8</v>
      </c>
      <c r="E515" s="48"/>
      <c r="F515" s="48">
        <v>0.0</v>
      </c>
      <c r="G515" s="43"/>
      <c r="H515" s="43"/>
      <c r="I515" s="43"/>
    </row>
    <row r="516" ht="12.75" customHeight="1">
      <c r="A516" s="48" t="s">
        <v>44</v>
      </c>
      <c r="B516" s="48" t="s">
        <v>29</v>
      </c>
      <c r="C516" s="48" t="s">
        <v>56</v>
      </c>
      <c r="D516" s="48" t="s">
        <v>6</v>
      </c>
      <c r="E516" s="48"/>
      <c r="F516" s="48">
        <v>0.0</v>
      </c>
      <c r="G516" s="43"/>
      <c r="H516" s="43"/>
      <c r="I516" s="43"/>
    </row>
    <row r="517" ht="12.75" customHeight="1">
      <c r="A517" s="48" t="s">
        <v>44</v>
      </c>
      <c r="B517" s="48" t="s">
        <v>29</v>
      </c>
      <c r="C517" s="48" t="s">
        <v>56</v>
      </c>
      <c r="D517" s="48" t="s">
        <v>54</v>
      </c>
      <c r="E517" s="48"/>
      <c r="F517" s="48">
        <v>0.0</v>
      </c>
      <c r="G517" s="43"/>
      <c r="H517" s="43"/>
      <c r="I517" s="43"/>
    </row>
    <row r="518" ht="12.75" customHeight="1">
      <c r="A518" s="48" t="s">
        <v>44</v>
      </c>
      <c r="B518" s="48" t="s">
        <v>29</v>
      </c>
      <c r="C518" s="48" t="s">
        <v>56</v>
      </c>
      <c r="D518" s="48" t="s">
        <v>54</v>
      </c>
      <c r="E518" s="48"/>
      <c r="F518" s="48">
        <v>86597.5</v>
      </c>
      <c r="G518" s="43"/>
      <c r="H518" s="43"/>
      <c r="I518" s="43"/>
    </row>
    <row r="519" ht="12.75" customHeight="1">
      <c r="A519" s="48" t="s">
        <v>44</v>
      </c>
      <c r="B519" s="48" t="s">
        <v>29</v>
      </c>
      <c r="C519" s="48" t="s">
        <v>56</v>
      </c>
      <c r="D519" s="48" t="s">
        <v>49</v>
      </c>
      <c r="E519" s="48"/>
      <c r="F519" s="48">
        <v>883.6</v>
      </c>
      <c r="G519" s="43"/>
      <c r="H519" s="43"/>
      <c r="I519" s="43"/>
    </row>
    <row r="520" ht="12.75" customHeight="1">
      <c r="A520" s="48" t="s">
        <v>44</v>
      </c>
      <c r="B520" s="48" t="s">
        <v>29</v>
      </c>
      <c r="C520" s="48" t="s">
        <v>56</v>
      </c>
      <c r="D520" s="48" t="s">
        <v>49</v>
      </c>
      <c r="E520" s="48"/>
      <c r="F520" s="48">
        <v>1048.1000000000001</v>
      </c>
      <c r="G520" s="43"/>
      <c r="H520" s="43"/>
      <c r="I520" s="43"/>
    </row>
    <row r="521" ht="12.75" customHeight="1">
      <c r="A521" s="48" t="s">
        <v>44</v>
      </c>
      <c r="B521" s="48" t="s">
        <v>29</v>
      </c>
      <c r="C521" s="48" t="s">
        <v>56</v>
      </c>
      <c r="D521" s="48" t="s">
        <v>50</v>
      </c>
      <c r="E521" s="48"/>
      <c r="F521" s="48">
        <v>0.0</v>
      </c>
      <c r="G521" s="43"/>
      <c r="H521" s="43"/>
      <c r="I521" s="43"/>
    </row>
    <row r="522" ht="12.75" customHeight="1">
      <c r="A522" s="48" t="s">
        <v>44</v>
      </c>
      <c r="B522" s="48" t="s">
        <v>29</v>
      </c>
      <c r="C522" s="48" t="s">
        <v>56</v>
      </c>
      <c r="D522" s="48" t="s">
        <v>50</v>
      </c>
      <c r="E522" s="48"/>
      <c r="F522" s="48">
        <v>9823.0</v>
      </c>
      <c r="G522" s="43"/>
      <c r="H522" s="43"/>
      <c r="I522" s="43"/>
    </row>
    <row r="523" ht="12.75" customHeight="1">
      <c r="A523" s="48" t="s">
        <v>44</v>
      </c>
      <c r="B523" s="48" t="s">
        <v>29</v>
      </c>
      <c r="C523" s="48" t="s">
        <v>56</v>
      </c>
      <c r="D523" s="48" t="s">
        <v>50</v>
      </c>
      <c r="E523" s="48"/>
      <c r="F523" s="48">
        <v>6373.2</v>
      </c>
      <c r="G523" s="43"/>
      <c r="H523" s="43"/>
      <c r="I523" s="43"/>
    </row>
    <row r="524" ht="12.75" customHeight="1">
      <c r="A524" s="48" t="s">
        <v>44</v>
      </c>
      <c r="B524" s="48" t="s">
        <v>29</v>
      </c>
      <c r="C524" s="48" t="s">
        <v>56</v>
      </c>
      <c r="D524" s="48" t="s">
        <v>50</v>
      </c>
      <c r="E524" s="48"/>
      <c r="F524" s="48">
        <v>7426.0</v>
      </c>
      <c r="G524" s="43"/>
      <c r="H524" s="43"/>
      <c r="I524" s="43"/>
    </row>
    <row r="525" ht="12.75" customHeight="1">
      <c r="A525" s="48" t="s">
        <v>44</v>
      </c>
      <c r="B525" s="48" t="s">
        <v>29</v>
      </c>
      <c r="C525" s="48" t="s">
        <v>56</v>
      </c>
      <c r="D525" s="48" t="s">
        <v>50</v>
      </c>
      <c r="E525" s="48"/>
      <c r="F525" s="48">
        <v>10330.6</v>
      </c>
      <c r="G525" s="43"/>
      <c r="H525" s="43"/>
      <c r="I525" s="43"/>
    </row>
    <row r="526" ht="12.75" customHeight="1">
      <c r="A526" s="48" t="s">
        <v>44</v>
      </c>
      <c r="B526" s="48" t="s">
        <v>29</v>
      </c>
      <c r="C526" s="48" t="s">
        <v>56</v>
      </c>
      <c r="D526" s="48" t="s">
        <v>50</v>
      </c>
      <c r="E526" s="48"/>
      <c r="F526" s="48">
        <v>6439.0</v>
      </c>
      <c r="G526" s="43"/>
      <c r="H526" s="43"/>
      <c r="I526" s="43"/>
    </row>
    <row r="527" ht="12.75" customHeight="1">
      <c r="A527" s="48" t="s">
        <v>44</v>
      </c>
      <c r="B527" s="48" t="s">
        <v>29</v>
      </c>
      <c r="C527" s="48" t="s">
        <v>56</v>
      </c>
      <c r="D527" s="48" t="s">
        <v>50</v>
      </c>
      <c r="E527" s="48"/>
      <c r="F527" s="48">
        <v>70119.3</v>
      </c>
      <c r="G527" s="43"/>
      <c r="H527" s="43"/>
      <c r="I527" s="43"/>
    </row>
    <row r="528" ht="12.75" customHeight="1">
      <c r="A528" s="48" t="s">
        <v>44</v>
      </c>
      <c r="B528" s="48" t="s">
        <v>29</v>
      </c>
      <c r="C528" s="48" t="s">
        <v>56</v>
      </c>
      <c r="D528" s="48" t="s">
        <v>50</v>
      </c>
      <c r="E528" s="48"/>
      <c r="F528" s="48">
        <v>7524.700000000001</v>
      </c>
      <c r="G528" s="43"/>
      <c r="H528" s="43"/>
      <c r="I528" s="43"/>
    </row>
    <row r="529" ht="12.75" customHeight="1">
      <c r="A529" s="48" t="s">
        <v>44</v>
      </c>
      <c r="B529" s="48" t="s">
        <v>29</v>
      </c>
      <c r="C529" s="48" t="s">
        <v>56</v>
      </c>
      <c r="D529" s="48" t="s">
        <v>50</v>
      </c>
      <c r="E529" s="48"/>
      <c r="F529" s="48">
        <v>6241.6</v>
      </c>
      <c r="G529" s="43"/>
      <c r="H529" s="43"/>
      <c r="I529" s="43"/>
    </row>
    <row r="530" ht="12.75" customHeight="1">
      <c r="A530" s="48" t="s">
        <v>44</v>
      </c>
      <c r="B530" s="48" t="s">
        <v>29</v>
      </c>
      <c r="C530" s="48" t="s">
        <v>56</v>
      </c>
      <c r="D530" s="48" t="s">
        <v>47</v>
      </c>
      <c r="E530" s="48"/>
      <c r="F530" s="48">
        <v>0.0</v>
      </c>
      <c r="G530" s="43"/>
      <c r="H530" s="43"/>
      <c r="I530" s="43"/>
    </row>
    <row r="531" ht="12.75" customHeight="1">
      <c r="A531" s="48" t="s">
        <v>44</v>
      </c>
      <c r="B531" s="48" t="s">
        <v>29</v>
      </c>
      <c r="C531" s="48" t="s">
        <v>56</v>
      </c>
      <c r="D531" s="48" t="s">
        <v>47</v>
      </c>
      <c r="E531" s="48"/>
      <c r="F531" s="48">
        <v>1588.6000000000001</v>
      </c>
      <c r="G531" s="43"/>
      <c r="H531" s="43"/>
      <c r="I531" s="43"/>
    </row>
    <row r="532" ht="12.75" customHeight="1">
      <c r="A532" s="48" t="s">
        <v>44</v>
      </c>
      <c r="B532" s="48" t="s">
        <v>29</v>
      </c>
      <c r="C532" s="48" t="s">
        <v>56</v>
      </c>
      <c r="D532" s="48" t="s">
        <v>47</v>
      </c>
      <c r="E532" s="48"/>
      <c r="F532" s="48">
        <v>0.0</v>
      </c>
      <c r="G532" s="43"/>
      <c r="H532" s="43"/>
      <c r="I532" s="43"/>
    </row>
    <row r="533" ht="12.75" customHeight="1">
      <c r="A533" s="48" t="s">
        <v>44</v>
      </c>
      <c r="B533" s="48" t="s">
        <v>29</v>
      </c>
      <c r="C533" s="48" t="s">
        <v>56</v>
      </c>
      <c r="D533" s="48" t="s">
        <v>47</v>
      </c>
      <c r="E533" s="48"/>
      <c r="F533" s="48">
        <v>3708.3</v>
      </c>
      <c r="G533" s="43"/>
      <c r="H533" s="43"/>
      <c r="I533" s="43"/>
    </row>
    <row r="534" ht="12.75" customHeight="1">
      <c r="A534" s="48" t="s">
        <v>44</v>
      </c>
      <c r="B534" s="48" t="s">
        <v>29</v>
      </c>
      <c r="C534" s="48" t="s">
        <v>56</v>
      </c>
      <c r="D534" s="48" t="s">
        <v>47</v>
      </c>
      <c r="E534" s="48"/>
      <c r="F534" s="48">
        <v>3036.2000000000003</v>
      </c>
      <c r="G534" s="43"/>
      <c r="H534" s="43"/>
      <c r="I534" s="43"/>
    </row>
    <row r="535" ht="12.75" customHeight="1">
      <c r="A535" s="48" t="s">
        <v>44</v>
      </c>
      <c r="B535" s="48" t="s">
        <v>29</v>
      </c>
      <c r="C535" s="48" t="s">
        <v>56</v>
      </c>
      <c r="D535" s="48" t="s">
        <v>47</v>
      </c>
      <c r="E535" s="48"/>
      <c r="F535" s="48">
        <v>14264.5</v>
      </c>
      <c r="G535" s="43"/>
      <c r="H535" s="43"/>
      <c r="I535" s="43"/>
    </row>
    <row r="536" ht="12.75" customHeight="1">
      <c r="A536" s="48" t="s">
        <v>44</v>
      </c>
      <c r="B536" s="48" t="s">
        <v>29</v>
      </c>
      <c r="C536" s="48" t="s">
        <v>56</v>
      </c>
      <c r="D536" s="48" t="s">
        <v>47</v>
      </c>
      <c r="E536" s="48"/>
      <c r="F536" s="48">
        <v>0.0</v>
      </c>
      <c r="G536" s="43"/>
      <c r="H536" s="43"/>
      <c r="I536" s="43"/>
    </row>
    <row r="537" ht="12.75" customHeight="1">
      <c r="A537" s="48" t="s">
        <v>44</v>
      </c>
      <c r="B537" s="48" t="s">
        <v>29</v>
      </c>
      <c r="C537" s="48" t="s">
        <v>66</v>
      </c>
      <c r="D537" s="48" t="s">
        <v>52</v>
      </c>
      <c r="E537" s="48"/>
      <c r="F537" s="48">
        <v>4700.0</v>
      </c>
      <c r="G537" s="43"/>
      <c r="H537" s="43"/>
      <c r="I537" s="43"/>
    </row>
    <row r="538" ht="12.75" customHeight="1">
      <c r="A538" s="48" t="s">
        <v>44</v>
      </c>
      <c r="B538" s="48" t="s">
        <v>29</v>
      </c>
      <c r="C538" s="48" t="s">
        <v>66</v>
      </c>
      <c r="D538" s="48" t="s">
        <v>8</v>
      </c>
      <c r="E538" s="48"/>
      <c r="F538" s="48">
        <v>0.0</v>
      </c>
      <c r="G538" s="43"/>
      <c r="H538" s="43"/>
      <c r="I538" s="43"/>
    </row>
    <row r="539" ht="12.75" customHeight="1">
      <c r="A539" s="48" t="s">
        <v>44</v>
      </c>
      <c r="B539" s="48" t="s">
        <v>29</v>
      </c>
      <c r="C539" s="48" t="s">
        <v>66</v>
      </c>
      <c r="D539" s="48" t="s">
        <v>54</v>
      </c>
      <c r="E539" s="48"/>
      <c r="F539" s="48">
        <v>13761.6</v>
      </c>
      <c r="G539" s="43"/>
      <c r="H539" s="43"/>
      <c r="I539" s="43"/>
    </row>
    <row r="540" ht="12.75" customHeight="1">
      <c r="A540" s="48" t="s">
        <v>44</v>
      </c>
      <c r="B540" s="48" t="s">
        <v>29</v>
      </c>
      <c r="C540" s="48" t="s">
        <v>66</v>
      </c>
      <c r="D540" s="48" t="s">
        <v>49</v>
      </c>
      <c r="E540" s="48"/>
      <c r="F540" s="48">
        <v>0.0</v>
      </c>
      <c r="G540" s="43"/>
      <c r="H540" s="43"/>
      <c r="I540" s="43"/>
    </row>
    <row r="541" ht="12.75" customHeight="1">
      <c r="A541" s="48" t="s">
        <v>44</v>
      </c>
      <c r="B541" s="48" t="s">
        <v>29</v>
      </c>
      <c r="C541" s="48" t="s">
        <v>66</v>
      </c>
      <c r="D541" s="48" t="s">
        <v>50</v>
      </c>
      <c r="E541" s="48"/>
      <c r="F541" s="48">
        <v>7242.700000000001</v>
      </c>
      <c r="G541" s="43"/>
      <c r="H541" s="43"/>
      <c r="I541" s="43"/>
    </row>
    <row r="542" ht="12.75" customHeight="1">
      <c r="A542" s="48" t="s">
        <v>44</v>
      </c>
      <c r="B542" s="48" t="s">
        <v>29</v>
      </c>
      <c r="C542" s="48" t="s">
        <v>66</v>
      </c>
      <c r="D542" s="48" t="s">
        <v>50</v>
      </c>
      <c r="E542" s="48"/>
      <c r="F542" s="48">
        <v>10932.2</v>
      </c>
      <c r="G542" s="43"/>
      <c r="H542" s="43"/>
      <c r="I542" s="43"/>
    </row>
    <row r="543" ht="12.75" customHeight="1">
      <c r="A543" s="48" t="s">
        <v>44</v>
      </c>
      <c r="B543" s="48" t="s">
        <v>29</v>
      </c>
      <c r="C543" s="48" t="s">
        <v>66</v>
      </c>
      <c r="D543" s="48" t="s">
        <v>47</v>
      </c>
      <c r="E543" s="48"/>
      <c r="F543" s="48">
        <v>0.0</v>
      </c>
      <c r="G543" s="43"/>
      <c r="H543" s="43"/>
      <c r="I543" s="43"/>
    </row>
    <row r="544" ht="12.75" customHeight="1">
      <c r="A544" s="48" t="s">
        <v>44</v>
      </c>
      <c r="B544" s="48" t="s">
        <v>29</v>
      </c>
      <c r="C544" s="48" t="s">
        <v>59</v>
      </c>
      <c r="D544" s="48" t="s">
        <v>58</v>
      </c>
      <c r="E544" s="48"/>
      <c r="F544" s="48">
        <v>153746.4</v>
      </c>
      <c r="G544" s="43"/>
      <c r="H544" s="43"/>
      <c r="I544" s="43"/>
    </row>
    <row r="545" ht="12.75" customHeight="1">
      <c r="A545" s="48" t="s">
        <v>44</v>
      </c>
      <c r="B545" s="48" t="s">
        <v>29</v>
      </c>
      <c r="C545" s="48" t="s">
        <v>59</v>
      </c>
      <c r="D545" s="48" t="s">
        <v>54</v>
      </c>
      <c r="E545" s="48"/>
      <c r="F545" s="48">
        <v>27523.2</v>
      </c>
      <c r="G545" s="43"/>
      <c r="H545" s="43"/>
      <c r="I545" s="43"/>
    </row>
    <row r="546" ht="12.75" customHeight="1">
      <c r="A546" s="48" t="s">
        <v>44</v>
      </c>
      <c r="B546" s="48" t="s">
        <v>29</v>
      </c>
      <c r="C546" s="48" t="s">
        <v>59</v>
      </c>
      <c r="D546" s="48" t="s">
        <v>50</v>
      </c>
      <c r="E546" s="48"/>
      <c r="F546" s="48">
        <v>0.0</v>
      </c>
      <c r="G546" s="43"/>
      <c r="H546" s="43"/>
      <c r="I546" s="43"/>
    </row>
    <row r="547" ht="12.75" customHeight="1">
      <c r="A547" s="48" t="s">
        <v>44</v>
      </c>
      <c r="B547" s="48" t="s">
        <v>29</v>
      </c>
      <c r="C547" s="48" t="s">
        <v>59</v>
      </c>
      <c r="D547" s="48" t="s">
        <v>50</v>
      </c>
      <c r="E547" s="48"/>
      <c r="F547" s="48">
        <v>4718.8</v>
      </c>
      <c r="G547" s="43"/>
      <c r="H547" s="43"/>
      <c r="I547" s="43"/>
    </row>
    <row r="548" ht="12.75" customHeight="1">
      <c r="A548" s="48" t="s">
        <v>44</v>
      </c>
      <c r="B548" s="48" t="s">
        <v>29</v>
      </c>
      <c r="C548" s="48" t="s">
        <v>59</v>
      </c>
      <c r="D548" s="48" t="s">
        <v>50</v>
      </c>
      <c r="E548" s="48"/>
      <c r="F548" s="48">
        <v>21859.7</v>
      </c>
      <c r="G548" s="43"/>
      <c r="H548" s="43"/>
      <c r="I548" s="43"/>
    </row>
    <row r="549" ht="12.75" customHeight="1">
      <c r="A549" s="48" t="s">
        <v>44</v>
      </c>
      <c r="B549" s="48" t="s">
        <v>29</v>
      </c>
      <c r="C549" s="48" t="s">
        <v>59</v>
      </c>
      <c r="D549" s="48" t="s">
        <v>50</v>
      </c>
      <c r="E549" s="48"/>
      <c r="F549" s="48">
        <v>6533.0</v>
      </c>
      <c r="G549" s="43"/>
      <c r="H549" s="43"/>
      <c r="I549" s="43"/>
    </row>
    <row r="550" ht="12.75" customHeight="1">
      <c r="A550" s="48" t="s">
        <v>44</v>
      </c>
      <c r="B550" s="48" t="s">
        <v>29</v>
      </c>
      <c r="C550" s="48" t="s">
        <v>59</v>
      </c>
      <c r="D550" s="48" t="s">
        <v>47</v>
      </c>
      <c r="E550" s="48"/>
      <c r="F550" s="48">
        <v>0.0</v>
      </c>
      <c r="G550" s="43"/>
      <c r="H550" s="43"/>
      <c r="I550" s="43"/>
    </row>
    <row r="551" ht="12.75" customHeight="1">
      <c r="A551" s="48" t="s">
        <v>44</v>
      </c>
      <c r="B551" s="48" t="s">
        <v>30</v>
      </c>
      <c r="C551" s="48" t="s">
        <v>6</v>
      </c>
      <c r="D551" s="48" t="s">
        <v>8</v>
      </c>
      <c r="E551" s="48"/>
      <c r="F551" s="48">
        <v>958.8000000000001</v>
      </c>
      <c r="G551" s="43"/>
      <c r="H551" s="43"/>
      <c r="I551" s="43"/>
    </row>
    <row r="552" ht="12.75" customHeight="1">
      <c r="A552" s="48" t="s">
        <v>44</v>
      </c>
      <c r="B552" s="48" t="s">
        <v>30</v>
      </c>
      <c r="C552" s="48" t="s">
        <v>6</v>
      </c>
      <c r="D552" s="48" t="s">
        <v>6</v>
      </c>
      <c r="E552" s="48"/>
      <c r="F552" s="48">
        <v>9479.9</v>
      </c>
      <c r="G552" s="43"/>
      <c r="H552" s="43"/>
      <c r="I552" s="43"/>
    </row>
    <row r="553" ht="12.75" customHeight="1">
      <c r="A553" s="48" t="s">
        <v>44</v>
      </c>
      <c r="B553" s="48" t="s">
        <v>30</v>
      </c>
      <c r="C553" s="48" t="s">
        <v>6</v>
      </c>
      <c r="D553" s="48" t="s">
        <v>6</v>
      </c>
      <c r="E553" s="48"/>
      <c r="F553" s="48">
        <v>0.0</v>
      </c>
      <c r="G553" s="43"/>
      <c r="H553" s="43"/>
      <c r="I553" s="43"/>
    </row>
    <row r="554" ht="12.75" customHeight="1">
      <c r="A554" s="48" t="s">
        <v>44</v>
      </c>
      <c r="B554" s="48" t="s">
        <v>30</v>
      </c>
      <c r="C554" s="48" t="s">
        <v>6</v>
      </c>
      <c r="D554" s="48" t="s">
        <v>6</v>
      </c>
      <c r="E554" s="48"/>
      <c r="F554" s="48">
        <v>48880.0</v>
      </c>
      <c r="G554" s="43"/>
      <c r="H554" s="43"/>
      <c r="I554" s="43"/>
    </row>
    <row r="555" ht="12.75" customHeight="1">
      <c r="A555" s="48" t="s">
        <v>44</v>
      </c>
      <c r="B555" s="48" t="s">
        <v>30</v>
      </c>
      <c r="C555" s="48" t="s">
        <v>6</v>
      </c>
      <c r="D555" s="48" t="s">
        <v>6</v>
      </c>
      <c r="E555" s="48"/>
      <c r="F555" s="48">
        <v>206.8</v>
      </c>
      <c r="G555" s="43"/>
      <c r="H555" s="43"/>
      <c r="I555" s="43"/>
    </row>
    <row r="556" ht="12.75" customHeight="1">
      <c r="A556" s="48" t="s">
        <v>44</v>
      </c>
      <c r="B556" s="48" t="s">
        <v>30</v>
      </c>
      <c r="C556" s="48" t="s">
        <v>6</v>
      </c>
      <c r="D556" s="48" t="s">
        <v>6</v>
      </c>
      <c r="E556" s="48"/>
      <c r="F556" s="48">
        <v>19246.5</v>
      </c>
      <c r="G556" s="43"/>
      <c r="H556" s="43"/>
      <c r="I556" s="43"/>
    </row>
    <row r="557" ht="12.75" customHeight="1">
      <c r="A557" s="48" t="s">
        <v>44</v>
      </c>
      <c r="B557" s="48" t="s">
        <v>30</v>
      </c>
      <c r="C557" s="48" t="s">
        <v>6</v>
      </c>
      <c r="D557" s="48" t="s">
        <v>54</v>
      </c>
      <c r="E557" s="48"/>
      <c r="F557" s="48">
        <v>13761.6</v>
      </c>
      <c r="G557" s="43"/>
      <c r="H557" s="43"/>
      <c r="I557" s="43"/>
    </row>
    <row r="558" ht="12.75" customHeight="1">
      <c r="A558" s="48" t="s">
        <v>44</v>
      </c>
      <c r="B558" s="48" t="s">
        <v>30</v>
      </c>
      <c r="C558" s="48" t="s">
        <v>6</v>
      </c>
      <c r="D558" s="48" t="s">
        <v>49</v>
      </c>
      <c r="E558" s="48"/>
      <c r="F558" s="48">
        <v>43028.5</v>
      </c>
      <c r="G558" s="43"/>
      <c r="H558" s="43"/>
      <c r="I558" s="43"/>
    </row>
    <row r="559" ht="12.75" customHeight="1">
      <c r="A559" s="48" t="s">
        <v>44</v>
      </c>
      <c r="B559" s="48" t="s">
        <v>30</v>
      </c>
      <c r="C559" s="48" t="s">
        <v>6</v>
      </c>
      <c r="D559" s="48" t="s">
        <v>50</v>
      </c>
      <c r="E559" s="48"/>
      <c r="F559" s="48">
        <v>10932.2</v>
      </c>
      <c r="G559" s="43"/>
      <c r="H559" s="43"/>
      <c r="I559" s="43"/>
    </row>
    <row r="560" ht="12.75" customHeight="1">
      <c r="A560" s="48" t="s">
        <v>44</v>
      </c>
      <c r="B560" s="48" t="s">
        <v>30</v>
      </c>
      <c r="C560" s="48" t="s">
        <v>6</v>
      </c>
      <c r="D560" s="48" t="s">
        <v>50</v>
      </c>
      <c r="E560" s="48"/>
      <c r="F560" s="48">
        <v>10109.7</v>
      </c>
      <c r="G560" s="43"/>
      <c r="H560" s="43"/>
      <c r="I560" s="43"/>
    </row>
    <row r="561" ht="12.75" customHeight="1">
      <c r="A561" s="48" t="s">
        <v>44</v>
      </c>
      <c r="B561" s="48" t="s">
        <v>30</v>
      </c>
      <c r="C561" s="48" t="s">
        <v>6</v>
      </c>
      <c r="D561" s="48" t="s">
        <v>47</v>
      </c>
      <c r="E561" s="48"/>
      <c r="F561" s="48">
        <v>0.0</v>
      </c>
      <c r="G561" s="43"/>
      <c r="H561" s="43"/>
      <c r="I561" s="43"/>
    </row>
    <row r="562" ht="12.75" customHeight="1">
      <c r="A562" s="48" t="s">
        <v>44</v>
      </c>
      <c r="B562" s="48" t="s">
        <v>30</v>
      </c>
      <c r="C562" s="48" t="s">
        <v>6</v>
      </c>
      <c r="D562" s="48" t="s">
        <v>47</v>
      </c>
      <c r="E562" s="48"/>
      <c r="F562" s="48">
        <v>1405.3</v>
      </c>
      <c r="G562" s="43"/>
      <c r="H562" s="43"/>
      <c r="I562" s="43"/>
    </row>
    <row r="563" ht="12.75" customHeight="1">
      <c r="A563" s="48" t="s">
        <v>44</v>
      </c>
      <c r="B563" s="48" t="s">
        <v>30</v>
      </c>
      <c r="C563" s="48" t="s">
        <v>6</v>
      </c>
      <c r="D563" s="48" t="s">
        <v>47</v>
      </c>
      <c r="E563" s="48"/>
      <c r="F563" s="48">
        <v>-19246.5</v>
      </c>
      <c r="G563" s="43"/>
      <c r="H563" s="43"/>
      <c r="I563" s="43"/>
    </row>
    <row r="564" ht="12.75" customHeight="1">
      <c r="A564" s="48" t="s">
        <v>44</v>
      </c>
      <c r="B564" s="48" t="s">
        <v>30</v>
      </c>
      <c r="C564" s="48" t="s">
        <v>6</v>
      </c>
      <c r="D564" s="48" t="s">
        <v>47</v>
      </c>
      <c r="E564" s="48"/>
      <c r="F564" s="48">
        <v>7604.6</v>
      </c>
      <c r="G564" s="43"/>
      <c r="H564" s="43"/>
      <c r="I564" s="43"/>
    </row>
    <row r="565" ht="12.75" customHeight="1">
      <c r="A565" s="48" t="s">
        <v>44</v>
      </c>
      <c r="B565" s="48" t="s">
        <v>30</v>
      </c>
      <c r="C565" s="48" t="s">
        <v>5</v>
      </c>
      <c r="D565" s="48" t="s">
        <v>60</v>
      </c>
      <c r="E565" s="48"/>
      <c r="F565" s="48">
        <v>-1800.1000000000001</v>
      </c>
      <c r="G565" s="43"/>
      <c r="H565" s="43"/>
      <c r="I565" s="43"/>
    </row>
    <row r="566" ht="12.75" customHeight="1">
      <c r="A566" s="48" t="s">
        <v>44</v>
      </c>
      <c r="B566" s="48" t="s">
        <v>30</v>
      </c>
      <c r="C566" s="48" t="s">
        <v>5</v>
      </c>
      <c r="D566" s="48" t="s">
        <v>53</v>
      </c>
      <c r="E566" s="48"/>
      <c r="F566" s="48">
        <v>505640.10000000003</v>
      </c>
      <c r="G566" s="43"/>
      <c r="H566" s="43"/>
      <c r="I566" s="43"/>
    </row>
    <row r="567" ht="12.75" customHeight="1">
      <c r="A567" s="48" t="s">
        <v>44</v>
      </c>
      <c r="B567" s="48" t="s">
        <v>30</v>
      </c>
      <c r="C567" s="48" t="s">
        <v>5</v>
      </c>
      <c r="D567" s="48" t="s">
        <v>53</v>
      </c>
      <c r="E567" s="48"/>
      <c r="F567" s="48">
        <v>0.0</v>
      </c>
      <c r="G567" s="43"/>
      <c r="H567" s="43"/>
      <c r="I567" s="43"/>
    </row>
    <row r="568" ht="12.75" customHeight="1">
      <c r="A568" s="48" t="s">
        <v>44</v>
      </c>
      <c r="B568" s="48" t="s">
        <v>30</v>
      </c>
      <c r="C568" s="48" t="s">
        <v>5</v>
      </c>
      <c r="D568" s="48" t="s">
        <v>8</v>
      </c>
      <c r="E568" s="48"/>
      <c r="F568" s="48">
        <v>34446.3</v>
      </c>
      <c r="G568" s="43"/>
      <c r="H568" s="43"/>
      <c r="I568" s="43"/>
    </row>
    <row r="569" ht="12.75" customHeight="1">
      <c r="A569" s="48" t="s">
        <v>44</v>
      </c>
      <c r="B569" s="48" t="s">
        <v>30</v>
      </c>
      <c r="C569" s="48" t="s">
        <v>5</v>
      </c>
      <c r="D569" s="48" t="s">
        <v>8</v>
      </c>
      <c r="E569" s="48"/>
      <c r="F569" s="48">
        <v>-129043.20000000001</v>
      </c>
      <c r="G569" s="43"/>
      <c r="H569" s="43"/>
      <c r="I569" s="43"/>
    </row>
    <row r="570" ht="12.75" customHeight="1">
      <c r="A570" s="48" t="s">
        <v>44</v>
      </c>
      <c r="B570" s="48" t="s">
        <v>30</v>
      </c>
      <c r="C570" s="48" t="s">
        <v>5</v>
      </c>
      <c r="D570" s="48" t="s">
        <v>8</v>
      </c>
      <c r="E570" s="48"/>
      <c r="F570" s="48">
        <v>-57368.200000000004</v>
      </c>
      <c r="G570" s="43"/>
      <c r="H570" s="43"/>
      <c r="I570" s="43"/>
    </row>
    <row r="571" ht="12.75" customHeight="1">
      <c r="A571" s="48" t="s">
        <v>44</v>
      </c>
      <c r="B571" s="48" t="s">
        <v>30</v>
      </c>
      <c r="C571" s="48" t="s">
        <v>5</v>
      </c>
      <c r="D571" s="48" t="s">
        <v>8</v>
      </c>
      <c r="E571" s="48"/>
      <c r="F571" s="48">
        <v>8225.0</v>
      </c>
      <c r="G571" s="43"/>
      <c r="H571" s="43"/>
      <c r="I571" s="43"/>
    </row>
    <row r="572" ht="12.75" customHeight="1">
      <c r="A572" s="48" t="s">
        <v>44</v>
      </c>
      <c r="B572" s="48" t="s">
        <v>30</v>
      </c>
      <c r="C572" s="48" t="s">
        <v>5</v>
      </c>
      <c r="D572" s="48" t="s">
        <v>8</v>
      </c>
      <c r="E572" s="48"/>
      <c r="F572" s="48">
        <v>1222.0</v>
      </c>
      <c r="G572" s="43"/>
      <c r="H572" s="43"/>
      <c r="I572" s="43"/>
    </row>
    <row r="573" ht="12.75" customHeight="1">
      <c r="A573" s="48" t="s">
        <v>44</v>
      </c>
      <c r="B573" s="48" t="s">
        <v>30</v>
      </c>
      <c r="C573" s="48" t="s">
        <v>5</v>
      </c>
      <c r="D573" s="48" t="s">
        <v>6</v>
      </c>
      <c r="E573" s="48"/>
      <c r="F573" s="48">
        <v>0.0</v>
      </c>
      <c r="G573" s="43"/>
      <c r="H573" s="43"/>
      <c r="I573" s="43"/>
    </row>
    <row r="574" ht="12.75" customHeight="1">
      <c r="A574" s="48" t="s">
        <v>44</v>
      </c>
      <c r="B574" s="48" t="s">
        <v>30</v>
      </c>
      <c r="C574" s="48" t="s">
        <v>5</v>
      </c>
      <c r="D574" s="48" t="s">
        <v>6</v>
      </c>
      <c r="E574" s="48"/>
      <c r="F574" s="48">
        <v>2350.0</v>
      </c>
      <c r="G574" s="43"/>
      <c r="H574" s="43"/>
      <c r="I574" s="43"/>
    </row>
    <row r="575" ht="12.75" customHeight="1">
      <c r="A575" s="48" t="s">
        <v>44</v>
      </c>
      <c r="B575" s="48" t="s">
        <v>30</v>
      </c>
      <c r="C575" s="48" t="s">
        <v>5</v>
      </c>
      <c r="D575" s="48" t="s">
        <v>54</v>
      </c>
      <c r="E575" s="48"/>
      <c r="F575" s="48">
        <v>0.0</v>
      </c>
      <c r="G575" s="43"/>
      <c r="H575" s="43"/>
      <c r="I575" s="43"/>
    </row>
    <row r="576" ht="12.75" customHeight="1">
      <c r="A576" s="48" t="s">
        <v>44</v>
      </c>
      <c r="B576" s="48" t="s">
        <v>30</v>
      </c>
      <c r="C576" s="48" t="s">
        <v>5</v>
      </c>
      <c r="D576" s="48" t="s">
        <v>54</v>
      </c>
      <c r="E576" s="48"/>
      <c r="F576" s="48">
        <v>540.5</v>
      </c>
      <c r="G576" s="43"/>
      <c r="H576" s="43"/>
      <c r="I576" s="43"/>
    </row>
    <row r="577" ht="12.75" customHeight="1">
      <c r="A577" s="48" t="s">
        <v>44</v>
      </c>
      <c r="B577" s="48" t="s">
        <v>30</v>
      </c>
      <c r="C577" s="48" t="s">
        <v>5</v>
      </c>
      <c r="D577" s="48" t="s">
        <v>54</v>
      </c>
      <c r="E577" s="48"/>
      <c r="F577" s="48">
        <v>47.0</v>
      </c>
      <c r="G577" s="43"/>
      <c r="H577" s="43"/>
      <c r="I577" s="43"/>
    </row>
    <row r="578" ht="12.75" customHeight="1">
      <c r="A578" s="48" t="s">
        <v>44</v>
      </c>
      <c r="B578" s="48" t="s">
        <v>30</v>
      </c>
      <c r="C578" s="48" t="s">
        <v>5</v>
      </c>
      <c r="D578" s="48" t="s">
        <v>54</v>
      </c>
      <c r="E578" s="48"/>
      <c r="F578" s="48">
        <v>813.1</v>
      </c>
      <c r="G578" s="43"/>
      <c r="H578" s="43"/>
      <c r="I578" s="43"/>
    </row>
    <row r="579" ht="12.75" customHeight="1">
      <c r="A579" s="48" t="s">
        <v>44</v>
      </c>
      <c r="B579" s="48" t="s">
        <v>30</v>
      </c>
      <c r="C579" s="48" t="s">
        <v>5</v>
      </c>
      <c r="D579" s="48" t="s">
        <v>54</v>
      </c>
      <c r="E579" s="48"/>
      <c r="F579" s="48">
        <v>96335.90000000001</v>
      </c>
      <c r="G579" s="43"/>
      <c r="H579" s="43"/>
      <c r="I579" s="43"/>
    </row>
    <row r="580" ht="12.75" customHeight="1">
      <c r="A580" s="48" t="s">
        <v>44</v>
      </c>
      <c r="B580" s="48" t="s">
        <v>30</v>
      </c>
      <c r="C580" s="48" t="s">
        <v>5</v>
      </c>
      <c r="D580" s="48" t="s">
        <v>49</v>
      </c>
      <c r="E580" s="48"/>
      <c r="F580" s="48">
        <v>681.5</v>
      </c>
      <c r="G580" s="43"/>
      <c r="H580" s="43"/>
      <c r="I580" s="43"/>
    </row>
    <row r="581" ht="12.75" customHeight="1">
      <c r="A581" s="48" t="s">
        <v>44</v>
      </c>
      <c r="B581" s="48" t="s">
        <v>30</v>
      </c>
      <c r="C581" s="48" t="s">
        <v>5</v>
      </c>
      <c r="D581" s="48" t="s">
        <v>49</v>
      </c>
      <c r="E581" s="48"/>
      <c r="F581" s="48">
        <v>484.1</v>
      </c>
      <c r="G581" s="43"/>
      <c r="H581" s="43"/>
      <c r="I581" s="43"/>
    </row>
    <row r="582" ht="12.75" customHeight="1">
      <c r="A582" s="48" t="s">
        <v>44</v>
      </c>
      <c r="B582" s="48" t="s">
        <v>30</v>
      </c>
      <c r="C582" s="48" t="s">
        <v>5</v>
      </c>
      <c r="D582" s="48" t="s">
        <v>49</v>
      </c>
      <c r="E582" s="48"/>
      <c r="F582" s="48">
        <v>126.9</v>
      </c>
      <c r="G582" s="43"/>
      <c r="H582" s="43"/>
      <c r="I582" s="43"/>
    </row>
    <row r="583" ht="12.75" customHeight="1">
      <c r="A583" s="48" t="s">
        <v>44</v>
      </c>
      <c r="B583" s="48" t="s">
        <v>30</v>
      </c>
      <c r="C583" s="48" t="s">
        <v>5</v>
      </c>
      <c r="D583" s="48" t="s">
        <v>49</v>
      </c>
      <c r="E583" s="48"/>
      <c r="F583" s="48">
        <v>658.0</v>
      </c>
      <c r="G583" s="43"/>
      <c r="H583" s="43"/>
      <c r="I583" s="43"/>
    </row>
    <row r="584" ht="12.75" customHeight="1">
      <c r="A584" s="48" t="s">
        <v>44</v>
      </c>
      <c r="B584" s="48" t="s">
        <v>30</v>
      </c>
      <c r="C584" s="48" t="s">
        <v>5</v>
      </c>
      <c r="D584" s="48" t="s">
        <v>49</v>
      </c>
      <c r="E584" s="48"/>
      <c r="F584" s="48">
        <v>742.6</v>
      </c>
      <c r="G584" s="43"/>
      <c r="H584" s="43"/>
      <c r="I584" s="43"/>
    </row>
    <row r="585" ht="12.75" customHeight="1">
      <c r="A585" s="48" t="s">
        <v>44</v>
      </c>
      <c r="B585" s="48" t="s">
        <v>30</v>
      </c>
      <c r="C585" s="48" t="s">
        <v>5</v>
      </c>
      <c r="D585" s="48" t="s">
        <v>50</v>
      </c>
      <c r="E585" s="48"/>
      <c r="F585" s="48">
        <v>23330.8</v>
      </c>
      <c r="G585" s="43"/>
      <c r="H585" s="43"/>
      <c r="I585" s="43"/>
    </row>
    <row r="586" ht="12.75" customHeight="1">
      <c r="A586" s="48" t="s">
        <v>44</v>
      </c>
      <c r="B586" s="48" t="s">
        <v>30</v>
      </c>
      <c r="C586" s="48" t="s">
        <v>5</v>
      </c>
      <c r="D586" s="48" t="s">
        <v>50</v>
      </c>
      <c r="E586" s="48"/>
      <c r="F586" s="48">
        <v>10443.4</v>
      </c>
      <c r="G586" s="43"/>
      <c r="H586" s="43"/>
      <c r="I586" s="43"/>
    </row>
    <row r="587" ht="12.75" customHeight="1">
      <c r="A587" s="48" t="s">
        <v>44</v>
      </c>
      <c r="B587" s="48" t="s">
        <v>30</v>
      </c>
      <c r="C587" s="48" t="s">
        <v>5</v>
      </c>
      <c r="D587" s="48" t="s">
        <v>50</v>
      </c>
      <c r="E587" s="48"/>
      <c r="F587" s="48">
        <v>19575.5</v>
      </c>
      <c r="G587" s="43"/>
      <c r="H587" s="43"/>
      <c r="I587" s="43"/>
    </row>
    <row r="588" ht="12.75" customHeight="1">
      <c r="A588" s="48" t="s">
        <v>44</v>
      </c>
      <c r="B588" s="48" t="s">
        <v>30</v>
      </c>
      <c r="C588" s="48" t="s">
        <v>5</v>
      </c>
      <c r="D588" s="48" t="s">
        <v>50</v>
      </c>
      <c r="E588" s="48"/>
      <c r="F588" s="48">
        <v>12816.9</v>
      </c>
      <c r="G588" s="43"/>
      <c r="H588" s="43"/>
      <c r="I588" s="43"/>
    </row>
    <row r="589" ht="12.75" customHeight="1">
      <c r="A589" s="48" t="s">
        <v>44</v>
      </c>
      <c r="B589" s="48" t="s">
        <v>30</v>
      </c>
      <c r="C589" s="48" t="s">
        <v>5</v>
      </c>
      <c r="D589" s="48" t="s">
        <v>50</v>
      </c>
      <c r="E589" s="48"/>
      <c r="F589" s="48">
        <v>16421.8</v>
      </c>
      <c r="G589" s="43"/>
      <c r="H589" s="43"/>
      <c r="I589" s="43"/>
    </row>
    <row r="590" ht="12.75" customHeight="1">
      <c r="A590" s="48" t="s">
        <v>44</v>
      </c>
      <c r="B590" s="48" t="s">
        <v>30</v>
      </c>
      <c r="C590" s="48" t="s">
        <v>5</v>
      </c>
      <c r="D590" s="48" t="s">
        <v>50</v>
      </c>
      <c r="E590" s="48"/>
      <c r="F590" s="48">
        <v>2256.0</v>
      </c>
      <c r="G590" s="43"/>
      <c r="H590" s="43"/>
      <c r="I590" s="43"/>
    </row>
    <row r="591" ht="12.75" customHeight="1">
      <c r="A591" s="48" t="s">
        <v>44</v>
      </c>
      <c r="B591" s="48" t="s">
        <v>30</v>
      </c>
      <c r="C591" s="48" t="s">
        <v>5</v>
      </c>
      <c r="D591" s="48" t="s">
        <v>50</v>
      </c>
      <c r="E591" s="48"/>
      <c r="F591" s="48">
        <v>16572.2</v>
      </c>
      <c r="G591" s="43"/>
      <c r="H591" s="43"/>
      <c r="I591" s="43"/>
    </row>
    <row r="592" ht="12.75" customHeight="1">
      <c r="A592" s="48" t="s">
        <v>44</v>
      </c>
      <c r="B592" s="48" t="s">
        <v>30</v>
      </c>
      <c r="C592" s="48" t="s">
        <v>5</v>
      </c>
      <c r="D592" s="48" t="s">
        <v>50</v>
      </c>
      <c r="E592" s="48"/>
      <c r="F592" s="48">
        <v>76516.0</v>
      </c>
      <c r="G592" s="43"/>
      <c r="H592" s="43"/>
      <c r="I592" s="43"/>
    </row>
    <row r="593" ht="12.75" customHeight="1">
      <c r="A593" s="48" t="s">
        <v>44</v>
      </c>
      <c r="B593" s="48" t="s">
        <v>30</v>
      </c>
      <c r="C593" s="48" t="s">
        <v>5</v>
      </c>
      <c r="D593" s="48" t="s">
        <v>47</v>
      </c>
      <c r="E593" s="48"/>
      <c r="F593" s="48">
        <v>24595.100000000002</v>
      </c>
      <c r="G593" s="43"/>
      <c r="H593" s="43"/>
      <c r="I593" s="43"/>
    </row>
    <row r="594" ht="12.75" customHeight="1">
      <c r="A594" s="48" t="s">
        <v>44</v>
      </c>
      <c r="B594" s="48" t="s">
        <v>30</v>
      </c>
      <c r="C594" s="48" t="s">
        <v>5</v>
      </c>
      <c r="D594" s="48" t="s">
        <v>47</v>
      </c>
      <c r="E594" s="48"/>
      <c r="F594" s="48">
        <v>0.0</v>
      </c>
      <c r="G594" s="43"/>
      <c r="H594" s="43"/>
      <c r="I594" s="43"/>
    </row>
    <row r="595" ht="12.75" customHeight="1">
      <c r="A595" s="48" t="s">
        <v>44</v>
      </c>
      <c r="B595" s="48" t="s">
        <v>30</v>
      </c>
      <c r="C595" s="48" t="s">
        <v>5</v>
      </c>
      <c r="D595" s="48" t="s">
        <v>47</v>
      </c>
      <c r="E595" s="48"/>
      <c r="F595" s="48">
        <v>-169.20000000000002</v>
      </c>
      <c r="G595" s="43"/>
      <c r="H595" s="43"/>
      <c r="I595" s="43"/>
    </row>
    <row r="596" ht="12.75" customHeight="1">
      <c r="A596" s="48" t="s">
        <v>44</v>
      </c>
      <c r="B596" s="48" t="s">
        <v>30</v>
      </c>
      <c r="C596" s="48" t="s">
        <v>5</v>
      </c>
      <c r="D596" s="48" t="s">
        <v>47</v>
      </c>
      <c r="E596" s="48"/>
      <c r="F596" s="48">
        <v>4996.1</v>
      </c>
      <c r="G596" s="43"/>
      <c r="H596" s="43"/>
      <c r="I596" s="43"/>
    </row>
    <row r="597" ht="12.75" customHeight="1">
      <c r="A597" s="48" t="s">
        <v>44</v>
      </c>
      <c r="B597" s="48" t="s">
        <v>30</v>
      </c>
      <c r="C597" s="48" t="s">
        <v>5</v>
      </c>
      <c r="D597" s="48" t="s">
        <v>47</v>
      </c>
      <c r="E597" s="48"/>
      <c r="F597" s="48">
        <v>3045.6</v>
      </c>
      <c r="G597" s="43"/>
      <c r="H597" s="43"/>
      <c r="I597" s="43"/>
    </row>
    <row r="598" ht="12.75" customHeight="1">
      <c r="A598" s="48" t="s">
        <v>44</v>
      </c>
      <c r="B598" s="48" t="s">
        <v>30</v>
      </c>
      <c r="C598" s="48" t="s">
        <v>5</v>
      </c>
      <c r="D598" s="48" t="s">
        <v>47</v>
      </c>
      <c r="E598" s="48"/>
      <c r="F598" s="48">
        <v>1419.4</v>
      </c>
      <c r="G598" s="43"/>
      <c r="H598" s="43"/>
      <c r="I598" s="43"/>
    </row>
    <row r="599" ht="12.75" customHeight="1">
      <c r="A599" s="48" t="s">
        <v>44</v>
      </c>
      <c r="B599" s="48" t="s">
        <v>30</v>
      </c>
      <c r="C599" s="48" t="s">
        <v>5</v>
      </c>
      <c r="D599" s="48" t="s">
        <v>47</v>
      </c>
      <c r="E599" s="48"/>
      <c r="F599" s="48">
        <v>23791.4</v>
      </c>
      <c r="G599" s="43"/>
      <c r="H599" s="43"/>
      <c r="I599" s="43"/>
    </row>
    <row r="600" ht="12.75" customHeight="1">
      <c r="A600" s="48" t="s">
        <v>44</v>
      </c>
      <c r="B600" s="48" t="s">
        <v>30</v>
      </c>
      <c r="C600" s="48" t="s">
        <v>5</v>
      </c>
      <c r="D600" s="48" t="s">
        <v>47</v>
      </c>
      <c r="E600" s="48"/>
      <c r="F600" s="48">
        <v>5155.900000000001</v>
      </c>
      <c r="G600" s="43"/>
      <c r="H600" s="43"/>
      <c r="I600" s="43"/>
    </row>
    <row r="601" ht="12.75" customHeight="1">
      <c r="A601" s="48" t="s">
        <v>44</v>
      </c>
      <c r="B601" s="48" t="s">
        <v>30</v>
      </c>
      <c r="C601" s="48" t="s">
        <v>5</v>
      </c>
      <c r="D601" s="48" t="s">
        <v>47</v>
      </c>
      <c r="E601" s="48"/>
      <c r="F601" s="48">
        <v>3233.6</v>
      </c>
      <c r="G601" s="43"/>
      <c r="H601" s="43"/>
      <c r="I601" s="43"/>
    </row>
    <row r="602" ht="12.75" customHeight="1">
      <c r="A602" s="48" t="s">
        <v>44</v>
      </c>
      <c r="B602" s="48" t="s">
        <v>30</v>
      </c>
      <c r="C602" s="48" t="s">
        <v>5</v>
      </c>
      <c r="D602" s="48" t="s">
        <v>47</v>
      </c>
      <c r="E602" s="48"/>
      <c r="F602" s="48">
        <v>0.0</v>
      </c>
      <c r="G602" s="43"/>
      <c r="H602" s="43"/>
      <c r="I602" s="43"/>
    </row>
    <row r="603" ht="12.75" customHeight="1">
      <c r="A603" s="48" t="s">
        <v>44</v>
      </c>
      <c r="B603" s="48" t="s">
        <v>30</v>
      </c>
      <c r="C603" s="48" t="s">
        <v>5</v>
      </c>
      <c r="D603" s="48" t="s">
        <v>47</v>
      </c>
      <c r="E603" s="48"/>
      <c r="F603" s="48">
        <v>6838.5</v>
      </c>
      <c r="G603" s="43"/>
      <c r="H603" s="43"/>
      <c r="I603" s="43"/>
    </row>
    <row r="604" ht="12.75" customHeight="1">
      <c r="A604" s="48" t="s">
        <v>44</v>
      </c>
      <c r="B604" s="48" t="s">
        <v>30</v>
      </c>
      <c r="C604" s="48" t="s">
        <v>61</v>
      </c>
      <c r="D604" s="48" t="s">
        <v>54</v>
      </c>
      <c r="E604" s="48"/>
      <c r="F604" s="48">
        <v>13761.6</v>
      </c>
      <c r="G604" s="43"/>
      <c r="H604" s="43"/>
      <c r="I604" s="43"/>
    </row>
    <row r="605" ht="12.75" customHeight="1">
      <c r="A605" s="48" t="s">
        <v>44</v>
      </c>
      <c r="B605" s="48" t="s">
        <v>30</v>
      </c>
      <c r="C605" s="48" t="s">
        <v>61</v>
      </c>
      <c r="D605" s="48" t="s">
        <v>50</v>
      </c>
      <c r="E605" s="48"/>
      <c r="F605" s="48">
        <v>3600.2000000000003</v>
      </c>
      <c r="G605" s="43"/>
      <c r="H605" s="43"/>
      <c r="I605" s="43"/>
    </row>
    <row r="606" ht="12.75" customHeight="1">
      <c r="A606" s="48" t="s">
        <v>44</v>
      </c>
      <c r="B606" s="48" t="s">
        <v>30</v>
      </c>
      <c r="C606" s="48" t="s">
        <v>61</v>
      </c>
      <c r="D606" s="48" t="s">
        <v>50</v>
      </c>
      <c r="E606" s="48"/>
      <c r="F606" s="48">
        <v>10932.2</v>
      </c>
      <c r="G606" s="43"/>
      <c r="H606" s="43"/>
      <c r="I606" s="43"/>
    </row>
    <row r="607" ht="12.75" customHeight="1">
      <c r="A607" s="48" t="s">
        <v>44</v>
      </c>
      <c r="B607" s="48" t="s">
        <v>30</v>
      </c>
      <c r="C607" s="48" t="s">
        <v>61</v>
      </c>
      <c r="D607" s="48" t="s">
        <v>50</v>
      </c>
      <c r="E607" s="48"/>
      <c r="F607" s="48">
        <v>9235.5</v>
      </c>
      <c r="G607" s="43"/>
      <c r="H607" s="43"/>
      <c r="I607" s="43"/>
    </row>
    <row r="608" ht="12.75" customHeight="1">
      <c r="A608" s="48" t="s">
        <v>44</v>
      </c>
      <c r="B608" s="48" t="s">
        <v>30</v>
      </c>
      <c r="C608" s="48" t="s">
        <v>61</v>
      </c>
      <c r="D608" s="48" t="s">
        <v>47</v>
      </c>
      <c r="E608" s="48"/>
      <c r="F608" s="48">
        <v>0.0</v>
      </c>
      <c r="G608" s="43"/>
      <c r="H608" s="43"/>
      <c r="I608" s="43"/>
    </row>
    <row r="609" ht="12.75" customHeight="1">
      <c r="A609" s="48" t="s">
        <v>44</v>
      </c>
      <c r="B609" s="48" t="s">
        <v>30</v>
      </c>
      <c r="C609" s="48" t="s">
        <v>61</v>
      </c>
      <c r="D609" s="48" t="s">
        <v>47</v>
      </c>
      <c r="E609" s="48"/>
      <c r="F609" s="48">
        <v>0.0</v>
      </c>
      <c r="G609" s="43"/>
      <c r="H609" s="43"/>
      <c r="I609" s="43"/>
    </row>
    <row r="610" ht="12.75" customHeight="1">
      <c r="A610" s="48" t="s">
        <v>44</v>
      </c>
      <c r="B610" s="48" t="s">
        <v>28</v>
      </c>
      <c r="C610" s="48" t="s">
        <v>48</v>
      </c>
      <c r="D610" s="48" t="s">
        <v>58</v>
      </c>
      <c r="E610" s="48"/>
      <c r="F610" s="48">
        <v>0.0</v>
      </c>
      <c r="G610" s="43"/>
      <c r="H610" s="43"/>
      <c r="I610" s="43"/>
    </row>
    <row r="611" ht="12.75" customHeight="1">
      <c r="A611" s="48" t="s">
        <v>44</v>
      </c>
      <c r="B611" s="48" t="s">
        <v>28</v>
      </c>
      <c r="C611" s="48" t="s">
        <v>51</v>
      </c>
      <c r="D611" s="48" t="s">
        <v>49</v>
      </c>
      <c r="E611" s="48"/>
      <c r="F611" s="48">
        <v>0.0</v>
      </c>
      <c r="G611" s="43"/>
      <c r="H611" s="43"/>
      <c r="I611" s="43"/>
    </row>
    <row r="612" ht="12.75" customHeight="1">
      <c r="A612" s="48" t="s">
        <v>44</v>
      </c>
      <c r="B612" s="48" t="s">
        <v>28</v>
      </c>
      <c r="C612" s="48" t="s">
        <v>54</v>
      </c>
      <c r="D612" s="48" t="s">
        <v>8</v>
      </c>
      <c r="E612" s="48"/>
      <c r="F612" s="48">
        <v>0.0</v>
      </c>
      <c r="G612" s="43"/>
      <c r="H612" s="43"/>
      <c r="I612" s="43"/>
    </row>
    <row r="613" ht="12.75" customHeight="1">
      <c r="A613" s="48" t="s">
        <v>44</v>
      </c>
      <c r="B613" s="48" t="s">
        <v>28</v>
      </c>
      <c r="C613" s="48" t="s">
        <v>54</v>
      </c>
      <c r="D613" s="48" t="s">
        <v>8</v>
      </c>
      <c r="E613" s="48"/>
      <c r="F613" s="48">
        <v>0.0</v>
      </c>
      <c r="G613" s="43"/>
      <c r="H613" s="43"/>
      <c r="I613" s="43"/>
    </row>
    <row r="614" ht="12.75" customHeight="1">
      <c r="A614" s="48" t="s">
        <v>44</v>
      </c>
      <c r="B614" s="48" t="s">
        <v>29</v>
      </c>
      <c r="C614" s="48" t="s">
        <v>56</v>
      </c>
      <c r="D614" s="48" t="s">
        <v>58</v>
      </c>
      <c r="E614" s="48"/>
      <c r="F614" s="48">
        <v>0.0</v>
      </c>
      <c r="G614" s="43"/>
      <c r="H614" s="43"/>
      <c r="I614" s="43"/>
    </row>
    <row r="615" ht="12.75" customHeight="1">
      <c r="A615" s="48" t="s">
        <v>44</v>
      </c>
      <c r="B615" s="48" t="s">
        <v>29</v>
      </c>
      <c r="C615" s="48" t="s">
        <v>56</v>
      </c>
      <c r="D615" s="48" t="s">
        <v>8</v>
      </c>
      <c r="E615" s="48"/>
      <c r="F615" s="48">
        <v>0.0</v>
      </c>
      <c r="G615" s="43"/>
      <c r="H615" s="43"/>
      <c r="I615" s="43"/>
    </row>
    <row r="616" ht="12.75" customHeight="1">
      <c r="A616" s="48" t="s">
        <v>44</v>
      </c>
      <c r="B616" s="48" t="s">
        <v>29</v>
      </c>
      <c r="C616" s="48" t="s">
        <v>56</v>
      </c>
      <c r="D616" s="48" t="s">
        <v>8</v>
      </c>
      <c r="E616" s="48"/>
      <c r="F616" s="48">
        <v>0.0</v>
      </c>
      <c r="G616" s="43"/>
      <c r="H616" s="43"/>
      <c r="I616" s="43"/>
    </row>
    <row r="617" ht="12.75" customHeight="1">
      <c r="A617" s="48" t="s">
        <v>44</v>
      </c>
      <c r="B617" s="48" t="s">
        <v>29</v>
      </c>
      <c r="C617" s="48" t="s">
        <v>56</v>
      </c>
      <c r="D617" s="48" t="s">
        <v>49</v>
      </c>
      <c r="E617" s="48"/>
      <c r="F617" s="48">
        <v>0.0</v>
      </c>
      <c r="G617" s="43"/>
      <c r="H617" s="43"/>
      <c r="I617" s="43"/>
    </row>
    <row r="618" ht="12.75" customHeight="1">
      <c r="A618" s="48" t="s">
        <v>44</v>
      </c>
      <c r="B618" s="48" t="s">
        <v>29</v>
      </c>
      <c r="C618" s="48" t="s">
        <v>66</v>
      </c>
      <c r="D618" s="48" t="s">
        <v>58</v>
      </c>
      <c r="E618" s="48"/>
      <c r="F618" s="48">
        <v>0.0</v>
      </c>
      <c r="G618" s="43"/>
      <c r="H618" s="43"/>
      <c r="I618" s="43"/>
    </row>
    <row r="619" ht="12.75" customHeight="1">
      <c r="A619" s="48" t="s">
        <v>44</v>
      </c>
      <c r="B619" s="48" t="s">
        <v>30</v>
      </c>
      <c r="C619" s="48" t="s">
        <v>5</v>
      </c>
      <c r="D619" s="48" t="s">
        <v>58</v>
      </c>
      <c r="E619" s="48"/>
      <c r="F619" s="48">
        <v>0.0</v>
      </c>
      <c r="G619" s="43"/>
      <c r="H619" s="43"/>
      <c r="I619" s="43"/>
    </row>
    <row r="620" ht="12.75" customHeight="1">
      <c r="A620" s="48" t="s">
        <v>44</v>
      </c>
      <c r="B620" s="48" t="s">
        <v>30</v>
      </c>
      <c r="C620" s="48" t="s">
        <v>5</v>
      </c>
      <c r="D620" s="48" t="s">
        <v>8</v>
      </c>
      <c r="E620" s="48"/>
      <c r="F620" s="48">
        <v>0.0</v>
      </c>
      <c r="G620" s="43"/>
      <c r="H620" s="43"/>
      <c r="I620" s="43"/>
    </row>
    <row r="621" ht="12.75" customHeight="1">
      <c r="A621" s="48" t="s">
        <v>44</v>
      </c>
      <c r="B621" s="48" t="s">
        <v>30</v>
      </c>
      <c r="C621" s="48" t="s">
        <v>5</v>
      </c>
      <c r="D621" s="48" t="s">
        <v>49</v>
      </c>
      <c r="E621" s="48"/>
      <c r="F621" s="48">
        <v>0.0</v>
      </c>
      <c r="G621" s="43"/>
      <c r="H621" s="43"/>
      <c r="I621" s="43"/>
    </row>
    <row r="622" ht="12.75" customHeight="1">
      <c r="A622" s="48" t="s">
        <v>44</v>
      </c>
      <c r="B622" s="48" t="s">
        <v>28</v>
      </c>
      <c r="C622" s="48" t="s">
        <v>67</v>
      </c>
      <c r="D622" s="48" t="s">
        <v>58</v>
      </c>
      <c r="E622" s="48"/>
      <c r="F622" s="48">
        <v>0.0</v>
      </c>
      <c r="G622" s="43"/>
      <c r="H622" s="43"/>
      <c r="I622" s="43"/>
    </row>
    <row r="623" ht="12.75" customHeight="1">
      <c r="A623" s="48" t="s">
        <v>44</v>
      </c>
      <c r="B623" s="48" t="s">
        <v>28</v>
      </c>
      <c r="C623" s="48" t="s">
        <v>67</v>
      </c>
      <c r="D623" s="48" t="s">
        <v>47</v>
      </c>
      <c r="E623" s="48"/>
      <c r="F623" s="48">
        <v>0.0</v>
      </c>
      <c r="G623" s="43"/>
      <c r="H623" s="43"/>
      <c r="I623" s="43"/>
    </row>
    <row r="624" ht="12.75" customHeight="1">
      <c r="A624" s="48" t="s">
        <v>44</v>
      </c>
      <c r="B624" s="48" t="s">
        <v>28</v>
      </c>
      <c r="C624" s="48" t="s">
        <v>48</v>
      </c>
      <c r="D624" s="48" t="s">
        <v>49</v>
      </c>
      <c r="E624" s="48"/>
      <c r="F624" s="48">
        <v>2138.5</v>
      </c>
      <c r="G624" s="43"/>
      <c r="H624" s="43"/>
      <c r="I624" s="43"/>
    </row>
    <row r="625" ht="12.75" customHeight="1">
      <c r="A625" s="48" t="s">
        <v>44</v>
      </c>
      <c r="B625" s="48" t="s">
        <v>28</v>
      </c>
      <c r="C625" s="48" t="s">
        <v>48</v>
      </c>
      <c r="D625" s="48" t="s">
        <v>49</v>
      </c>
      <c r="E625" s="48"/>
      <c r="F625" s="48">
        <v>188122.2</v>
      </c>
      <c r="G625" s="43"/>
      <c r="H625" s="43"/>
      <c r="I625" s="43"/>
    </row>
    <row r="626" ht="12.75" customHeight="1">
      <c r="A626" s="48" t="s">
        <v>44</v>
      </c>
      <c r="B626" s="48" t="s">
        <v>28</v>
      </c>
      <c r="C626" s="48" t="s">
        <v>51</v>
      </c>
      <c r="D626" s="48" t="s">
        <v>8</v>
      </c>
      <c r="E626" s="48"/>
      <c r="F626" s="48">
        <v>0.0</v>
      </c>
      <c r="G626" s="43"/>
      <c r="H626" s="43"/>
      <c r="I626" s="43"/>
    </row>
    <row r="627" ht="12.75" customHeight="1">
      <c r="A627" s="48" t="s">
        <v>44</v>
      </c>
      <c r="B627" s="48" t="s">
        <v>28</v>
      </c>
      <c r="C627" s="48" t="s">
        <v>51</v>
      </c>
      <c r="D627" s="48" t="s">
        <v>47</v>
      </c>
      <c r="E627" s="48"/>
      <c r="F627" s="48">
        <v>714.4</v>
      </c>
      <c r="G627" s="43"/>
      <c r="H627" s="43"/>
      <c r="I627" s="43"/>
    </row>
    <row r="628" ht="12.75" customHeight="1">
      <c r="A628" s="48" t="s">
        <v>44</v>
      </c>
      <c r="B628" s="48" t="s">
        <v>28</v>
      </c>
      <c r="C628" s="48" t="s">
        <v>54</v>
      </c>
      <c r="D628" s="48" t="s">
        <v>54</v>
      </c>
      <c r="E628" s="48"/>
      <c r="F628" s="48">
        <v>836.6</v>
      </c>
      <c r="G628" s="43"/>
      <c r="H628" s="43"/>
      <c r="I628" s="43"/>
    </row>
    <row r="629" ht="12.75" customHeight="1">
      <c r="A629" s="48" t="s">
        <v>44</v>
      </c>
      <c r="B629" s="48" t="s">
        <v>28</v>
      </c>
      <c r="C629" s="48" t="s">
        <v>54</v>
      </c>
      <c r="D629" s="48" t="s">
        <v>54</v>
      </c>
      <c r="E629" s="48"/>
      <c r="F629" s="48">
        <v>46967.1</v>
      </c>
      <c r="G629" s="43"/>
      <c r="H629" s="43"/>
      <c r="I629" s="43"/>
    </row>
    <row r="630" ht="12.75" customHeight="1">
      <c r="A630" s="48" t="s">
        <v>44</v>
      </c>
      <c r="B630" s="48" t="s">
        <v>28</v>
      </c>
      <c r="C630" s="48" t="s">
        <v>54</v>
      </c>
      <c r="D630" s="48" t="s">
        <v>54</v>
      </c>
      <c r="E630" s="48"/>
      <c r="F630" s="48">
        <v>0.0</v>
      </c>
      <c r="G630" s="43"/>
      <c r="H630" s="43"/>
      <c r="I630" s="43"/>
    </row>
    <row r="631" ht="12.75" customHeight="1">
      <c r="A631" s="48" t="s">
        <v>44</v>
      </c>
      <c r="B631" s="48" t="s">
        <v>28</v>
      </c>
      <c r="C631" s="48" t="s">
        <v>54</v>
      </c>
      <c r="D631" s="48" t="s">
        <v>47</v>
      </c>
      <c r="E631" s="48"/>
      <c r="F631" s="48">
        <v>0.0</v>
      </c>
      <c r="G631" s="43"/>
      <c r="H631" s="43"/>
      <c r="I631" s="43"/>
    </row>
    <row r="632" ht="12.75" customHeight="1">
      <c r="A632" s="48" t="s">
        <v>44</v>
      </c>
      <c r="B632" s="48" t="s">
        <v>30</v>
      </c>
      <c r="C632" s="48" t="s">
        <v>6</v>
      </c>
      <c r="D632" s="48" t="s">
        <v>6</v>
      </c>
      <c r="E632" s="48"/>
      <c r="F632" s="48">
        <v>0.0</v>
      </c>
      <c r="G632" s="43"/>
      <c r="H632" s="43"/>
      <c r="I632" s="43"/>
    </row>
    <row r="633" ht="12.75" customHeight="1">
      <c r="A633" s="48" t="s">
        <v>44</v>
      </c>
      <c r="B633" s="48" t="s">
        <v>30</v>
      </c>
      <c r="C633" s="48" t="s">
        <v>6</v>
      </c>
      <c r="D633" s="48" t="s">
        <v>54</v>
      </c>
      <c r="E633" s="48"/>
      <c r="F633" s="48">
        <v>935.3000000000001</v>
      </c>
      <c r="G633" s="43"/>
      <c r="H633" s="43"/>
      <c r="I633" s="43"/>
    </row>
    <row r="634" ht="12.75" customHeight="1">
      <c r="A634" s="48" t="s">
        <v>44</v>
      </c>
      <c r="B634" s="48" t="s">
        <v>30</v>
      </c>
      <c r="C634" s="48" t="s">
        <v>5</v>
      </c>
      <c r="D634" s="48" t="s">
        <v>53</v>
      </c>
      <c r="E634" s="48"/>
      <c r="F634" s="48">
        <v>1881471.1</v>
      </c>
      <c r="G634" s="43"/>
      <c r="H634" s="43"/>
      <c r="I634" s="43"/>
    </row>
    <row r="635" ht="12.75" customHeight="1">
      <c r="A635" s="48" t="s">
        <v>44</v>
      </c>
      <c r="B635" s="48" t="s">
        <v>30</v>
      </c>
      <c r="C635" s="48" t="s">
        <v>5</v>
      </c>
      <c r="D635" s="48" t="s">
        <v>53</v>
      </c>
      <c r="E635" s="48"/>
      <c r="F635" s="48">
        <v>0.0</v>
      </c>
      <c r="G635" s="43"/>
      <c r="H635" s="43"/>
      <c r="I635" s="43"/>
    </row>
    <row r="636" ht="12.75" customHeight="1">
      <c r="A636" s="48" t="s">
        <v>44</v>
      </c>
      <c r="B636" s="48" t="s">
        <v>30</v>
      </c>
      <c r="C636" s="48" t="s">
        <v>5</v>
      </c>
      <c r="D636" s="48" t="s">
        <v>53</v>
      </c>
      <c r="E636" s="48"/>
      <c r="F636" s="48">
        <v>0.0</v>
      </c>
      <c r="G636" s="43"/>
      <c r="H636" s="43"/>
      <c r="I636" s="43"/>
    </row>
    <row r="637" ht="12.75" customHeight="1">
      <c r="A637" s="48" t="s">
        <v>44</v>
      </c>
      <c r="B637" s="48" t="s">
        <v>30</v>
      </c>
      <c r="C637" s="48" t="s">
        <v>5</v>
      </c>
      <c r="D637" s="48" t="s">
        <v>58</v>
      </c>
      <c r="E637" s="48"/>
      <c r="F637" s="48">
        <v>0.0</v>
      </c>
      <c r="G637" s="43"/>
      <c r="H637" s="43"/>
      <c r="I637" s="43"/>
    </row>
    <row r="638" ht="12.75" customHeight="1">
      <c r="A638" s="48" t="s">
        <v>44</v>
      </c>
      <c r="B638" s="48" t="s">
        <v>30</v>
      </c>
      <c r="C638" s="48" t="s">
        <v>5</v>
      </c>
      <c r="D638" s="48" t="s">
        <v>6</v>
      </c>
      <c r="E638" s="48"/>
      <c r="F638" s="48">
        <v>1137.4</v>
      </c>
      <c r="G638" s="43"/>
      <c r="H638" s="43"/>
      <c r="I638" s="43"/>
    </row>
    <row r="639" ht="12.75" customHeight="1">
      <c r="A639" s="48" t="s">
        <v>44</v>
      </c>
      <c r="B639" s="48" t="s">
        <v>30</v>
      </c>
      <c r="C639" s="48" t="s">
        <v>5</v>
      </c>
      <c r="D639" s="48" t="s">
        <v>54</v>
      </c>
      <c r="E639" s="48"/>
      <c r="F639" s="48">
        <v>9108.6</v>
      </c>
      <c r="G639" s="43"/>
      <c r="H639" s="43"/>
      <c r="I639" s="43"/>
    </row>
    <row r="640" ht="12.75" customHeight="1">
      <c r="A640" s="48" t="s">
        <v>44</v>
      </c>
      <c r="B640" s="48" t="s">
        <v>30</v>
      </c>
      <c r="C640" s="48" t="s">
        <v>5</v>
      </c>
      <c r="D640" s="48" t="s">
        <v>54</v>
      </c>
      <c r="E640" s="48"/>
      <c r="F640" s="48">
        <v>52564.8</v>
      </c>
      <c r="G640" s="43"/>
      <c r="H640" s="43"/>
      <c r="I640" s="43"/>
    </row>
    <row r="641" ht="12.75" customHeight="1">
      <c r="A641" s="48" t="s">
        <v>44</v>
      </c>
      <c r="B641" s="48" t="s">
        <v>30</v>
      </c>
      <c r="C641" s="48" t="s">
        <v>5</v>
      </c>
      <c r="D641" s="48" t="s">
        <v>54</v>
      </c>
      <c r="E641" s="48"/>
      <c r="F641" s="48">
        <v>21150.0</v>
      </c>
      <c r="G641" s="43"/>
      <c r="H641" s="43"/>
      <c r="I641" s="43"/>
    </row>
    <row r="642" ht="12.75" customHeight="1">
      <c r="A642" s="48" t="s">
        <v>44</v>
      </c>
      <c r="B642" s="48" t="s">
        <v>30</v>
      </c>
      <c r="C642" s="48" t="s">
        <v>5</v>
      </c>
      <c r="D642" s="48" t="s">
        <v>50</v>
      </c>
      <c r="E642" s="48"/>
      <c r="F642" s="48">
        <v>17991.600000000002</v>
      </c>
      <c r="G642" s="43"/>
      <c r="H642" s="43"/>
      <c r="I642" s="43"/>
    </row>
    <row r="643" ht="12.75" customHeight="1">
      <c r="A643" s="48" t="s">
        <v>44</v>
      </c>
      <c r="B643" s="48" t="s">
        <v>30</v>
      </c>
      <c r="C643" s="48" t="s">
        <v>5</v>
      </c>
      <c r="D643" s="48" t="s">
        <v>50</v>
      </c>
      <c r="E643" s="48"/>
      <c r="F643" s="48">
        <v>54054.700000000004</v>
      </c>
      <c r="G643" s="43"/>
      <c r="H643" s="43"/>
      <c r="I643" s="43"/>
    </row>
    <row r="644" ht="12.75" customHeight="1">
      <c r="A644" s="48" t="s">
        <v>44</v>
      </c>
      <c r="B644" s="48" t="s">
        <v>30</v>
      </c>
      <c r="C644" s="48" t="s">
        <v>5</v>
      </c>
      <c r="D644" s="48" t="s">
        <v>50</v>
      </c>
      <c r="E644" s="48"/>
      <c r="F644" s="48">
        <v>20882.100000000002</v>
      </c>
      <c r="G644" s="43"/>
      <c r="H644" s="43"/>
      <c r="I644" s="43"/>
    </row>
    <row r="645" ht="12.75" customHeight="1">
      <c r="A645" s="48" t="s">
        <v>44</v>
      </c>
      <c r="B645" s="48" t="s">
        <v>30</v>
      </c>
      <c r="C645" s="48" t="s">
        <v>5</v>
      </c>
      <c r="D645" s="48" t="s">
        <v>50</v>
      </c>
      <c r="E645" s="48"/>
      <c r="F645" s="48">
        <v>12737.0</v>
      </c>
      <c r="G645" s="43"/>
      <c r="H645" s="43"/>
      <c r="I645" s="43"/>
    </row>
    <row r="646" ht="12.75" customHeight="1">
      <c r="A646" s="48" t="s">
        <v>44</v>
      </c>
      <c r="B646" s="48" t="s">
        <v>30</v>
      </c>
      <c r="C646" s="48" t="s">
        <v>5</v>
      </c>
      <c r="D646" s="48" t="s">
        <v>50</v>
      </c>
      <c r="E646" s="48"/>
      <c r="F646" s="48">
        <v>35132.5</v>
      </c>
      <c r="G646" s="43"/>
      <c r="H646" s="43"/>
      <c r="I646" s="43"/>
    </row>
    <row r="647" ht="12.75" customHeight="1">
      <c r="A647" s="48" t="s">
        <v>44</v>
      </c>
      <c r="B647" s="48" t="s">
        <v>30</v>
      </c>
      <c r="C647" s="48" t="s">
        <v>5</v>
      </c>
      <c r="D647" s="48" t="s">
        <v>50</v>
      </c>
      <c r="E647" s="48"/>
      <c r="F647" s="48">
        <v>64601.5</v>
      </c>
      <c r="G647" s="43"/>
      <c r="H647" s="43"/>
      <c r="I647" s="43"/>
    </row>
    <row r="648" ht="12.75" customHeight="1">
      <c r="A648" s="48" t="s">
        <v>44</v>
      </c>
      <c r="B648" s="48" t="s">
        <v>30</v>
      </c>
      <c r="C648" s="48" t="s">
        <v>5</v>
      </c>
      <c r="D648" s="48" t="s">
        <v>50</v>
      </c>
      <c r="E648" s="48"/>
      <c r="F648" s="48">
        <v>12516.1</v>
      </c>
      <c r="G648" s="43"/>
      <c r="H648" s="43"/>
      <c r="I648" s="43"/>
    </row>
    <row r="649" ht="12.75" customHeight="1">
      <c r="A649" s="48" t="s">
        <v>44</v>
      </c>
      <c r="B649" s="48" t="s">
        <v>30</v>
      </c>
      <c r="C649" s="48" t="s">
        <v>5</v>
      </c>
      <c r="D649" s="48" t="s">
        <v>50</v>
      </c>
      <c r="E649" s="48"/>
      <c r="F649" s="48">
        <v>3792.9</v>
      </c>
      <c r="G649" s="43"/>
      <c r="H649" s="43"/>
      <c r="I649" s="43"/>
    </row>
    <row r="650" ht="12.75" customHeight="1">
      <c r="A650" s="48" t="s">
        <v>44</v>
      </c>
      <c r="B650" s="48" t="s">
        <v>30</v>
      </c>
      <c r="C650" s="48" t="s">
        <v>5</v>
      </c>
      <c r="D650" s="48" t="s">
        <v>50</v>
      </c>
      <c r="E650" s="48"/>
      <c r="F650" s="48">
        <v>12520.800000000001</v>
      </c>
      <c r="G650" s="43"/>
      <c r="H650" s="43"/>
      <c r="I650" s="43"/>
    </row>
    <row r="651" ht="12.75" customHeight="1">
      <c r="A651" s="48" t="s">
        <v>44</v>
      </c>
      <c r="B651" s="48" t="s">
        <v>30</v>
      </c>
      <c r="C651" s="48" t="s">
        <v>5</v>
      </c>
      <c r="D651" s="48" t="s">
        <v>47</v>
      </c>
      <c r="E651" s="48"/>
      <c r="F651" s="48">
        <v>1715.5</v>
      </c>
      <c r="G651" s="43"/>
      <c r="H651" s="43"/>
      <c r="I651" s="43"/>
    </row>
    <row r="652" ht="12.75" customHeight="1">
      <c r="A652" s="48" t="s">
        <v>44</v>
      </c>
      <c r="B652" s="48" t="s">
        <v>30</v>
      </c>
      <c r="C652" s="48" t="s">
        <v>5</v>
      </c>
      <c r="D652" s="48" t="s">
        <v>47</v>
      </c>
      <c r="E652" s="48"/>
      <c r="F652" s="48">
        <v>3181.9</v>
      </c>
      <c r="G652" s="43"/>
      <c r="H652" s="43"/>
      <c r="I652" s="43"/>
    </row>
    <row r="653" ht="12.75" customHeight="1">
      <c r="A653" s="48" t="s">
        <v>44</v>
      </c>
      <c r="B653" s="48" t="s">
        <v>28</v>
      </c>
      <c r="C653" s="48" t="s">
        <v>68</v>
      </c>
      <c r="D653" s="48" t="s">
        <v>8</v>
      </c>
      <c r="E653" s="48"/>
      <c r="F653" s="48">
        <v>1917.6000000000001</v>
      </c>
      <c r="G653" s="43"/>
      <c r="H653" s="43"/>
      <c r="I653" s="43"/>
    </row>
    <row r="654" ht="12.75" customHeight="1">
      <c r="A654" s="48" t="s">
        <v>44</v>
      </c>
      <c r="B654" s="48" t="s">
        <v>28</v>
      </c>
      <c r="C654" s="48" t="s">
        <v>46</v>
      </c>
      <c r="D654" s="48" t="s">
        <v>8</v>
      </c>
      <c r="E654" s="48"/>
      <c r="F654" s="48">
        <v>0.0</v>
      </c>
      <c r="G654" s="43"/>
      <c r="H654" s="43"/>
      <c r="I654" s="43"/>
    </row>
    <row r="655" ht="12.75" customHeight="1">
      <c r="A655" s="48" t="s">
        <v>44</v>
      </c>
      <c r="B655" s="48" t="s">
        <v>28</v>
      </c>
      <c r="C655" s="48" t="s">
        <v>46</v>
      </c>
      <c r="D655" s="48" t="s">
        <v>49</v>
      </c>
      <c r="E655" s="48"/>
      <c r="F655" s="48">
        <v>16887.100000000002</v>
      </c>
      <c r="G655" s="43"/>
      <c r="H655" s="43"/>
      <c r="I655" s="43"/>
    </row>
    <row r="656" ht="12.75" customHeight="1">
      <c r="A656" s="48" t="s">
        <v>44</v>
      </c>
      <c r="B656" s="48" t="s">
        <v>28</v>
      </c>
      <c r="C656" s="48" t="s">
        <v>46</v>
      </c>
      <c r="D656" s="48" t="s">
        <v>47</v>
      </c>
      <c r="E656" s="48"/>
      <c r="F656" s="48">
        <v>0.0</v>
      </c>
      <c r="G656" s="43"/>
      <c r="H656" s="43"/>
      <c r="I656" s="43"/>
    </row>
    <row r="657" ht="12.75" customHeight="1">
      <c r="A657" s="48" t="s">
        <v>44</v>
      </c>
      <c r="B657" s="48" t="s">
        <v>28</v>
      </c>
      <c r="C657" s="48" t="s">
        <v>46</v>
      </c>
      <c r="D657" s="48" t="s">
        <v>47</v>
      </c>
      <c r="E657" s="48"/>
      <c r="F657" s="48">
        <v>0.0</v>
      </c>
      <c r="G657" s="43"/>
      <c r="H657" s="43"/>
      <c r="I657" s="43"/>
    </row>
    <row r="658" ht="12.75" customHeight="1">
      <c r="A658" s="48" t="s">
        <v>44</v>
      </c>
      <c r="B658" s="48" t="s">
        <v>28</v>
      </c>
      <c r="C658" s="48" t="s">
        <v>48</v>
      </c>
      <c r="D658" s="48" t="s">
        <v>49</v>
      </c>
      <c r="E658" s="48"/>
      <c r="F658" s="48">
        <v>94.0</v>
      </c>
      <c r="G658" s="43"/>
      <c r="H658" s="43"/>
      <c r="I658" s="43"/>
    </row>
    <row r="659" ht="12.75" customHeight="1">
      <c r="A659" s="48" t="s">
        <v>44</v>
      </c>
      <c r="B659" s="48" t="s">
        <v>28</v>
      </c>
      <c r="C659" s="48" t="s">
        <v>48</v>
      </c>
      <c r="D659" s="48" t="s">
        <v>49</v>
      </c>
      <c r="E659" s="48"/>
      <c r="F659" s="48">
        <v>188.0</v>
      </c>
      <c r="G659" s="43"/>
      <c r="H659" s="43"/>
      <c r="I659" s="43"/>
    </row>
    <row r="660" ht="12.75" customHeight="1">
      <c r="A660" s="48" t="s">
        <v>44</v>
      </c>
      <c r="B660" s="48" t="s">
        <v>28</v>
      </c>
      <c r="C660" s="48" t="s">
        <v>48</v>
      </c>
      <c r="D660" s="48" t="s">
        <v>49</v>
      </c>
      <c r="E660" s="48"/>
      <c r="F660" s="48">
        <v>6030.1</v>
      </c>
      <c r="G660" s="43"/>
      <c r="H660" s="43"/>
      <c r="I660" s="43"/>
    </row>
    <row r="661" ht="12.75" customHeight="1">
      <c r="A661" s="48" t="s">
        <v>44</v>
      </c>
      <c r="B661" s="48" t="s">
        <v>28</v>
      </c>
      <c r="C661" s="48" t="s">
        <v>48</v>
      </c>
      <c r="D661" s="48" t="s">
        <v>49</v>
      </c>
      <c r="E661" s="48"/>
      <c r="F661" s="48">
        <v>70.5</v>
      </c>
      <c r="G661" s="43"/>
      <c r="H661" s="43"/>
      <c r="I661" s="43"/>
    </row>
    <row r="662" ht="12.75" customHeight="1">
      <c r="A662" s="48" t="s">
        <v>44</v>
      </c>
      <c r="B662" s="48" t="s">
        <v>28</v>
      </c>
      <c r="C662" s="48" t="s">
        <v>48</v>
      </c>
      <c r="D662" s="48" t="s">
        <v>49</v>
      </c>
      <c r="E662" s="48"/>
      <c r="F662" s="48">
        <v>70.5</v>
      </c>
      <c r="G662" s="43"/>
      <c r="H662" s="43"/>
      <c r="I662" s="43"/>
    </row>
    <row r="663" ht="12.75" customHeight="1">
      <c r="A663" s="48" t="s">
        <v>44</v>
      </c>
      <c r="B663" s="48" t="s">
        <v>28</v>
      </c>
      <c r="C663" s="48" t="s">
        <v>48</v>
      </c>
      <c r="D663" s="48" t="s">
        <v>49</v>
      </c>
      <c r="E663" s="48"/>
      <c r="F663" s="48">
        <v>47.0</v>
      </c>
      <c r="G663" s="43"/>
      <c r="H663" s="43"/>
      <c r="I663" s="43"/>
    </row>
    <row r="664" ht="12.75" customHeight="1">
      <c r="A664" s="48" t="s">
        <v>44</v>
      </c>
      <c r="B664" s="48" t="s">
        <v>28</v>
      </c>
      <c r="C664" s="48" t="s">
        <v>48</v>
      </c>
      <c r="D664" s="48" t="s">
        <v>49</v>
      </c>
      <c r="E664" s="48"/>
      <c r="F664" s="48">
        <v>141.0</v>
      </c>
      <c r="G664" s="43"/>
      <c r="H664" s="43"/>
      <c r="I664" s="43"/>
    </row>
    <row r="665" ht="12.75" customHeight="1">
      <c r="A665" s="48" t="s">
        <v>44</v>
      </c>
      <c r="B665" s="48" t="s">
        <v>28</v>
      </c>
      <c r="C665" s="48" t="s">
        <v>48</v>
      </c>
      <c r="D665" s="48" t="s">
        <v>50</v>
      </c>
      <c r="E665" s="48"/>
      <c r="F665" s="48">
        <v>258.5</v>
      </c>
      <c r="G665" s="43"/>
      <c r="H665" s="43"/>
      <c r="I665" s="43"/>
    </row>
    <row r="666" ht="12.75" customHeight="1">
      <c r="A666" s="48" t="s">
        <v>44</v>
      </c>
      <c r="B666" s="48" t="s">
        <v>28</v>
      </c>
      <c r="C666" s="48" t="s">
        <v>48</v>
      </c>
      <c r="D666" s="48" t="s">
        <v>47</v>
      </c>
      <c r="E666" s="48"/>
      <c r="F666" s="48">
        <v>940.0</v>
      </c>
      <c r="G666" s="43"/>
      <c r="H666" s="43"/>
      <c r="I666" s="43"/>
    </row>
    <row r="667" ht="12.75" customHeight="1">
      <c r="A667" s="48" t="s">
        <v>44</v>
      </c>
      <c r="B667" s="48" t="s">
        <v>28</v>
      </c>
      <c r="C667" s="48" t="s">
        <v>28</v>
      </c>
      <c r="D667" s="48" t="s">
        <v>47</v>
      </c>
      <c r="E667" s="48"/>
      <c r="F667" s="48">
        <v>10363.5</v>
      </c>
      <c r="G667" s="43"/>
      <c r="H667" s="43"/>
      <c r="I667" s="43"/>
    </row>
    <row r="668" ht="12.75" customHeight="1">
      <c r="A668" s="48" t="s">
        <v>44</v>
      </c>
      <c r="B668" s="48" t="s">
        <v>28</v>
      </c>
      <c r="C668" s="48" t="s">
        <v>51</v>
      </c>
      <c r="D668" s="48" t="s">
        <v>8</v>
      </c>
      <c r="E668" s="48"/>
      <c r="F668" s="48">
        <v>188.0</v>
      </c>
      <c r="G668" s="43"/>
      <c r="H668" s="43"/>
      <c r="I668" s="43"/>
    </row>
    <row r="669" ht="12.75" customHeight="1">
      <c r="A669" s="48" t="s">
        <v>44</v>
      </c>
      <c r="B669" s="48" t="s">
        <v>28</v>
      </c>
      <c r="C669" s="48" t="s">
        <v>51</v>
      </c>
      <c r="D669" s="48" t="s">
        <v>54</v>
      </c>
      <c r="E669" s="48"/>
      <c r="F669" s="48">
        <v>178.6</v>
      </c>
      <c r="G669" s="43"/>
      <c r="H669" s="43"/>
      <c r="I669" s="43"/>
    </row>
    <row r="670" ht="12.75" customHeight="1">
      <c r="A670" s="48" t="s">
        <v>44</v>
      </c>
      <c r="B670" s="48" t="s">
        <v>28</v>
      </c>
      <c r="C670" s="48" t="s">
        <v>51</v>
      </c>
      <c r="D670" s="48" t="s">
        <v>54</v>
      </c>
      <c r="E670" s="48"/>
      <c r="F670" s="48">
        <v>25347.100000000002</v>
      </c>
      <c r="G670" s="43"/>
      <c r="H670" s="43"/>
      <c r="I670" s="43"/>
    </row>
    <row r="671" ht="12.75" customHeight="1">
      <c r="A671" s="48" t="s">
        <v>44</v>
      </c>
      <c r="B671" s="48" t="s">
        <v>28</v>
      </c>
      <c r="C671" s="48" t="s">
        <v>51</v>
      </c>
      <c r="D671" s="48" t="s">
        <v>49</v>
      </c>
      <c r="E671" s="48"/>
      <c r="F671" s="48">
        <v>0.0</v>
      </c>
      <c r="G671" s="43"/>
      <c r="H671" s="43"/>
      <c r="I671" s="43"/>
    </row>
    <row r="672" ht="12.75" customHeight="1">
      <c r="A672" s="48" t="s">
        <v>44</v>
      </c>
      <c r="B672" s="48" t="s">
        <v>28</v>
      </c>
      <c r="C672" s="48" t="s">
        <v>51</v>
      </c>
      <c r="D672" s="48" t="s">
        <v>50</v>
      </c>
      <c r="E672" s="48"/>
      <c r="F672" s="48">
        <v>49707.200000000004</v>
      </c>
      <c r="G672" s="43"/>
      <c r="H672" s="43"/>
      <c r="I672" s="43"/>
    </row>
    <row r="673" ht="12.75" customHeight="1">
      <c r="A673" s="48" t="s">
        <v>44</v>
      </c>
      <c r="B673" s="48" t="s">
        <v>28</v>
      </c>
      <c r="C673" s="48" t="s">
        <v>51</v>
      </c>
      <c r="D673" s="48" t="s">
        <v>50</v>
      </c>
      <c r="E673" s="48"/>
      <c r="F673" s="48">
        <v>5964.3</v>
      </c>
      <c r="G673" s="43"/>
      <c r="H673" s="43"/>
      <c r="I673" s="43"/>
    </row>
    <row r="674" ht="12.75" customHeight="1">
      <c r="A674" s="48" t="s">
        <v>44</v>
      </c>
      <c r="B674" s="48" t="s">
        <v>28</v>
      </c>
      <c r="C674" s="48" t="s">
        <v>51</v>
      </c>
      <c r="D674" s="48" t="s">
        <v>50</v>
      </c>
      <c r="E674" s="48"/>
      <c r="F674" s="48">
        <v>21859.7</v>
      </c>
      <c r="G674" s="43"/>
      <c r="H674" s="43"/>
      <c r="I674" s="43"/>
    </row>
    <row r="675" ht="12.75" customHeight="1">
      <c r="A675" s="48" t="s">
        <v>44</v>
      </c>
      <c r="B675" s="48" t="s">
        <v>28</v>
      </c>
      <c r="C675" s="48" t="s">
        <v>51</v>
      </c>
      <c r="D675" s="48" t="s">
        <v>47</v>
      </c>
      <c r="E675" s="48"/>
      <c r="F675" s="48">
        <v>27950.9</v>
      </c>
      <c r="G675" s="43"/>
      <c r="H675" s="43"/>
      <c r="I675" s="43"/>
    </row>
    <row r="676" ht="12.75" customHeight="1">
      <c r="A676" s="48" t="s">
        <v>44</v>
      </c>
      <c r="B676" s="48" t="s">
        <v>28</v>
      </c>
      <c r="C676" s="48" t="s">
        <v>51</v>
      </c>
      <c r="D676" s="48" t="s">
        <v>47</v>
      </c>
      <c r="E676" s="48"/>
      <c r="F676" s="48">
        <v>780.2</v>
      </c>
      <c r="G676" s="43"/>
      <c r="H676" s="43"/>
      <c r="I676" s="43"/>
    </row>
    <row r="677" ht="12.75" customHeight="1">
      <c r="A677" s="48" t="s">
        <v>44</v>
      </c>
      <c r="B677" s="48" t="s">
        <v>28</v>
      </c>
      <c r="C677" s="48" t="s">
        <v>51</v>
      </c>
      <c r="D677" s="48" t="s">
        <v>47</v>
      </c>
      <c r="E677" s="48"/>
      <c r="F677" s="48">
        <v>2392.3</v>
      </c>
      <c r="G677" s="43"/>
      <c r="H677" s="43"/>
      <c r="I677" s="43"/>
    </row>
    <row r="678" ht="12.75" customHeight="1">
      <c r="A678" s="48" t="s">
        <v>44</v>
      </c>
      <c r="B678" s="48" t="s">
        <v>28</v>
      </c>
      <c r="C678" s="48" t="s">
        <v>51</v>
      </c>
      <c r="D678" s="48" t="s">
        <v>47</v>
      </c>
      <c r="E678" s="48"/>
      <c r="F678" s="48">
        <v>0.0</v>
      </c>
      <c r="G678" s="43"/>
      <c r="H678" s="43"/>
      <c r="I678" s="43"/>
    </row>
    <row r="679" ht="12.75" customHeight="1">
      <c r="A679" s="48" t="s">
        <v>44</v>
      </c>
      <c r="B679" s="48" t="s">
        <v>28</v>
      </c>
      <c r="C679" s="48" t="s">
        <v>55</v>
      </c>
      <c r="D679" s="48" t="s">
        <v>54</v>
      </c>
      <c r="E679" s="48"/>
      <c r="F679" s="48">
        <v>2909.3</v>
      </c>
      <c r="G679" s="43"/>
      <c r="H679" s="43"/>
      <c r="I679" s="43"/>
    </row>
    <row r="680" ht="12.75" customHeight="1">
      <c r="A680" s="48" t="s">
        <v>44</v>
      </c>
      <c r="B680" s="48" t="s">
        <v>28</v>
      </c>
      <c r="C680" s="48" t="s">
        <v>55</v>
      </c>
      <c r="D680" s="48" t="s">
        <v>49</v>
      </c>
      <c r="E680" s="48"/>
      <c r="F680" s="48">
        <v>5625.900000000001</v>
      </c>
      <c r="G680" s="43"/>
      <c r="H680" s="43"/>
      <c r="I680" s="43"/>
    </row>
    <row r="681" ht="12.75" customHeight="1">
      <c r="A681" s="48" t="s">
        <v>44</v>
      </c>
      <c r="B681" s="48" t="s">
        <v>28</v>
      </c>
      <c r="C681" s="48" t="s">
        <v>54</v>
      </c>
      <c r="D681" s="48" t="s">
        <v>8</v>
      </c>
      <c r="E681" s="48"/>
      <c r="F681" s="48">
        <v>1395.9</v>
      </c>
      <c r="G681" s="43"/>
      <c r="H681" s="43"/>
      <c r="I681" s="43"/>
    </row>
    <row r="682" ht="12.75" customHeight="1">
      <c r="A682" s="48" t="s">
        <v>44</v>
      </c>
      <c r="B682" s="48" t="s">
        <v>28</v>
      </c>
      <c r="C682" s="48" t="s">
        <v>54</v>
      </c>
      <c r="D682" s="48" t="s">
        <v>8</v>
      </c>
      <c r="E682" s="48"/>
      <c r="F682" s="48">
        <v>1212.6000000000001</v>
      </c>
      <c r="G682" s="43"/>
      <c r="H682" s="43"/>
      <c r="I682" s="43"/>
    </row>
    <row r="683" ht="12.75" customHeight="1">
      <c r="A683" s="48" t="s">
        <v>44</v>
      </c>
      <c r="B683" s="48" t="s">
        <v>28</v>
      </c>
      <c r="C683" s="48" t="s">
        <v>54</v>
      </c>
      <c r="D683" s="48" t="s">
        <v>54</v>
      </c>
      <c r="E683" s="48"/>
      <c r="F683" s="48">
        <v>151537.4</v>
      </c>
      <c r="G683" s="43"/>
      <c r="H683" s="43"/>
      <c r="I683" s="43"/>
    </row>
    <row r="684" ht="12.75" customHeight="1">
      <c r="A684" s="48" t="s">
        <v>44</v>
      </c>
      <c r="B684" s="48" t="s">
        <v>28</v>
      </c>
      <c r="C684" s="48" t="s">
        <v>54</v>
      </c>
      <c r="D684" s="48" t="s">
        <v>54</v>
      </c>
      <c r="E684" s="48"/>
      <c r="F684" s="48">
        <v>813.1</v>
      </c>
      <c r="G684" s="43"/>
      <c r="H684" s="43"/>
      <c r="I684" s="43"/>
    </row>
    <row r="685" ht="12.75" customHeight="1">
      <c r="A685" s="48" t="s">
        <v>44</v>
      </c>
      <c r="B685" s="48" t="s">
        <v>28</v>
      </c>
      <c r="C685" s="48" t="s">
        <v>54</v>
      </c>
      <c r="D685" s="48" t="s">
        <v>54</v>
      </c>
      <c r="E685" s="48"/>
      <c r="F685" s="48">
        <v>7209.8</v>
      </c>
      <c r="G685" s="43"/>
      <c r="H685" s="43"/>
      <c r="I685" s="43"/>
    </row>
    <row r="686" ht="12.75" customHeight="1">
      <c r="A686" s="48" t="s">
        <v>44</v>
      </c>
      <c r="B686" s="48" t="s">
        <v>28</v>
      </c>
      <c r="C686" s="48" t="s">
        <v>54</v>
      </c>
      <c r="D686" s="48" t="s">
        <v>54</v>
      </c>
      <c r="E686" s="48"/>
      <c r="F686" s="48">
        <v>12356.300000000001</v>
      </c>
      <c r="G686" s="43"/>
      <c r="H686" s="43"/>
      <c r="I686" s="43"/>
    </row>
    <row r="687" ht="12.75" customHeight="1">
      <c r="A687" s="48" t="s">
        <v>44</v>
      </c>
      <c r="B687" s="48" t="s">
        <v>28</v>
      </c>
      <c r="C687" s="48" t="s">
        <v>54</v>
      </c>
      <c r="D687" s="48" t="s">
        <v>54</v>
      </c>
      <c r="E687" s="48"/>
      <c r="F687" s="48">
        <v>10612.6</v>
      </c>
      <c r="G687" s="43"/>
      <c r="H687" s="43"/>
      <c r="I687" s="43"/>
    </row>
    <row r="688" ht="12.75" customHeight="1">
      <c r="A688" s="48" t="s">
        <v>44</v>
      </c>
      <c r="B688" s="48" t="s">
        <v>28</v>
      </c>
      <c r="C688" s="48" t="s">
        <v>54</v>
      </c>
      <c r="D688" s="48" t="s">
        <v>54</v>
      </c>
      <c r="E688" s="48"/>
      <c r="F688" s="48">
        <v>1551.0</v>
      </c>
      <c r="G688" s="43"/>
      <c r="H688" s="43"/>
      <c r="I688" s="43"/>
    </row>
    <row r="689" ht="12.75" customHeight="1">
      <c r="A689" s="48" t="s">
        <v>44</v>
      </c>
      <c r="B689" s="48" t="s">
        <v>28</v>
      </c>
      <c r="C689" s="48" t="s">
        <v>54</v>
      </c>
      <c r="D689" s="48" t="s">
        <v>54</v>
      </c>
      <c r="E689" s="48"/>
      <c r="F689" s="48">
        <v>-233467.80000000002</v>
      </c>
      <c r="G689" s="43"/>
      <c r="H689" s="43"/>
      <c r="I689" s="43"/>
    </row>
    <row r="690" ht="12.75" customHeight="1">
      <c r="A690" s="48" t="s">
        <v>44</v>
      </c>
      <c r="B690" s="48" t="s">
        <v>28</v>
      </c>
      <c r="C690" s="48" t="s">
        <v>54</v>
      </c>
      <c r="D690" s="48" t="s">
        <v>54</v>
      </c>
      <c r="E690" s="48"/>
      <c r="F690" s="48">
        <v>282.0</v>
      </c>
      <c r="G690" s="43"/>
      <c r="H690" s="43"/>
      <c r="I690" s="43"/>
    </row>
    <row r="691" ht="12.75" customHeight="1">
      <c r="A691" s="48" t="s">
        <v>44</v>
      </c>
      <c r="B691" s="48" t="s">
        <v>28</v>
      </c>
      <c r="C691" s="48" t="s">
        <v>54</v>
      </c>
      <c r="D691" s="48" t="s">
        <v>54</v>
      </c>
      <c r="E691" s="48"/>
      <c r="F691" s="48">
        <v>996.4000000000001</v>
      </c>
      <c r="G691" s="43"/>
      <c r="H691" s="43"/>
      <c r="I691" s="43"/>
    </row>
    <row r="692" ht="12.75" customHeight="1">
      <c r="A692" s="48" t="s">
        <v>44</v>
      </c>
      <c r="B692" s="48" t="s">
        <v>28</v>
      </c>
      <c r="C692" s="48" t="s">
        <v>54</v>
      </c>
      <c r="D692" s="48" t="s">
        <v>54</v>
      </c>
      <c r="E692" s="48"/>
      <c r="F692" s="48">
        <v>596.9</v>
      </c>
      <c r="G692" s="43"/>
      <c r="H692" s="43"/>
      <c r="I692" s="43"/>
    </row>
    <row r="693" ht="12.75" customHeight="1">
      <c r="A693" s="48" t="s">
        <v>44</v>
      </c>
      <c r="B693" s="48" t="s">
        <v>28</v>
      </c>
      <c r="C693" s="48" t="s">
        <v>54</v>
      </c>
      <c r="D693" s="48" t="s">
        <v>54</v>
      </c>
      <c r="E693" s="48"/>
      <c r="F693" s="48">
        <v>31020.0</v>
      </c>
      <c r="G693" s="43"/>
      <c r="H693" s="43"/>
      <c r="I693" s="43"/>
    </row>
    <row r="694" ht="12.75" customHeight="1">
      <c r="A694" s="48" t="s">
        <v>44</v>
      </c>
      <c r="B694" s="48" t="s">
        <v>28</v>
      </c>
      <c r="C694" s="48" t="s">
        <v>54</v>
      </c>
      <c r="D694" s="48" t="s">
        <v>54</v>
      </c>
      <c r="E694" s="48"/>
      <c r="F694" s="48">
        <v>0.0</v>
      </c>
      <c r="G694" s="43"/>
      <c r="H694" s="43"/>
      <c r="I694" s="43"/>
    </row>
    <row r="695" ht="12.75" customHeight="1">
      <c r="A695" s="48" t="s">
        <v>44</v>
      </c>
      <c r="B695" s="48" t="s">
        <v>28</v>
      </c>
      <c r="C695" s="48" t="s">
        <v>54</v>
      </c>
      <c r="D695" s="48" t="s">
        <v>47</v>
      </c>
      <c r="E695" s="48"/>
      <c r="F695" s="48">
        <v>1414.7</v>
      </c>
      <c r="G695" s="43"/>
      <c r="H695" s="43"/>
      <c r="I695" s="43"/>
    </row>
    <row r="696" ht="12.75" customHeight="1">
      <c r="A696" s="48" t="s">
        <v>44</v>
      </c>
      <c r="B696" s="48" t="s">
        <v>28</v>
      </c>
      <c r="C696" s="48" t="s">
        <v>54</v>
      </c>
      <c r="D696" s="48" t="s">
        <v>47</v>
      </c>
      <c r="E696" s="48"/>
      <c r="F696" s="48">
        <v>6283.900000000001</v>
      </c>
      <c r="G696" s="43"/>
      <c r="H696" s="43"/>
      <c r="I696" s="43"/>
    </row>
    <row r="697" ht="12.75" customHeight="1">
      <c r="A697" s="48" t="s">
        <v>44</v>
      </c>
      <c r="B697" s="48" t="s">
        <v>28</v>
      </c>
      <c r="C697" s="48" t="s">
        <v>54</v>
      </c>
      <c r="D697" s="48" t="s">
        <v>47</v>
      </c>
      <c r="E697" s="48"/>
      <c r="F697" s="48">
        <v>1555.7</v>
      </c>
      <c r="G697" s="43"/>
      <c r="H697" s="43"/>
      <c r="I697" s="43"/>
    </row>
    <row r="698" ht="12.75" customHeight="1">
      <c r="A698" s="48" t="s">
        <v>44</v>
      </c>
      <c r="B698" s="48" t="s">
        <v>28</v>
      </c>
      <c r="C698" s="48" t="s">
        <v>54</v>
      </c>
      <c r="D698" s="48" t="s">
        <v>47</v>
      </c>
      <c r="E698" s="48"/>
      <c r="F698" s="48">
        <v>3318.2000000000003</v>
      </c>
      <c r="G698" s="43"/>
      <c r="H698" s="43"/>
      <c r="I698" s="43"/>
    </row>
    <row r="699" ht="12.75" customHeight="1">
      <c r="A699" s="48" t="s">
        <v>44</v>
      </c>
      <c r="B699" s="48" t="s">
        <v>28</v>
      </c>
      <c r="C699" s="48" t="s">
        <v>54</v>
      </c>
      <c r="D699" s="48" t="s">
        <v>47</v>
      </c>
      <c r="E699" s="48"/>
      <c r="F699" s="48">
        <v>1311.3</v>
      </c>
      <c r="G699" s="43"/>
      <c r="H699" s="43"/>
      <c r="I699" s="43"/>
    </row>
    <row r="700" ht="12.75" customHeight="1">
      <c r="A700" s="48" t="s">
        <v>44</v>
      </c>
      <c r="B700" s="48" t="s">
        <v>29</v>
      </c>
      <c r="C700" s="48" t="s">
        <v>56</v>
      </c>
      <c r="D700" s="48" t="s">
        <v>57</v>
      </c>
      <c r="E700" s="48"/>
      <c r="F700" s="48">
        <v>366656.4</v>
      </c>
      <c r="G700" s="43"/>
      <c r="H700" s="43"/>
      <c r="I700" s="43"/>
    </row>
    <row r="701" ht="12.75" customHeight="1">
      <c r="A701" s="48" t="s">
        <v>44</v>
      </c>
      <c r="B701" s="48" t="s">
        <v>29</v>
      </c>
      <c r="C701" s="48" t="s">
        <v>56</v>
      </c>
      <c r="D701" s="48" t="s">
        <v>58</v>
      </c>
      <c r="E701" s="48"/>
      <c r="F701" s="48">
        <v>126392.40000000001</v>
      </c>
      <c r="G701" s="43"/>
      <c r="H701" s="43"/>
      <c r="I701" s="43"/>
    </row>
    <row r="702" ht="12.75" customHeight="1">
      <c r="A702" s="48" t="s">
        <v>44</v>
      </c>
      <c r="B702" s="48" t="s">
        <v>29</v>
      </c>
      <c r="C702" s="48" t="s">
        <v>56</v>
      </c>
      <c r="D702" s="48" t="s">
        <v>58</v>
      </c>
      <c r="E702" s="48"/>
      <c r="F702" s="48">
        <v>9541.0</v>
      </c>
      <c r="G702" s="43"/>
      <c r="H702" s="43"/>
      <c r="I702" s="43"/>
    </row>
    <row r="703" ht="12.75" customHeight="1">
      <c r="A703" s="48" t="s">
        <v>44</v>
      </c>
      <c r="B703" s="48" t="s">
        <v>29</v>
      </c>
      <c r="C703" s="48" t="s">
        <v>56</v>
      </c>
      <c r="D703" s="48" t="s">
        <v>8</v>
      </c>
      <c r="E703" s="48"/>
      <c r="F703" s="48">
        <v>352.5</v>
      </c>
      <c r="G703" s="43"/>
      <c r="H703" s="43"/>
      <c r="I703" s="43"/>
    </row>
    <row r="704" ht="12.75" customHeight="1">
      <c r="A704" s="48" t="s">
        <v>44</v>
      </c>
      <c r="B704" s="48" t="s">
        <v>29</v>
      </c>
      <c r="C704" s="48" t="s">
        <v>56</v>
      </c>
      <c r="D704" s="48" t="s">
        <v>8</v>
      </c>
      <c r="E704" s="48"/>
      <c r="F704" s="48">
        <v>399.5</v>
      </c>
      <c r="G704" s="43"/>
      <c r="H704" s="43"/>
      <c r="I704" s="43"/>
    </row>
    <row r="705" ht="12.75" customHeight="1">
      <c r="A705" s="48" t="s">
        <v>44</v>
      </c>
      <c r="B705" s="48" t="s">
        <v>29</v>
      </c>
      <c r="C705" s="48" t="s">
        <v>56</v>
      </c>
      <c r="D705" s="48" t="s">
        <v>8</v>
      </c>
      <c r="E705" s="48"/>
      <c r="F705" s="48">
        <v>155.1</v>
      </c>
      <c r="G705" s="43"/>
      <c r="H705" s="43"/>
      <c r="I705" s="43"/>
    </row>
    <row r="706" ht="12.75" customHeight="1">
      <c r="A706" s="48" t="s">
        <v>44</v>
      </c>
      <c r="B706" s="48" t="s">
        <v>29</v>
      </c>
      <c r="C706" s="48" t="s">
        <v>56</v>
      </c>
      <c r="D706" s="48" t="s">
        <v>8</v>
      </c>
      <c r="E706" s="48"/>
      <c r="F706" s="48">
        <v>2885.8</v>
      </c>
      <c r="G706" s="43"/>
      <c r="H706" s="43"/>
      <c r="I706" s="43"/>
    </row>
    <row r="707" ht="12.75" customHeight="1">
      <c r="A707" s="48" t="s">
        <v>44</v>
      </c>
      <c r="B707" s="48" t="s">
        <v>29</v>
      </c>
      <c r="C707" s="48" t="s">
        <v>56</v>
      </c>
      <c r="D707" s="48" t="s">
        <v>8</v>
      </c>
      <c r="E707" s="48"/>
      <c r="F707" s="48">
        <v>267.90000000000003</v>
      </c>
      <c r="G707" s="43"/>
      <c r="H707" s="43"/>
      <c r="I707" s="43"/>
    </row>
    <row r="708" ht="12.75" customHeight="1">
      <c r="A708" s="48" t="s">
        <v>44</v>
      </c>
      <c r="B708" s="48" t="s">
        <v>29</v>
      </c>
      <c r="C708" s="48" t="s">
        <v>56</v>
      </c>
      <c r="D708" s="48" t="s">
        <v>8</v>
      </c>
      <c r="E708" s="48"/>
      <c r="F708" s="48">
        <v>1128.0</v>
      </c>
      <c r="G708" s="43"/>
      <c r="H708" s="43"/>
      <c r="I708" s="43"/>
    </row>
    <row r="709" ht="12.75" customHeight="1">
      <c r="A709" s="48" t="s">
        <v>44</v>
      </c>
      <c r="B709" s="48" t="s">
        <v>29</v>
      </c>
      <c r="C709" s="48" t="s">
        <v>56</v>
      </c>
      <c r="D709" s="48" t="s">
        <v>8</v>
      </c>
      <c r="E709" s="48"/>
      <c r="F709" s="48">
        <v>554.6</v>
      </c>
      <c r="G709" s="43"/>
      <c r="H709" s="43"/>
      <c r="I709" s="43"/>
    </row>
    <row r="710" ht="12.75" customHeight="1">
      <c r="A710" s="48" t="s">
        <v>44</v>
      </c>
      <c r="B710" s="48" t="s">
        <v>29</v>
      </c>
      <c r="C710" s="48" t="s">
        <v>56</v>
      </c>
      <c r="D710" s="48" t="s">
        <v>8</v>
      </c>
      <c r="E710" s="48"/>
      <c r="F710" s="48">
        <v>0.0</v>
      </c>
      <c r="G710" s="43"/>
      <c r="H710" s="43"/>
      <c r="I710" s="43"/>
    </row>
    <row r="711" ht="12.75" customHeight="1">
      <c r="A711" s="48" t="s">
        <v>44</v>
      </c>
      <c r="B711" s="48" t="s">
        <v>29</v>
      </c>
      <c r="C711" s="48" t="s">
        <v>56</v>
      </c>
      <c r="D711" s="48" t="s">
        <v>54</v>
      </c>
      <c r="E711" s="48"/>
      <c r="F711" s="48">
        <v>690.9</v>
      </c>
      <c r="G711" s="43"/>
      <c r="H711" s="43"/>
      <c r="I711" s="43"/>
    </row>
    <row r="712" ht="12.75" customHeight="1">
      <c r="A712" s="48" t="s">
        <v>44</v>
      </c>
      <c r="B712" s="48" t="s">
        <v>29</v>
      </c>
      <c r="C712" s="48" t="s">
        <v>56</v>
      </c>
      <c r="D712" s="48" t="s">
        <v>54</v>
      </c>
      <c r="E712" s="48"/>
      <c r="F712" s="48">
        <v>72328.3</v>
      </c>
      <c r="G712" s="43"/>
      <c r="H712" s="43"/>
      <c r="I712" s="43"/>
    </row>
    <row r="713" ht="12.75" customHeight="1">
      <c r="A713" s="48" t="s">
        <v>44</v>
      </c>
      <c r="B713" s="48" t="s">
        <v>29</v>
      </c>
      <c r="C713" s="48" t="s">
        <v>56</v>
      </c>
      <c r="D713" s="48" t="s">
        <v>49</v>
      </c>
      <c r="E713" s="48"/>
      <c r="F713" s="48">
        <v>94000.0</v>
      </c>
      <c r="G713" s="43"/>
      <c r="H713" s="43"/>
      <c r="I713" s="43"/>
    </row>
    <row r="714" ht="12.75" customHeight="1">
      <c r="A714" s="48" t="s">
        <v>44</v>
      </c>
      <c r="B714" s="48" t="s">
        <v>29</v>
      </c>
      <c r="C714" s="48" t="s">
        <v>56</v>
      </c>
      <c r="D714" s="48" t="s">
        <v>50</v>
      </c>
      <c r="E714" s="48"/>
      <c r="F714" s="48">
        <v>5104.2</v>
      </c>
      <c r="G714" s="43"/>
      <c r="H714" s="43"/>
      <c r="I714" s="43"/>
    </row>
    <row r="715" ht="12.75" customHeight="1">
      <c r="A715" s="48" t="s">
        <v>44</v>
      </c>
      <c r="B715" s="48" t="s">
        <v>29</v>
      </c>
      <c r="C715" s="48" t="s">
        <v>56</v>
      </c>
      <c r="D715" s="48" t="s">
        <v>50</v>
      </c>
      <c r="E715" s="48"/>
      <c r="F715" s="48">
        <v>11721.800000000001</v>
      </c>
      <c r="G715" s="43"/>
      <c r="H715" s="43"/>
      <c r="I715" s="43"/>
    </row>
    <row r="716" ht="12.75" customHeight="1">
      <c r="A716" s="48" t="s">
        <v>44</v>
      </c>
      <c r="B716" s="48" t="s">
        <v>29</v>
      </c>
      <c r="C716" s="48" t="s">
        <v>56</v>
      </c>
      <c r="D716" s="48" t="s">
        <v>50</v>
      </c>
      <c r="E716" s="48"/>
      <c r="F716" s="48">
        <v>12981.4</v>
      </c>
      <c r="G716" s="43"/>
      <c r="H716" s="43"/>
      <c r="I716" s="43"/>
    </row>
    <row r="717" ht="12.75" customHeight="1">
      <c r="A717" s="48" t="s">
        <v>44</v>
      </c>
      <c r="B717" s="48" t="s">
        <v>29</v>
      </c>
      <c r="C717" s="48" t="s">
        <v>56</v>
      </c>
      <c r="D717" s="48" t="s">
        <v>50</v>
      </c>
      <c r="E717" s="48"/>
      <c r="F717" s="48">
        <v>13094.2</v>
      </c>
      <c r="G717" s="43"/>
      <c r="H717" s="43"/>
      <c r="I717" s="43"/>
    </row>
    <row r="718" ht="12.75" customHeight="1">
      <c r="A718" s="48" t="s">
        <v>44</v>
      </c>
      <c r="B718" s="48" t="s">
        <v>29</v>
      </c>
      <c r="C718" s="48" t="s">
        <v>56</v>
      </c>
      <c r="D718" s="48" t="s">
        <v>50</v>
      </c>
      <c r="E718" s="48"/>
      <c r="F718" s="48">
        <v>30437.2</v>
      </c>
      <c r="G718" s="43"/>
      <c r="H718" s="43"/>
      <c r="I718" s="43"/>
    </row>
    <row r="719" ht="12.75" customHeight="1">
      <c r="A719" s="48" t="s">
        <v>44</v>
      </c>
      <c r="B719" s="48" t="s">
        <v>29</v>
      </c>
      <c r="C719" s="48" t="s">
        <v>56</v>
      </c>
      <c r="D719" s="48" t="s">
        <v>50</v>
      </c>
      <c r="E719" s="48"/>
      <c r="F719" s="48">
        <v>65583.8</v>
      </c>
      <c r="G719" s="43"/>
      <c r="H719" s="43"/>
      <c r="I719" s="43"/>
    </row>
    <row r="720" ht="12.75" customHeight="1">
      <c r="A720" s="48" t="s">
        <v>44</v>
      </c>
      <c r="B720" s="48" t="s">
        <v>29</v>
      </c>
      <c r="C720" s="48" t="s">
        <v>56</v>
      </c>
      <c r="D720" s="48" t="s">
        <v>50</v>
      </c>
      <c r="E720" s="48"/>
      <c r="F720" s="48">
        <v>13813.300000000001</v>
      </c>
      <c r="G720" s="43"/>
      <c r="H720" s="43"/>
      <c r="I720" s="43"/>
    </row>
    <row r="721" ht="12.75" customHeight="1">
      <c r="A721" s="48" t="s">
        <v>44</v>
      </c>
      <c r="B721" s="48" t="s">
        <v>29</v>
      </c>
      <c r="C721" s="48" t="s">
        <v>56</v>
      </c>
      <c r="D721" s="48" t="s">
        <v>47</v>
      </c>
      <c r="E721" s="48"/>
      <c r="F721" s="48">
        <v>3050.3</v>
      </c>
      <c r="G721" s="43"/>
      <c r="H721" s="43"/>
      <c r="I721" s="43"/>
    </row>
    <row r="722" ht="12.75" customHeight="1">
      <c r="A722" s="48" t="s">
        <v>44</v>
      </c>
      <c r="B722" s="48" t="s">
        <v>29</v>
      </c>
      <c r="C722" s="48" t="s">
        <v>56</v>
      </c>
      <c r="D722" s="48" t="s">
        <v>47</v>
      </c>
      <c r="E722" s="48"/>
      <c r="F722" s="48">
        <v>8615.1</v>
      </c>
      <c r="G722" s="43"/>
      <c r="H722" s="43"/>
      <c r="I722" s="43"/>
    </row>
    <row r="723" ht="12.75" customHeight="1">
      <c r="A723" s="48" t="s">
        <v>44</v>
      </c>
      <c r="B723" s="48" t="s">
        <v>29</v>
      </c>
      <c r="C723" s="48" t="s">
        <v>56</v>
      </c>
      <c r="D723" s="48" t="s">
        <v>47</v>
      </c>
      <c r="E723" s="48"/>
      <c r="F723" s="48">
        <v>705.0</v>
      </c>
      <c r="G723" s="43"/>
      <c r="H723" s="43"/>
      <c r="I723" s="43"/>
    </row>
    <row r="724" ht="12.75" customHeight="1">
      <c r="A724" s="48" t="s">
        <v>44</v>
      </c>
      <c r="B724" s="48" t="s">
        <v>29</v>
      </c>
      <c r="C724" s="48" t="s">
        <v>56</v>
      </c>
      <c r="D724" s="48" t="s">
        <v>47</v>
      </c>
      <c r="E724" s="48"/>
      <c r="F724" s="48">
        <v>3501.5</v>
      </c>
      <c r="G724" s="43"/>
      <c r="H724" s="43"/>
      <c r="I724" s="43"/>
    </row>
    <row r="725" ht="12.75" customHeight="1">
      <c r="A725" s="48" t="s">
        <v>44</v>
      </c>
      <c r="B725" s="48" t="s">
        <v>29</v>
      </c>
      <c r="C725" s="48" t="s">
        <v>56</v>
      </c>
      <c r="D725" s="48" t="s">
        <v>47</v>
      </c>
      <c r="E725" s="48"/>
      <c r="F725" s="48">
        <v>5729.3</v>
      </c>
      <c r="G725" s="43"/>
      <c r="H725" s="43"/>
      <c r="I725" s="43"/>
    </row>
    <row r="726" ht="12.75" customHeight="1">
      <c r="A726" s="48" t="s">
        <v>44</v>
      </c>
      <c r="B726" s="48" t="s">
        <v>29</v>
      </c>
      <c r="C726" s="48" t="s">
        <v>56</v>
      </c>
      <c r="D726" s="48" t="s">
        <v>47</v>
      </c>
      <c r="E726" s="48"/>
      <c r="F726" s="48">
        <v>20618.9</v>
      </c>
      <c r="G726" s="43"/>
      <c r="H726" s="43"/>
      <c r="I726" s="43"/>
    </row>
    <row r="727" ht="12.75" customHeight="1">
      <c r="A727" s="48" t="s">
        <v>44</v>
      </c>
      <c r="B727" s="48" t="s">
        <v>29</v>
      </c>
      <c r="C727" s="48" t="s">
        <v>56</v>
      </c>
      <c r="D727" s="48" t="s">
        <v>47</v>
      </c>
      <c r="E727" s="48"/>
      <c r="F727" s="48">
        <v>0.0</v>
      </c>
      <c r="G727" s="43"/>
      <c r="H727" s="43"/>
      <c r="I727" s="43"/>
    </row>
    <row r="728" ht="12.75" customHeight="1">
      <c r="A728" s="48" t="s">
        <v>44</v>
      </c>
      <c r="B728" s="48" t="s">
        <v>29</v>
      </c>
      <c r="C728" s="48" t="s">
        <v>66</v>
      </c>
      <c r="D728" s="48" t="s">
        <v>58</v>
      </c>
      <c r="E728" s="48"/>
      <c r="F728" s="48">
        <v>49458.1</v>
      </c>
      <c r="G728" s="43"/>
      <c r="H728" s="43"/>
      <c r="I728" s="43"/>
    </row>
    <row r="729" ht="12.75" customHeight="1">
      <c r="A729" s="48" t="s">
        <v>44</v>
      </c>
      <c r="B729" s="48" t="s">
        <v>30</v>
      </c>
      <c r="C729" s="48" t="s">
        <v>6</v>
      </c>
      <c r="D729" s="48" t="s">
        <v>6</v>
      </c>
      <c r="E729" s="48"/>
      <c r="F729" s="48">
        <v>56400.0</v>
      </c>
      <c r="G729" s="43"/>
      <c r="H729" s="43"/>
      <c r="I729" s="43"/>
    </row>
    <row r="730" ht="12.75" customHeight="1">
      <c r="A730" s="48" t="s">
        <v>44</v>
      </c>
      <c r="B730" s="48" t="s">
        <v>30</v>
      </c>
      <c r="C730" s="48" t="s">
        <v>6</v>
      </c>
      <c r="D730" s="48" t="s">
        <v>6</v>
      </c>
      <c r="E730" s="48"/>
      <c r="F730" s="48">
        <v>0.0</v>
      </c>
      <c r="G730" s="43"/>
      <c r="H730" s="43"/>
      <c r="I730" s="43"/>
    </row>
    <row r="731" ht="12.75" customHeight="1">
      <c r="A731" s="48" t="s">
        <v>44</v>
      </c>
      <c r="B731" s="48" t="s">
        <v>30</v>
      </c>
      <c r="C731" s="48" t="s">
        <v>6</v>
      </c>
      <c r="D731" s="48" t="s">
        <v>6</v>
      </c>
      <c r="E731" s="48"/>
      <c r="F731" s="48">
        <v>3055.0</v>
      </c>
      <c r="G731" s="43"/>
      <c r="H731" s="43"/>
      <c r="I731" s="43"/>
    </row>
    <row r="732" ht="12.75" customHeight="1">
      <c r="A732" s="48" t="s">
        <v>44</v>
      </c>
      <c r="B732" s="48" t="s">
        <v>30</v>
      </c>
      <c r="C732" s="48" t="s">
        <v>6</v>
      </c>
      <c r="D732" s="48" t="s">
        <v>6</v>
      </c>
      <c r="E732" s="48"/>
      <c r="F732" s="48">
        <v>0.0</v>
      </c>
      <c r="G732" s="43"/>
      <c r="H732" s="43"/>
      <c r="I732" s="43"/>
    </row>
    <row r="733" ht="12.75" customHeight="1">
      <c r="A733" s="48" t="s">
        <v>44</v>
      </c>
      <c r="B733" s="48" t="s">
        <v>30</v>
      </c>
      <c r="C733" s="48" t="s">
        <v>6</v>
      </c>
      <c r="D733" s="48" t="s">
        <v>6</v>
      </c>
      <c r="E733" s="48"/>
      <c r="F733" s="48">
        <v>1579.2</v>
      </c>
      <c r="G733" s="43"/>
      <c r="H733" s="43"/>
      <c r="I733" s="43"/>
    </row>
    <row r="734" ht="12.75" customHeight="1">
      <c r="A734" s="48" t="s">
        <v>44</v>
      </c>
      <c r="B734" s="48" t="s">
        <v>30</v>
      </c>
      <c r="C734" s="48" t="s">
        <v>6</v>
      </c>
      <c r="D734" s="48" t="s">
        <v>6</v>
      </c>
      <c r="E734" s="48"/>
      <c r="F734" s="48">
        <v>6796.2</v>
      </c>
      <c r="G734" s="43"/>
      <c r="H734" s="43"/>
      <c r="I734" s="43"/>
    </row>
    <row r="735" ht="12.75" customHeight="1">
      <c r="A735" s="48" t="s">
        <v>44</v>
      </c>
      <c r="B735" s="48" t="s">
        <v>30</v>
      </c>
      <c r="C735" s="48" t="s">
        <v>6</v>
      </c>
      <c r="D735" s="48" t="s">
        <v>6</v>
      </c>
      <c r="E735" s="48"/>
      <c r="F735" s="48">
        <v>23500.0</v>
      </c>
      <c r="G735" s="43"/>
      <c r="H735" s="43"/>
      <c r="I735" s="43"/>
    </row>
    <row r="736" ht="12.75" customHeight="1">
      <c r="A736" s="48" t="s">
        <v>44</v>
      </c>
      <c r="B736" s="48" t="s">
        <v>30</v>
      </c>
      <c r="C736" s="48" t="s">
        <v>6</v>
      </c>
      <c r="D736" s="48" t="s">
        <v>6</v>
      </c>
      <c r="E736" s="48"/>
      <c r="F736" s="48">
        <v>1471.1000000000001</v>
      </c>
      <c r="G736" s="43"/>
      <c r="H736" s="43"/>
      <c r="I736" s="43"/>
    </row>
    <row r="737" ht="12.75" customHeight="1">
      <c r="A737" s="48" t="s">
        <v>44</v>
      </c>
      <c r="B737" s="48" t="s">
        <v>30</v>
      </c>
      <c r="C737" s="48" t="s">
        <v>6</v>
      </c>
      <c r="D737" s="48" t="s">
        <v>6</v>
      </c>
      <c r="E737" s="48"/>
      <c r="F737" s="48">
        <v>0.0</v>
      </c>
      <c r="G737" s="43"/>
      <c r="H737" s="43"/>
      <c r="I737" s="43"/>
    </row>
    <row r="738" ht="12.75" customHeight="1">
      <c r="A738" s="48" t="s">
        <v>44</v>
      </c>
      <c r="B738" s="48" t="s">
        <v>30</v>
      </c>
      <c r="C738" s="48" t="s">
        <v>6</v>
      </c>
      <c r="D738" s="48" t="s">
        <v>54</v>
      </c>
      <c r="E738" s="48"/>
      <c r="F738" s="48">
        <v>272.6</v>
      </c>
      <c r="G738" s="43"/>
      <c r="H738" s="43"/>
      <c r="I738" s="43"/>
    </row>
    <row r="739" ht="12.75" customHeight="1">
      <c r="A739" s="48" t="s">
        <v>44</v>
      </c>
      <c r="B739" s="48" t="s">
        <v>30</v>
      </c>
      <c r="C739" s="48" t="s">
        <v>6</v>
      </c>
      <c r="D739" s="48" t="s">
        <v>54</v>
      </c>
      <c r="E739" s="48"/>
      <c r="F739" s="48">
        <v>11515.0</v>
      </c>
      <c r="G739" s="43"/>
      <c r="H739" s="43"/>
      <c r="I739" s="43"/>
    </row>
    <row r="740" ht="12.75" customHeight="1">
      <c r="A740" s="48" t="s">
        <v>44</v>
      </c>
      <c r="B740" s="48" t="s">
        <v>30</v>
      </c>
      <c r="C740" s="48" t="s">
        <v>6</v>
      </c>
      <c r="D740" s="48" t="s">
        <v>54</v>
      </c>
      <c r="E740" s="48"/>
      <c r="F740" s="48">
        <v>9118.0</v>
      </c>
      <c r="G740" s="43"/>
      <c r="H740" s="43"/>
      <c r="I740" s="43"/>
    </row>
    <row r="741" ht="12.75" customHeight="1">
      <c r="A741" s="48" t="s">
        <v>44</v>
      </c>
      <c r="B741" s="48" t="s">
        <v>30</v>
      </c>
      <c r="C741" s="48" t="s">
        <v>6</v>
      </c>
      <c r="D741" s="48" t="s">
        <v>49</v>
      </c>
      <c r="E741" s="48"/>
      <c r="F741" s="48">
        <v>14805.0</v>
      </c>
      <c r="G741" s="43"/>
      <c r="H741" s="43"/>
      <c r="I741" s="43"/>
    </row>
    <row r="742" ht="12.75" customHeight="1">
      <c r="A742" s="48" t="s">
        <v>44</v>
      </c>
      <c r="B742" s="48" t="s">
        <v>30</v>
      </c>
      <c r="C742" s="48" t="s">
        <v>6</v>
      </c>
      <c r="D742" s="48" t="s">
        <v>50</v>
      </c>
      <c r="E742" s="48"/>
      <c r="F742" s="48">
        <v>8774.9</v>
      </c>
      <c r="G742" s="43"/>
      <c r="H742" s="43"/>
      <c r="I742" s="43"/>
    </row>
    <row r="743" ht="12.75" customHeight="1">
      <c r="A743" s="48" t="s">
        <v>44</v>
      </c>
      <c r="B743" s="48" t="s">
        <v>30</v>
      </c>
      <c r="C743" s="48" t="s">
        <v>6</v>
      </c>
      <c r="D743" s="48" t="s">
        <v>50</v>
      </c>
      <c r="E743" s="48"/>
      <c r="F743" s="48">
        <v>554.6</v>
      </c>
      <c r="G743" s="43"/>
      <c r="H743" s="43"/>
      <c r="I743" s="43"/>
    </row>
    <row r="744" ht="12.75" customHeight="1">
      <c r="A744" s="48" t="s">
        <v>44</v>
      </c>
      <c r="B744" s="48" t="s">
        <v>30</v>
      </c>
      <c r="C744" s="48" t="s">
        <v>6</v>
      </c>
      <c r="D744" s="48" t="s">
        <v>50</v>
      </c>
      <c r="E744" s="48"/>
      <c r="F744" s="48">
        <v>6396.7</v>
      </c>
      <c r="G744" s="43"/>
      <c r="H744" s="43"/>
      <c r="I744" s="43"/>
    </row>
    <row r="745" ht="12.75" customHeight="1">
      <c r="A745" s="48" t="s">
        <v>44</v>
      </c>
      <c r="B745" s="48" t="s">
        <v>30</v>
      </c>
      <c r="C745" s="48" t="s">
        <v>6</v>
      </c>
      <c r="D745" s="48" t="s">
        <v>47</v>
      </c>
      <c r="E745" s="48"/>
      <c r="F745" s="48">
        <v>13728.7</v>
      </c>
      <c r="G745" s="43"/>
      <c r="H745" s="43"/>
      <c r="I745" s="43"/>
    </row>
    <row r="746" ht="12.75" customHeight="1">
      <c r="A746" s="48" t="s">
        <v>44</v>
      </c>
      <c r="B746" s="48" t="s">
        <v>30</v>
      </c>
      <c r="C746" s="48" t="s">
        <v>6</v>
      </c>
      <c r="D746" s="48" t="s">
        <v>47</v>
      </c>
      <c r="E746" s="48"/>
      <c r="F746" s="48">
        <v>6481.3</v>
      </c>
      <c r="G746" s="43"/>
      <c r="H746" s="43"/>
      <c r="I746" s="43"/>
    </row>
    <row r="747" ht="12.75" customHeight="1">
      <c r="A747" s="48" t="s">
        <v>44</v>
      </c>
      <c r="B747" s="48" t="s">
        <v>30</v>
      </c>
      <c r="C747" s="48" t="s">
        <v>5</v>
      </c>
      <c r="D747" s="48" t="s">
        <v>60</v>
      </c>
      <c r="E747" s="48"/>
      <c r="F747" s="48">
        <v>371614.9</v>
      </c>
      <c r="G747" s="43"/>
      <c r="H747" s="43"/>
      <c r="I747" s="43"/>
    </row>
    <row r="748" ht="12.75" customHeight="1">
      <c r="A748" s="48" t="s">
        <v>44</v>
      </c>
      <c r="B748" s="48" t="s">
        <v>30</v>
      </c>
      <c r="C748" s="48" t="s">
        <v>5</v>
      </c>
      <c r="D748" s="48" t="s">
        <v>53</v>
      </c>
      <c r="E748" s="48"/>
      <c r="F748" s="48">
        <v>231357.5</v>
      </c>
      <c r="G748" s="43"/>
      <c r="H748" s="43"/>
      <c r="I748" s="43"/>
    </row>
    <row r="749" ht="12.75" customHeight="1">
      <c r="A749" s="48" t="s">
        <v>44</v>
      </c>
      <c r="B749" s="48" t="s">
        <v>30</v>
      </c>
      <c r="C749" s="48" t="s">
        <v>5</v>
      </c>
      <c r="D749" s="48" t="s">
        <v>53</v>
      </c>
      <c r="E749" s="48"/>
      <c r="F749" s="48">
        <v>0.0</v>
      </c>
      <c r="G749" s="43"/>
      <c r="H749" s="43"/>
      <c r="I749" s="43"/>
    </row>
    <row r="750" ht="12.75" customHeight="1">
      <c r="A750" s="48" t="s">
        <v>44</v>
      </c>
      <c r="B750" s="48" t="s">
        <v>30</v>
      </c>
      <c r="C750" s="48" t="s">
        <v>5</v>
      </c>
      <c r="D750" s="48" t="s">
        <v>58</v>
      </c>
      <c r="E750" s="48"/>
      <c r="F750" s="48">
        <v>70500.0</v>
      </c>
      <c r="G750" s="43"/>
      <c r="H750" s="43"/>
      <c r="I750" s="43"/>
    </row>
    <row r="751" ht="12.75" customHeight="1">
      <c r="A751" s="48" t="s">
        <v>44</v>
      </c>
      <c r="B751" s="48" t="s">
        <v>30</v>
      </c>
      <c r="C751" s="48" t="s">
        <v>5</v>
      </c>
      <c r="D751" s="48" t="s">
        <v>58</v>
      </c>
      <c r="E751" s="48"/>
      <c r="F751" s="48">
        <v>78814.3</v>
      </c>
      <c r="G751" s="43"/>
      <c r="H751" s="43"/>
      <c r="I751" s="43"/>
    </row>
    <row r="752" ht="12.75" customHeight="1">
      <c r="A752" s="48" t="s">
        <v>44</v>
      </c>
      <c r="B752" s="48" t="s">
        <v>30</v>
      </c>
      <c r="C752" s="48" t="s">
        <v>5</v>
      </c>
      <c r="D752" s="48" t="s">
        <v>8</v>
      </c>
      <c r="E752" s="48"/>
      <c r="F752" s="48">
        <v>7223.900000000001</v>
      </c>
      <c r="G752" s="43"/>
      <c r="H752" s="43"/>
      <c r="I752" s="43"/>
    </row>
    <row r="753" ht="12.75" customHeight="1">
      <c r="A753" s="48" t="s">
        <v>44</v>
      </c>
      <c r="B753" s="48" t="s">
        <v>30</v>
      </c>
      <c r="C753" s="48" t="s">
        <v>5</v>
      </c>
      <c r="D753" s="48" t="s">
        <v>6</v>
      </c>
      <c r="E753" s="48"/>
      <c r="F753" s="48">
        <v>4079.6000000000004</v>
      </c>
      <c r="G753" s="43"/>
      <c r="H753" s="43"/>
      <c r="I753" s="43"/>
    </row>
    <row r="754" ht="12.75" customHeight="1">
      <c r="A754" s="48" t="s">
        <v>44</v>
      </c>
      <c r="B754" s="48" t="s">
        <v>30</v>
      </c>
      <c r="C754" s="48" t="s">
        <v>5</v>
      </c>
      <c r="D754" s="48" t="s">
        <v>54</v>
      </c>
      <c r="E754" s="48"/>
      <c r="F754" s="48">
        <v>470.0</v>
      </c>
      <c r="G754" s="43"/>
      <c r="H754" s="43"/>
      <c r="I754" s="43"/>
    </row>
    <row r="755" ht="12.75" customHeight="1">
      <c r="A755" s="48" t="s">
        <v>44</v>
      </c>
      <c r="B755" s="48" t="s">
        <v>30</v>
      </c>
      <c r="C755" s="48" t="s">
        <v>5</v>
      </c>
      <c r="D755" s="48" t="s">
        <v>54</v>
      </c>
      <c r="E755" s="48"/>
      <c r="F755" s="48">
        <v>23993.5</v>
      </c>
      <c r="G755" s="43"/>
      <c r="H755" s="43"/>
      <c r="I755" s="43"/>
    </row>
    <row r="756" ht="12.75" customHeight="1">
      <c r="A756" s="48" t="s">
        <v>44</v>
      </c>
      <c r="B756" s="48" t="s">
        <v>30</v>
      </c>
      <c r="C756" s="48" t="s">
        <v>5</v>
      </c>
      <c r="D756" s="48" t="s">
        <v>50</v>
      </c>
      <c r="E756" s="48"/>
      <c r="F756" s="48">
        <v>21859.7</v>
      </c>
      <c r="G756" s="43"/>
      <c r="H756" s="43"/>
      <c r="I756" s="43"/>
    </row>
    <row r="757" ht="12.75" customHeight="1">
      <c r="A757" s="48" t="s">
        <v>44</v>
      </c>
      <c r="B757" s="48" t="s">
        <v>30</v>
      </c>
      <c r="C757" s="48" t="s">
        <v>5</v>
      </c>
      <c r="D757" s="48" t="s">
        <v>50</v>
      </c>
      <c r="E757" s="48"/>
      <c r="F757" s="48">
        <v>16135.1</v>
      </c>
      <c r="G757" s="43"/>
      <c r="H757" s="43"/>
      <c r="I757" s="43"/>
    </row>
    <row r="758" ht="12.75" customHeight="1">
      <c r="A758" s="48" t="s">
        <v>44</v>
      </c>
      <c r="B758" s="48" t="s">
        <v>30</v>
      </c>
      <c r="C758" s="48" t="s">
        <v>5</v>
      </c>
      <c r="D758" s="48" t="s">
        <v>50</v>
      </c>
      <c r="E758" s="48"/>
      <c r="F758" s="48">
        <v>19476.8</v>
      </c>
      <c r="G758" s="43"/>
      <c r="H758" s="43"/>
      <c r="I758" s="43"/>
    </row>
    <row r="759" ht="12.75" customHeight="1">
      <c r="A759" s="48" t="s">
        <v>44</v>
      </c>
      <c r="B759" s="48" t="s">
        <v>30</v>
      </c>
      <c r="C759" s="48" t="s">
        <v>5</v>
      </c>
      <c r="D759" s="48" t="s">
        <v>47</v>
      </c>
      <c r="E759" s="48"/>
      <c r="F759" s="48">
        <v>-150.4</v>
      </c>
      <c r="G759" s="43"/>
      <c r="H759" s="43"/>
      <c r="I759" s="43"/>
    </row>
    <row r="760" ht="12.75" customHeight="1">
      <c r="A760" s="48" t="s">
        <v>44</v>
      </c>
      <c r="B760" s="48" t="s">
        <v>30</v>
      </c>
      <c r="C760" s="48" t="s">
        <v>5</v>
      </c>
      <c r="D760" s="48" t="s">
        <v>47</v>
      </c>
      <c r="E760" s="48"/>
      <c r="F760" s="48">
        <v>1955.2</v>
      </c>
      <c r="G760" s="43"/>
      <c r="H760" s="43"/>
      <c r="I760" s="43"/>
    </row>
    <row r="761" ht="12.75" customHeight="1">
      <c r="A761" s="48" t="s">
        <v>44</v>
      </c>
      <c r="B761" s="48" t="s">
        <v>30</v>
      </c>
      <c r="C761" s="48" t="s">
        <v>5</v>
      </c>
      <c r="D761" s="48" t="s">
        <v>47</v>
      </c>
      <c r="E761" s="48"/>
      <c r="F761" s="48">
        <v>7421.3</v>
      </c>
      <c r="G761" s="43"/>
      <c r="H761" s="43"/>
      <c r="I761" s="43"/>
    </row>
    <row r="762" ht="12.75" customHeight="1">
      <c r="A762" s="48" t="s">
        <v>44</v>
      </c>
      <c r="B762" s="48" t="s">
        <v>28</v>
      </c>
      <c r="C762" s="48" t="s">
        <v>64</v>
      </c>
      <c r="D762" s="48" t="s">
        <v>50</v>
      </c>
      <c r="E762" s="48"/>
      <c r="F762" s="48">
        <v>6570.6</v>
      </c>
      <c r="G762" s="43"/>
      <c r="H762" s="43"/>
      <c r="I762" s="43"/>
    </row>
    <row r="763" ht="12.75" customHeight="1">
      <c r="A763" s="48" t="s">
        <v>44</v>
      </c>
      <c r="B763" s="48" t="s">
        <v>28</v>
      </c>
      <c r="C763" s="48" t="s">
        <v>64</v>
      </c>
      <c r="D763" s="48" t="s">
        <v>50</v>
      </c>
      <c r="E763" s="48"/>
      <c r="F763" s="48">
        <v>4187.7</v>
      </c>
      <c r="G763" s="43"/>
      <c r="H763" s="43"/>
      <c r="I763" s="43"/>
    </row>
    <row r="764" ht="12.75" customHeight="1">
      <c r="A764" s="48" t="s">
        <v>44</v>
      </c>
      <c r="B764" s="48" t="s">
        <v>28</v>
      </c>
      <c r="C764" s="48" t="s">
        <v>64</v>
      </c>
      <c r="D764" s="48" t="s">
        <v>50</v>
      </c>
      <c r="E764" s="48"/>
      <c r="F764" s="48">
        <v>4154.8</v>
      </c>
      <c r="G764" s="43"/>
      <c r="H764" s="43"/>
      <c r="I764" s="43"/>
    </row>
    <row r="765" ht="12.75" customHeight="1">
      <c r="A765" s="48" t="s">
        <v>44</v>
      </c>
      <c r="B765" s="48" t="s">
        <v>28</v>
      </c>
      <c r="C765" s="48" t="s">
        <v>64</v>
      </c>
      <c r="D765" s="48" t="s">
        <v>50</v>
      </c>
      <c r="E765" s="48"/>
      <c r="F765" s="48">
        <v>6255.7</v>
      </c>
      <c r="G765" s="43"/>
      <c r="H765" s="43"/>
      <c r="I765" s="43"/>
    </row>
    <row r="766" ht="12.75" customHeight="1">
      <c r="A766" s="48" t="s">
        <v>44</v>
      </c>
      <c r="B766" s="48" t="s">
        <v>28</v>
      </c>
      <c r="C766" s="48" t="s">
        <v>64</v>
      </c>
      <c r="D766" s="48" t="s">
        <v>50</v>
      </c>
      <c r="E766" s="48"/>
      <c r="F766" s="48">
        <v>6255.7</v>
      </c>
      <c r="G766" s="43"/>
      <c r="H766" s="43"/>
      <c r="I766" s="43"/>
    </row>
    <row r="767" ht="12.75" customHeight="1">
      <c r="A767" s="48" t="s">
        <v>44</v>
      </c>
      <c r="B767" s="48" t="s">
        <v>28</v>
      </c>
      <c r="C767" s="48" t="s">
        <v>64</v>
      </c>
      <c r="D767" s="48" t="s">
        <v>50</v>
      </c>
      <c r="E767" s="48"/>
      <c r="F767" s="48">
        <v>-36645.9</v>
      </c>
      <c r="G767" s="43"/>
      <c r="H767" s="43"/>
      <c r="I767" s="43"/>
    </row>
    <row r="768" ht="12.75" customHeight="1">
      <c r="A768" s="48" t="s">
        <v>44</v>
      </c>
      <c r="B768" s="48" t="s">
        <v>28</v>
      </c>
      <c r="C768" s="48" t="s">
        <v>64</v>
      </c>
      <c r="D768" s="48" t="s">
        <v>50</v>
      </c>
      <c r="E768" s="48"/>
      <c r="F768" s="48">
        <v>2965.7000000000003</v>
      </c>
      <c r="G768" s="43"/>
      <c r="H768" s="43"/>
      <c r="I768" s="43"/>
    </row>
    <row r="769" ht="12.75" customHeight="1">
      <c r="A769" s="48" t="s">
        <v>44</v>
      </c>
      <c r="B769" s="48" t="s">
        <v>28</v>
      </c>
      <c r="C769" s="48" t="s">
        <v>64</v>
      </c>
      <c r="D769" s="48" t="s">
        <v>50</v>
      </c>
      <c r="E769" s="48"/>
      <c r="F769" s="48">
        <v>6255.7</v>
      </c>
      <c r="G769" s="43"/>
      <c r="H769" s="43"/>
      <c r="I769" s="43"/>
    </row>
    <row r="770" ht="12.75" customHeight="1">
      <c r="A770" s="48" t="s">
        <v>44</v>
      </c>
      <c r="B770" s="48" t="s">
        <v>28</v>
      </c>
      <c r="C770" s="48" t="s">
        <v>67</v>
      </c>
      <c r="D770" s="48" t="s">
        <v>49</v>
      </c>
      <c r="E770" s="48"/>
      <c r="F770" s="48">
        <v>9512.800000000001</v>
      </c>
      <c r="G770" s="43"/>
      <c r="H770" s="43"/>
      <c r="I770" s="43"/>
    </row>
    <row r="771" ht="12.75" customHeight="1">
      <c r="A771" s="48" t="s">
        <v>44</v>
      </c>
      <c r="B771" s="48" t="s">
        <v>28</v>
      </c>
      <c r="C771" s="48" t="s">
        <v>67</v>
      </c>
      <c r="D771" s="48" t="s">
        <v>47</v>
      </c>
      <c r="E771" s="48"/>
      <c r="F771" s="48">
        <v>94.0</v>
      </c>
      <c r="G771" s="43"/>
      <c r="H771" s="43"/>
      <c r="I771" s="43"/>
    </row>
    <row r="772" ht="12.75" customHeight="1">
      <c r="A772" s="48" t="s">
        <v>44</v>
      </c>
      <c r="B772" s="48" t="s">
        <v>28</v>
      </c>
      <c r="C772" s="48" t="s">
        <v>46</v>
      </c>
      <c r="D772" s="48" t="s">
        <v>8</v>
      </c>
      <c r="E772" s="48"/>
      <c r="F772" s="48">
        <v>0.0</v>
      </c>
      <c r="G772" s="43"/>
      <c r="H772" s="43"/>
      <c r="I772" s="43"/>
    </row>
    <row r="773" ht="12.75" customHeight="1">
      <c r="A773" s="48" t="s">
        <v>44</v>
      </c>
      <c r="B773" s="48" t="s">
        <v>28</v>
      </c>
      <c r="C773" s="48" t="s">
        <v>46</v>
      </c>
      <c r="D773" s="48" t="s">
        <v>8</v>
      </c>
      <c r="E773" s="48"/>
      <c r="F773" s="48">
        <v>19255.9</v>
      </c>
      <c r="G773" s="43"/>
      <c r="H773" s="43"/>
      <c r="I773" s="43"/>
    </row>
    <row r="774" ht="12.75" customHeight="1">
      <c r="A774" s="48" t="s">
        <v>44</v>
      </c>
      <c r="B774" s="48" t="s">
        <v>28</v>
      </c>
      <c r="C774" s="48" t="s">
        <v>46</v>
      </c>
      <c r="D774" s="48" t="s">
        <v>47</v>
      </c>
      <c r="E774" s="48"/>
      <c r="F774" s="48">
        <v>0.0</v>
      </c>
      <c r="G774" s="43"/>
      <c r="H774" s="43"/>
      <c r="I774" s="43"/>
    </row>
    <row r="775" ht="12.75" customHeight="1">
      <c r="A775" s="48" t="s">
        <v>44</v>
      </c>
      <c r="B775" s="48" t="s">
        <v>28</v>
      </c>
      <c r="C775" s="48" t="s">
        <v>48</v>
      </c>
      <c r="D775" s="48" t="s">
        <v>54</v>
      </c>
      <c r="E775" s="48"/>
      <c r="F775" s="48">
        <v>1222.0</v>
      </c>
      <c r="G775" s="43"/>
      <c r="H775" s="43"/>
      <c r="I775" s="43"/>
    </row>
    <row r="776" ht="12.75" customHeight="1">
      <c r="A776" s="48" t="s">
        <v>44</v>
      </c>
      <c r="B776" s="48" t="s">
        <v>28</v>
      </c>
      <c r="C776" s="48" t="s">
        <v>48</v>
      </c>
      <c r="D776" s="48" t="s">
        <v>54</v>
      </c>
      <c r="E776" s="48"/>
      <c r="F776" s="48">
        <v>8192.1</v>
      </c>
      <c r="G776" s="43"/>
      <c r="H776" s="43"/>
      <c r="I776" s="43"/>
    </row>
    <row r="777" ht="12.75" customHeight="1">
      <c r="A777" s="48" t="s">
        <v>44</v>
      </c>
      <c r="B777" s="48" t="s">
        <v>28</v>
      </c>
      <c r="C777" s="48" t="s">
        <v>48</v>
      </c>
      <c r="D777" s="48" t="s">
        <v>49</v>
      </c>
      <c r="E777" s="48"/>
      <c r="F777" s="48">
        <v>19627.2</v>
      </c>
      <c r="G777" s="43"/>
      <c r="H777" s="43"/>
      <c r="I777" s="43"/>
    </row>
    <row r="778" ht="12.75" customHeight="1">
      <c r="A778" s="48" t="s">
        <v>44</v>
      </c>
      <c r="B778" s="48" t="s">
        <v>28</v>
      </c>
      <c r="C778" s="48" t="s">
        <v>48</v>
      </c>
      <c r="D778" s="48" t="s">
        <v>49</v>
      </c>
      <c r="E778" s="48"/>
      <c r="F778" s="48">
        <v>19208.9</v>
      </c>
      <c r="G778" s="43"/>
      <c r="H778" s="43"/>
      <c r="I778" s="43"/>
    </row>
    <row r="779" ht="12.75" customHeight="1">
      <c r="A779" s="48" t="s">
        <v>44</v>
      </c>
      <c r="B779" s="48" t="s">
        <v>28</v>
      </c>
      <c r="C779" s="48" t="s">
        <v>48</v>
      </c>
      <c r="D779" s="48" t="s">
        <v>49</v>
      </c>
      <c r="E779" s="48"/>
      <c r="F779" s="48">
        <v>-676.8000000000001</v>
      </c>
      <c r="G779" s="43"/>
      <c r="H779" s="43"/>
      <c r="I779" s="43"/>
    </row>
    <row r="780" ht="12.75" customHeight="1">
      <c r="A780" s="48" t="s">
        <v>44</v>
      </c>
      <c r="B780" s="48" t="s">
        <v>28</v>
      </c>
      <c r="C780" s="48" t="s">
        <v>48</v>
      </c>
      <c r="D780" s="48" t="s">
        <v>49</v>
      </c>
      <c r="E780" s="48"/>
      <c r="F780" s="48">
        <v>-178.6</v>
      </c>
      <c r="G780" s="43"/>
      <c r="H780" s="43"/>
      <c r="I780" s="43"/>
    </row>
    <row r="781" ht="12.75" customHeight="1">
      <c r="A781" s="48" t="s">
        <v>44</v>
      </c>
      <c r="B781" s="48" t="s">
        <v>28</v>
      </c>
      <c r="C781" s="48" t="s">
        <v>48</v>
      </c>
      <c r="D781" s="48" t="s">
        <v>49</v>
      </c>
      <c r="E781" s="48"/>
      <c r="F781" s="48">
        <v>141.0</v>
      </c>
      <c r="G781" s="43"/>
      <c r="H781" s="43"/>
      <c r="I781" s="43"/>
    </row>
    <row r="782" ht="12.75" customHeight="1">
      <c r="A782" s="48" t="s">
        <v>44</v>
      </c>
      <c r="B782" s="48" t="s">
        <v>28</v>
      </c>
      <c r="C782" s="48" t="s">
        <v>48</v>
      </c>
      <c r="D782" s="48" t="s">
        <v>49</v>
      </c>
      <c r="E782" s="48"/>
      <c r="F782" s="48">
        <v>21737.5</v>
      </c>
      <c r="G782" s="43"/>
      <c r="H782" s="43"/>
      <c r="I782" s="43"/>
    </row>
    <row r="783" ht="12.75" customHeight="1">
      <c r="A783" s="48" t="s">
        <v>44</v>
      </c>
      <c r="B783" s="48" t="s">
        <v>28</v>
      </c>
      <c r="C783" s="48" t="s">
        <v>48</v>
      </c>
      <c r="D783" s="48" t="s">
        <v>49</v>
      </c>
      <c r="E783" s="48"/>
      <c r="F783" s="48">
        <v>117.5</v>
      </c>
      <c r="G783" s="43"/>
      <c r="H783" s="43"/>
      <c r="I783" s="43"/>
    </row>
    <row r="784" ht="12.75" customHeight="1">
      <c r="A784" s="48" t="s">
        <v>44</v>
      </c>
      <c r="B784" s="48" t="s">
        <v>28</v>
      </c>
      <c r="C784" s="48" t="s">
        <v>48</v>
      </c>
      <c r="D784" s="48" t="s">
        <v>49</v>
      </c>
      <c r="E784" s="48"/>
      <c r="F784" s="48">
        <v>-535.8000000000001</v>
      </c>
      <c r="G784" s="43"/>
      <c r="H784" s="43"/>
      <c r="I784" s="43"/>
    </row>
    <row r="785" ht="12.75" customHeight="1">
      <c r="A785" s="48" t="s">
        <v>44</v>
      </c>
      <c r="B785" s="48" t="s">
        <v>28</v>
      </c>
      <c r="C785" s="48" t="s">
        <v>48</v>
      </c>
      <c r="D785" s="48" t="s">
        <v>49</v>
      </c>
      <c r="E785" s="48"/>
      <c r="F785" s="48">
        <v>141.0</v>
      </c>
      <c r="G785" s="43"/>
      <c r="H785" s="43"/>
      <c r="I785" s="43"/>
    </row>
    <row r="786" ht="12.75" customHeight="1">
      <c r="A786" s="48" t="s">
        <v>44</v>
      </c>
      <c r="B786" s="48" t="s">
        <v>28</v>
      </c>
      <c r="C786" s="48" t="s">
        <v>48</v>
      </c>
      <c r="D786" s="48" t="s">
        <v>49</v>
      </c>
      <c r="E786" s="48"/>
      <c r="F786" s="48">
        <v>-357.2</v>
      </c>
      <c r="G786" s="43"/>
      <c r="H786" s="43"/>
      <c r="I786" s="43"/>
    </row>
    <row r="787" ht="12.75" customHeight="1">
      <c r="A787" s="48" t="s">
        <v>44</v>
      </c>
      <c r="B787" s="48" t="s">
        <v>28</v>
      </c>
      <c r="C787" s="48" t="s">
        <v>48</v>
      </c>
      <c r="D787" s="48" t="s">
        <v>50</v>
      </c>
      <c r="E787" s="48"/>
      <c r="F787" s="48">
        <v>10932.2</v>
      </c>
      <c r="G787" s="43"/>
      <c r="H787" s="43"/>
      <c r="I787" s="43"/>
    </row>
    <row r="788" ht="12.75" customHeight="1">
      <c r="A788" s="48" t="s">
        <v>44</v>
      </c>
      <c r="B788" s="48" t="s">
        <v>28</v>
      </c>
      <c r="C788" s="48" t="s">
        <v>48</v>
      </c>
      <c r="D788" s="48" t="s">
        <v>50</v>
      </c>
      <c r="E788" s="48"/>
      <c r="F788" s="48">
        <v>9005.2</v>
      </c>
      <c r="G788" s="43"/>
      <c r="H788" s="43"/>
      <c r="I788" s="43"/>
    </row>
    <row r="789" ht="12.75" customHeight="1">
      <c r="A789" s="48" t="s">
        <v>44</v>
      </c>
      <c r="B789" s="48" t="s">
        <v>28</v>
      </c>
      <c r="C789" s="48" t="s">
        <v>48</v>
      </c>
      <c r="D789" s="48" t="s">
        <v>47</v>
      </c>
      <c r="E789" s="48"/>
      <c r="F789" s="48">
        <v>-61537.100000000006</v>
      </c>
      <c r="G789" s="43"/>
      <c r="H789" s="43"/>
      <c r="I789" s="43"/>
    </row>
    <row r="790" ht="12.75" customHeight="1">
      <c r="A790" s="48" t="s">
        <v>44</v>
      </c>
      <c r="B790" s="48" t="s">
        <v>28</v>
      </c>
      <c r="C790" s="48" t="s">
        <v>51</v>
      </c>
      <c r="D790" s="48" t="s">
        <v>54</v>
      </c>
      <c r="E790" s="48"/>
      <c r="F790" s="48">
        <v>0.0</v>
      </c>
      <c r="G790" s="43"/>
      <c r="H790" s="43"/>
      <c r="I790" s="43"/>
    </row>
    <row r="791" ht="12.75" customHeight="1">
      <c r="A791" s="48" t="s">
        <v>44</v>
      </c>
      <c r="B791" s="48" t="s">
        <v>28</v>
      </c>
      <c r="C791" s="48" t="s">
        <v>51</v>
      </c>
      <c r="D791" s="48" t="s">
        <v>54</v>
      </c>
      <c r="E791" s="48"/>
      <c r="F791" s="48">
        <v>0.0</v>
      </c>
      <c r="G791" s="43"/>
      <c r="H791" s="43"/>
      <c r="I791" s="43"/>
    </row>
    <row r="792" ht="12.75" customHeight="1">
      <c r="A792" s="48" t="s">
        <v>44</v>
      </c>
      <c r="B792" s="48" t="s">
        <v>28</v>
      </c>
      <c r="C792" s="48" t="s">
        <v>51</v>
      </c>
      <c r="D792" s="48" t="s">
        <v>54</v>
      </c>
      <c r="E792" s="48"/>
      <c r="F792" s="48">
        <v>0.0</v>
      </c>
      <c r="G792" s="43"/>
      <c r="H792" s="43"/>
      <c r="I792" s="43"/>
    </row>
    <row r="793" ht="12.75" customHeight="1">
      <c r="A793" s="48" t="s">
        <v>44</v>
      </c>
      <c r="B793" s="48" t="s">
        <v>28</v>
      </c>
      <c r="C793" s="48" t="s">
        <v>51</v>
      </c>
      <c r="D793" s="48" t="s">
        <v>54</v>
      </c>
      <c r="E793" s="48"/>
      <c r="F793" s="48">
        <v>6843.2</v>
      </c>
      <c r="G793" s="43"/>
      <c r="H793" s="43"/>
      <c r="I793" s="43"/>
    </row>
    <row r="794" ht="12.75" customHeight="1">
      <c r="A794" s="48" t="s">
        <v>44</v>
      </c>
      <c r="B794" s="48" t="s">
        <v>28</v>
      </c>
      <c r="C794" s="48" t="s">
        <v>51</v>
      </c>
      <c r="D794" s="48" t="s">
        <v>49</v>
      </c>
      <c r="E794" s="48"/>
      <c r="F794" s="48">
        <v>0.0</v>
      </c>
      <c r="G794" s="43"/>
      <c r="H794" s="43"/>
      <c r="I794" s="43"/>
    </row>
    <row r="795" ht="12.75" customHeight="1">
      <c r="A795" s="48" t="s">
        <v>44</v>
      </c>
      <c r="B795" s="48" t="s">
        <v>28</v>
      </c>
      <c r="C795" s="48" t="s">
        <v>51</v>
      </c>
      <c r="D795" s="48" t="s">
        <v>50</v>
      </c>
      <c r="E795" s="48"/>
      <c r="F795" s="48">
        <v>14085.9</v>
      </c>
      <c r="G795" s="43"/>
      <c r="H795" s="43"/>
      <c r="I795" s="43"/>
    </row>
    <row r="796" ht="12.75" customHeight="1">
      <c r="A796" s="48" t="s">
        <v>44</v>
      </c>
      <c r="B796" s="48" t="s">
        <v>28</v>
      </c>
      <c r="C796" s="48" t="s">
        <v>51</v>
      </c>
      <c r="D796" s="48" t="s">
        <v>47</v>
      </c>
      <c r="E796" s="48"/>
      <c r="F796" s="48">
        <v>0.0</v>
      </c>
      <c r="G796" s="43"/>
      <c r="H796" s="43"/>
      <c r="I796" s="43"/>
    </row>
    <row r="797" ht="12.75" customHeight="1">
      <c r="A797" s="48" t="s">
        <v>44</v>
      </c>
      <c r="B797" s="48" t="s">
        <v>28</v>
      </c>
      <c r="C797" s="48" t="s">
        <v>51</v>
      </c>
      <c r="D797" s="48" t="s">
        <v>47</v>
      </c>
      <c r="E797" s="48"/>
      <c r="F797" s="48">
        <v>0.0</v>
      </c>
      <c r="G797" s="43"/>
      <c r="H797" s="43"/>
      <c r="I797" s="43"/>
    </row>
    <row r="798" ht="12.75" customHeight="1">
      <c r="A798" s="48" t="s">
        <v>44</v>
      </c>
      <c r="B798" s="48" t="s">
        <v>28</v>
      </c>
      <c r="C798" s="48" t="s">
        <v>51</v>
      </c>
      <c r="D798" s="48" t="s">
        <v>47</v>
      </c>
      <c r="E798" s="48"/>
      <c r="F798" s="48">
        <v>1057.5</v>
      </c>
      <c r="G798" s="43"/>
      <c r="H798" s="43"/>
      <c r="I798" s="43"/>
    </row>
    <row r="799" ht="12.75" customHeight="1">
      <c r="A799" s="48" t="s">
        <v>44</v>
      </c>
      <c r="B799" s="48" t="s">
        <v>28</v>
      </c>
      <c r="C799" s="48" t="s">
        <v>55</v>
      </c>
      <c r="D799" s="48" t="s">
        <v>54</v>
      </c>
      <c r="E799" s="48"/>
      <c r="F799" s="48">
        <v>968.2</v>
      </c>
      <c r="G799" s="43"/>
      <c r="H799" s="43"/>
      <c r="I799" s="43"/>
    </row>
    <row r="800" ht="12.75" customHeight="1">
      <c r="A800" s="48" t="s">
        <v>44</v>
      </c>
      <c r="B800" s="48" t="s">
        <v>28</v>
      </c>
      <c r="C800" s="48" t="s">
        <v>54</v>
      </c>
      <c r="D800" s="48" t="s">
        <v>8</v>
      </c>
      <c r="E800" s="48"/>
      <c r="F800" s="48">
        <v>77850.8</v>
      </c>
      <c r="G800" s="43"/>
      <c r="H800" s="43"/>
      <c r="I800" s="43"/>
    </row>
    <row r="801" ht="12.75" customHeight="1">
      <c r="A801" s="48" t="s">
        <v>44</v>
      </c>
      <c r="B801" s="48" t="s">
        <v>28</v>
      </c>
      <c r="C801" s="48" t="s">
        <v>54</v>
      </c>
      <c r="D801" s="48" t="s">
        <v>54</v>
      </c>
      <c r="E801" s="48"/>
      <c r="F801" s="48">
        <v>4084.3</v>
      </c>
      <c r="G801" s="43"/>
      <c r="H801" s="43"/>
      <c r="I801" s="43"/>
    </row>
    <row r="802" ht="12.75" customHeight="1">
      <c r="A802" s="48" t="s">
        <v>44</v>
      </c>
      <c r="B802" s="48" t="s">
        <v>28</v>
      </c>
      <c r="C802" s="48" t="s">
        <v>54</v>
      </c>
      <c r="D802" s="48" t="s">
        <v>54</v>
      </c>
      <c r="E802" s="48"/>
      <c r="F802" s="48">
        <v>1254.9</v>
      </c>
      <c r="G802" s="43"/>
      <c r="H802" s="43"/>
      <c r="I802" s="43"/>
    </row>
    <row r="803" ht="12.75" customHeight="1">
      <c r="A803" s="48" t="s">
        <v>44</v>
      </c>
      <c r="B803" s="48" t="s">
        <v>28</v>
      </c>
      <c r="C803" s="48" t="s">
        <v>54</v>
      </c>
      <c r="D803" s="48" t="s">
        <v>54</v>
      </c>
      <c r="E803" s="48"/>
      <c r="F803" s="48">
        <v>841.3000000000001</v>
      </c>
      <c r="G803" s="43"/>
      <c r="H803" s="43"/>
      <c r="I803" s="43"/>
    </row>
    <row r="804" ht="12.75" customHeight="1">
      <c r="A804" s="48" t="s">
        <v>44</v>
      </c>
      <c r="B804" s="48" t="s">
        <v>28</v>
      </c>
      <c r="C804" s="48" t="s">
        <v>54</v>
      </c>
      <c r="D804" s="48" t="s">
        <v>54</v>
      </c>
      <c r="E804" s="48"/>
      <c r="F804" s="48">
        <v>1353.6000000000001</v>
      </c>
      <c r="G804" s="43"/>
      <c r="H804" s="43"/>
      <c r="I804" s="43"/>
    </row>
    <row r="805" ht="12.75" customHeight="1">
      <c r="A805" s="48" t="s">
        <v>44</v>
      </c>
      <c r="B805" s="48" t="s">
        <v>28</v>
      </c>
      <c r="C805" s="48" t="s">
        <v>54</v>
      </c>
      <c r="D805" s="48" t="s">
        <v>54</v>
      </c>
      <c r="E805" s="48"/>
      <c r="F805" s="48">
        <v>0.0</v>
      </c>
      <c r="G805" s="43"/>
      <c r="H805" s="43"/>
      <c r="I805" s="43"/>
    </row>
    <row r="806" ht="12.75" customHeight="1">
      <c r="A806" s="48" t="s">
        <v>44</v>
      </c>
      <c r="B806" s="48" t="s">
        <v>28</v>
      </c>
      <c r="C806" s="48" t="s">
        <v>54</v>
      </c>
      <c r="D806" s="48" t="s">
        <v>54</v>
      </c>
      <c r="E806" s="48"/>
      <c r="F806" s="48">
        <v>521.7</v>
      </c>
      <c r="G806" s="43"/>
      <c r="H806" s="43"/>
      <c r="I806" s="43"/>
    </row>
    <row r="807" ht="12.75" customHeight="1">
      <c r="A807" s="48" t="s">
        <v>44</v>
      </c>
      <c r="B807" s="48" t="s">
        <v>28</v>
      </c>
      <c r="C807" s="48" t="s">
        <v>54</v>
      </c>
      <c r="D807" s="48" t="s">
        <v>54</v>
      </c>
      <c r="E807" s="48"/>
      <c r="F807" s="48">
        <v>11773.5</v>
      </c>
      <c r="G807" s="43"/>
      <c r="H807" s="43"/>
      <c r="I807" s="43"/>
    </row>
    <row r="808" ht="12.75" customHeight="1">
      <c r="A808" s="48" t="s">
        <v>44</v>
      </c>
      <c r="B808" s="48" t="s">
        <v>28</v>
      </c>
      <c r="C808" s="48" t="s">
        <v>54</v>
      </c>
      <c r="D808" s="48" t="s">
        <v>54</v>
      </c>
      <c r="E808" s="48"/>
      <c r="F808" s="48">
        <v>159.8</v>
      </c>
      <c r="G808" s="43"/>
      <c r="H808" s="43"/>
      <c r="I808" s="43"/>
    </row>
    <row r="809" ht="12.75" customHeight="1">
      <c r="A809" s="48" t="s">
        <v>44</v>
      </c>
      <c r="B809" s="48" t="s">
        <v>28</v>
      </c>
      <c r="C809" s="48" t="s">
        <v>54</v>
      </c>
      <c r="D809" s="48" t="s">
        <v>54</v>
      </c>
      <c r="E809" s="48"/>
      <c r="F809" s="48">
        <v>0.0</v>
      </c>
      <c r="G809" s="43"/>
      <c r="H809" s="43"/>
      <c r="I809" s="43"/>
    </row>
    <row r="810" ht="12.75" customHeight="1">
      <c r="A810" s="48" t="s">
        <v>44</v>
      </c>
      <c r="B810" s="48" t="s">
        <v>28</v>
      </c>
      <c r="C810" s="48" t="s">
        <v>54</v>
      </c>
      <c r="D810" s="48" t="s">
        <v>54</v>
      </c>
      <c r="E810" s="48"/>
      <c r="F810" s="48">
        <v>-237716.6</v>
      </c>
      <c r="G810" s="43"/>
      <c r="H810" s="43"/>
      <c r="I810" s="43"/>
    </row>
    <row r="811" ht="12.75" customHeight="1">
      <c r="A811" s="48" t="s">
        <v>44</v>
      </c>
      <c r="B811" s="48" t="s">
        <v>28</v>
      </c>
      <c r="C811" s="48" t="s">
        <v>54</v>
      </c>
      <c r="D811" s="48" t="s">
        <v>54</v>
      </c>
      <c r="E811" s="48"/>
      <c r="F811" s="48">
        <v>794.3000000000001</v>
      </c>
      <c r="G811" s="43"/>
      <c r="H811" s="43"/>
      <c r="I811" s="43"/>
    </row>
    <row r="812" ht="12.75" customHeight="1">
      <c r="A812" s="48" t="s">
        <v>44</v>
      </c>
      <c r="B812" s="48" t="s">
        <v>28</v>
      </c>
      <c r="C812" s="48" t="s">
        <v>54</v>
      </c>
      <c r="D812" s="48" t="s">
        <v>54</v>
      </c>
      <c r="E812" s="48"/>
      <c r="F812" s="48">
        <v>1870.6000000000001</v>
      </c>
      <c r="G812" s="43"/>
      <c r="H812" s="43"/>
      <c r="I812" s="43"/>
    </row>
    <row r="813" ht="12.75" customHeight="1">
      <c r="A813" s="48" t="s">
        <v>44</v>
      </c>
      <c r="B813" s="48" t="s">
        <v>28</v>
      </c>
      <c r="C813" s="48" t="s">
        <v>54</v>
      </c>
      <c r="D813" s="48" t="s">
        <v>54</v>
      </c>
      <c r="E813" s="48"/>
      <c r="F813" s="48">
        <v>151227.2</v>
      </c>
      <c r="G813" s="43"/>
      <c r="H813" s="43"/>
      <c r="I813" s="43"/>
    </row>
    <row r="814" ht="12.75" customHeight="1">
      <c r="A814" s="48" t="s">
        <v>44</v>
      </c>
      <c r="B814" s="48" t="s">
        <v>28</v>
      </c>
      <c r="C814" s="48" t="s">
        <v>54</v>
      </c>
      <c r="D814" s="48" t="s">
        <v>54</v>
      </c>
      <c r="E814" s="48"/>
      <c r="F814" s="48">
        <v>2143.2000000000003</v>
      </c>
      <c r="G814" s="43"/>
      <c r="H814" s="43"/>
      <c r="I814" s="43"/>
    </row>
    <row r="815" ht="12.75" customHeight="1">
      <c r="A815" s="48" t="s">
        <v>44</v>
      </c>
      <c r="B815" s="48" t="s">
        <v>28</v>
      </c>
      <c r="C815" s="48" t="s">
        <v>54</v>
      </c>
      <c r="D815" s="48" t="s">
        <v>54</v>
      </c>
      <c r="E815" s="48"/>
      <c r="F815" s="48">
        <v>-8380.1</v>
      </c>
      <c r="G815" s="43"/>
      <c r="H815" s="43"/>
      <c r="I815" s="43"/>
    </row>
    <row r="816" ht="12.75" customHeight="1">
      <c r="A816" s="48" t="s">
        <v>44</v>
      </c>
      <c r="B816" s="48" t="s">
        <v>28</v>
      </c>
      <c r="C816" s="48" t="s">
        <v>54</v>
      </c>
      <c r="D816" s="48" t="s">
        <v>54</v>
      </c>
      <c r="E816" s="48"/>
      <c r="F816" s="48">
        <v>545.2</v>
      </c>
      <c r="G816" s="43"/>
      <c r="H816" s="43"/>
      <c r="I816" s="43"/>
    </row>
    <row r="817" ht="12.75" customHeight="1">
      <c r="A817" s="48" t="s">
        <v>44</v>
      </c>
      <c r="B817" s="48" t="s">
        <v>28</v>
      </c>
      <c r="C817" s="48" t="s">
        <v>54</v>
      </c>
      <c r="D817" s="48" t="s">
        <v>54</v>
      </c>
      <c r="E817" s="48"/>
      <c r="F817" s="48">
        <v>122.2</v>
      </c>
      <c r="G817" s="43"/>
      <c r="H817" s="43"/>
      <c r="I817" s="43"/>
    </row>
    <row r="818" ht="12.75" customHeight="1">
      <c r="A818" s="48" t="s">
        <v>44</v>
      </c>
      <c r="B818" s="48" t="s">
        <v>28</v>
      </c>
      <c r="C818" s="48" t="s">
        <v>54</v>
      </c>
      <c r="D818" s="48" t="s">
        <v>54</v>
      </c>
      <c r="E818" s="48"/>
      <c r="F818" s="48">
        <v>3294.7000000000003</v>
      </c>
      <c r="G818" s="43"/>
      <c r="H818" s="43"/>
      <c r="I818" s="43"/>
    </row>
    <row r="819" ht="12.75" customHeight="1">
      <c r="A819" s="48" t="s">
        <v>44</v>
      </c>
      <c r="B819" s="48" t="s">
        <v>28</v>
      </c>
      <c r="C819" s="48" t="s">
        <v>54</v>
      </c>
      <c r="D819" s="48" t="s">
        <v>54</v>
      </c>
      <c r="E819" s="48"/>
      <c r="F819" s="48">
        <v>0.0</v>
      </c>
      <c r="G819" s="43"/>
      <c r="H819" s="43"/>
      <c r="I819" s="43"/>
    </row>
    <row r="820" ht="12.75" customHeight="1">
      <c r="A820" s="48" t="s">
        <v>44</v>
      </c>
      <c r="B820" s="48" t="s">
        <v>28</v>
      </c>
      <c r="C820" s="48" t="s">
        <v>54</v>
      </c>
      <c r="D820" s="48" t="s">
        <v>49</v>
      </c>
      <c r="E820" s="48"/>
      <c r="F820" s="48">
        <v>1254.9</v>
      </c>
      <c r="G820" s="43"/>
      <c r="H820" s="43"/>
      <c r="I820" s="43"/>
    </row>
    <row r="821" ht="12.75" customHeight="1">
      <c r="A821" s="48" t="s">
        <v>44</v>
      </c>
      <c r="B821" s="48" t="s">
        <v>28</v>
      </c>
      <c r="C821" s="48" t="s">
        <v>54</v>
      </c>
      <c r="D821" s="48" t="s">
        <v>47</v>
      </c>
      <c r="E821" s="48"/>
      <c r="F821" s="48">
        <v>45919.0</v>
      </c>
      <c r="G821" s="43"/>
      <c r="H821" s="43"/>
      <c r="I821" s="43"/>
    </row>
    <row r="822" ht="12.75" customHeight="1">
      <c r="A822" s="48" t="s">
        <v>44</v>
      </c>
      <c r="B822" s="48" t="s">
        <v>28</v>
      </c>
      <c r="C822" s="48" t="s">
        <v>54</v>
      </c>
      <c r="D822" s="48" t="s">
        <v>47</v>
      </c>
      <c r="E822" s="48"/>
      <c r="F822" s="48">
        <v>0.0</v>
      </c>
      <c r="G822" s="43"/>
      <c r="H822" s="43"/>
      <c r="I822" s="43"/>
    </row>
    <row r="823" ht="12.75" customHeight="1">
      <c r="A823" s="48" t="s">
        <v>44</v>
      </c>
      <c r="B823" s="48" t="s">
        <v>28</v>
      </c>
      <c r="C823" s="48" t="s">
        <v>54</v>
      </c>
      <c r="D823" s="48" t="s">
        <v>47</v>
      </c>
      <c r="E823" s="48"/>
      <c r="F823" s="48">
        <v>0.0</v>
      </c>
      <c r="G823" s="43"/>
      <c r="H823" s="43"/>
      <c r="I823" s="43"/>
    </row>
    <row r="824" ht="12.75" customHeight="1">
      <c r="A824" s="48" t="s">
        <v>44</v>
      </c>
      <c r="B824" s="48" t="s">
        <v>28</v>
      </c>
      <c r="C824" s="48" t="s">
        <v>54</v>
      </c>
      <c r="D824" s="48" t="s">
        <v>47</v>
      </c>
      <c r="E824" s="48"/>
      <c r="F824" s="48">
        <v>0.0</v>
      </c>
      <c r="G824" s="43"/>
      <c r="H824" s="43"/>
      <c r="I824" s="43"/>
    </row>
    <row r="825" ht="12.75" customHeight="1">
      <c r="A825" s="48" t="s">
        <v>44</v>
      </c>
      <c r="B825" s="48" t="s">
        <v>28</v>
      </c>
      <c r="C825" s="48" t="s">
        <v>54</v>
      </c>
      <c r="D825" s="48" t="s">
        <v>47</v>
      </c>
      <c r="E825" s="48"/>
      <c r="F825" s="48">
        <v>0.0</v>
      </c>
      <c r="G825" s="43"/>
      <c r="H825" s="43"/>
      <c r="I825" s="43"/>
    </row>
    <row r="826" ht="12.75" customHeight="1">
      <c r="A826" s="48" t="s">
        <v>44</v>
      </c>
      <c r="B826" s="48" t="s">
        <v>28</v>
      </c>
      <c r="C826" s="48" t="s">
        <v>54</v>
      </c>
      <c r="D826" s="48" t="s">
        <v>47</v>
      </c>
      <c r="E826" s="48"/>
      <c r="F826" s="48">
        <v>18941.0</v>
      </c>
      <c r="G826" s="43"/>
      <c r="H826" s="43"/>
      <c r="I826" s="43"/>
    </row>
    <row r="827" ht="12.75" customHeight="1">
      <c r="A827" s="48" t="s">
        <v>44</v>
      </c>
      <c r="B827" s="48" t="s">
        <v>28</v>
      </c>
      <c r="C827" s="48" t="s">
        <v>54</v>
      </c>
      <c r="D827" s="48" t="s">
        <v>47</v>
      </c>
      <c r="E827" s="48"/>
      <c r="F827" s="48">
        <v>0.0</v>
      </c>
      <c r="G827" s="43"/>
      <c r="H827" s="43"/>
      <c r="I827" s="43"/>
    </row>
    <row r="828" ht="12.75" customHeight="1">
      <c r="A828" s="48" t="s">
        <v>44</v>
      </c>
      <c r="B828" s="48" t="s">
        <v>29</v>
      </c>
      <c r="C828" s="48" t="s">
        <v>56</v>
      </c>
      <c r="D828" s="48" t="s">
        <v>57</v>
      </c>
      <c r="E828" s="48"/>
      <c r="F828" s="48">
        <v>511971.0</v>
      </c>
      <c r="G828" s="43"/>
      <c r="H828" s="43"/>
      <c r="I828" s="43"/>
    </row>
    <row r="829" ht="12.75" customHeight="1">
      <c r="A829" s="48" t="s">
        <v>44</v>
      </c>
      <c r="B829" s="48" t="s">
        <v>29</v>
      </c>
      <c r="C829" s="48" t="s">
        <v>56</v>
      </c>
      <c r="D829" s="48" t="s">
        <v>58</v>
      </c>
      <c r="E829" s="48"/>
      <c r="F829" s="48">
        <v>119474.0</v>
      </c>
      <c r="G829" s="43"/>
      <c r="H829" s="43"/>
      <c r="I829" s="43"/>
    </row>
    <row r="830" ht="12.75" customHeight="1">
      <c r="A830" s="48" t="s">
        <v>44</v>
      </c>
      <c r="B830" s="48" t="s">
        <v>29</v>
      </c>
      <c r="C830" s="48" t="s">
        <v>56</v>
      </c>
      <c r="D830" s="48" t="s">
        <v>58</v>
      </c>
      <c r="E830" s="48"/>
      <c r="F830" s="48">
        <v>73616.1</v>
      </c>
      <c r="G830" s="43"/>
      <c r="H830" s="43"/>
      <c r="I830" s="43"/>
    </row>
    <row r="831" ht="12.75" customHeight="1">
      <c r="A831" s="48" t="s">
        <v>44</v>
      </c>
      <c r="B831" s="48" t="s">
        <v>29</v>
      </c>
      <c r="C831" s="48" t="s">
        <v>56</v>
      </c>
      <c r="D831" s="48" t="s">
        <v>58</v>
      </c>
      <c r="E831" s="48"/>
      <c r="F831" s="48">
        <v>488001.0</v>
      </c>
      <c r="G831" s="43"/>
      <c r="H831" s="43"/>
      <c r="I831" s="43"/>
    </row>
    <row r="832" ht="12.75" customHeight="1">
      <c r="A832" s="48" t="s">
        <v>44</v>
      </c>
      <c r="B832" s="48" t="s">
        <v>29</v>
      </c>
      <c r="C832" s="48" t="s">
        <v>56</v>
      </c>
      <c r="D832" s="48" t="s">
        <v>8</v>
      </c>
      <c r="E832" s="48"/>
      <c r="F832" s="48">
        <v>0.0</v>
      </c>
      <c r="G832" s="43"/>
      <c r="H832" s="43"/>
      <c r="I832" s="43"/>
    </row>
    <row r="833" ht="12.75" customHeight="1">
      <c r="A833" s="48" t="s">
        <v>44</v>
      </c>
      <c r="B833" s="48" t="s">
        <v>29</v>
      </c>
      <c r="C833" s="48" t="s">
        <v>56</v>
      </c>
      <c r="D833" s="48" t="s">
        <v>8</v>
      </c>
      <c r="E833" s="48"/>
      <c r="F833" s="48">
        <v>80957.5</v>
      </c>
      <c r="G833" s="43"/>
      <c r="H833" s="43"/>
      <c r="I833" s="43"/>
    </row>
    <row r="834" ht="12.75" customHeight="1">
      <c r="A834" s="48" t="s">
        <v>44</v>
      </c>
      <c r="B834" s="48" t="s">
        <v>29</v>
      </c>
      <c r="C834" s="48" t="s">
        <v>56</v>
      </c>
      <c r="D834" s="48" t="s">
        <v>54</v>
      </c>
      <c r="E834" s="48"/>
      <c r="F834" s="48">
        <v>49162.0</v>
      </c>
      <c r="G834" s="43"/>
      <c r="H834" s="43"/>
      <c r="I834" s="43"/>
    </row>
    <row r="835" ht="12.75" customHeight="1">
      <c r="A835" s="48" t="s">
        <v>44</v>
      </c>
      <c r="B835" s="48" t="s">
        <v>29</v>
      </c>
      <c r="C835" s="48" t="s">
        <v>56</v>
      </c>
      <c r="D835" s="48" t="s">
        <v>49</v>
      </c>
      <c r="E835" s="48"/>
      <c r="F835" s="48">
        <v>1048.1000000000001</v>
      </c>
      <c r="G835" s="43"/>
      <c r="H835" s="43"/>
      <c r="I835" s="43"/>
    </row>
    <row r="836" ht="12.75" customHeight="1">
      <c r="A836" s="48" t="s">
        <v>44</v>
      </c>
      <c r="B836" s="48" t="s">
        <v>29</v>
      </c>
      <c r="C836" s="48" t="s">
        <v>56</v>
      </c>
      <c r="D836" s="48" t="s">
        <v>50</v>
      </c>
      <c r="E836" s="48"/>
      <c r="F836" s="48">
        <v>0.0</v>
      </c>
      <c r="G836" s="43"/>
      <c r="H836" s="43"/>
      <c r="I836" s="43"/>
    </row>
    <row r="837" ht="12.75" customHeight="1">
      <c r="A837" s="48" t="s">
        <v>44</v>
      </c>
      <c r="B837" s="48" t="s">
        <v>29</v>
      </c>
      <c r="C837" s="48" t="s">
        <v>56</v>
      </c>
      <c r="D837" s="48" t="s">
        <v>50</v>
      </c>
      <c r="E837" s="48"/>
      <c r="F837" s="48">
        <v>16012.900000000001</v>
      </c>
      <c r="G837" s="43"/>
      <c r="H837" s="43"/>
      <c r="I837" s="43"/>
    </row>
    <row r="838" ht="12.75" customHeight="1">
      <c r="A838" s="48" t="s">
        <v>44</v>
      </c>
      <c r="B838" s="48" t="s">
        <v>29</v>
      </c>
      <c r="C838" s="48" t="s">
        <v>56</v>
      </c>
      <c r="D838" s="48" t="s">
        <v>50</v>
      </c>
      <c r="E838" s="48"/>
      <c r="F838" s="48">
        <v>18268.9</v>
      </c>
      <c r="G838" s="43"/>
      <c r="H838" s="43"/>
      <c r="I838" s="43"/>
    </row>
    <row r="839" ht="12.75" customHeight="1">
      <c r="A839" s="48" t="s">
        <v>44</v>
      </c>
      <c r="B839" s="48" t="s">
        <v>29</v>
      </c>
      <c r="C839" s="48" t="s">
        <v>56</v>
      </c>
      <c r="D839" s="48" t="s">
        <v>50</v>
      </c>
      <c r="E839" s="48"/>
      <c r="F839" s="48">
        <v>16793.100000000002</v>
      </c>
      <c r="G839" s="43"/>
      <c r="H839" s="43"/>
      <c r="I839" s="43"/>
    </row>
    <row r="840" ht="12.75" customHeight="1">
      <c r="A840" s="48" t="s">
        <v>44</v>
      </c>
      <c r="B840" s="48" t="s">
        <v>29</v>
      </c>
      <c r="C840" s="48" t="s">
        <v>56</v>
      </c>
      <c r="D840" s="48" t="s">
        <v>50</v>
      </c>
      <c r="E840" s="48"/>
      <c r="F840" s="48">
        <v>65583.8</v>
      </c>
      <c r="G840" s="43"/>
      <c r="H840" s="43"/>
      <c r="I840" s="43"/>
    </row>
    <row r="841" ht="12.75" customHeight="1">
      <c r="A841" s="48" t="s">
        <v>44</v>
      </c>
      <c r="B841" s="48" t="s">
        <v>29</v>
      </c>
      <c r="C841" s="48" t="s">
        <v>56</v>
      </c>
      <c r="D841" s="48" t="s">
        <v>50</v>
      </c>
      <c r="E841" s="48"/>
      <c r="F841" s="48">
        <v>15326.7</v>
      </c>
      <c r="G841" s="43"/>
      <c r="H841" s="43"/>
      <c r="I841" s="43"/>
    </row>
    <row r="842" ht="12.75" customHeight="1">
      <c r="A842" s="48" t="s">
        <v>44</v>
      </c>
      <c r="B842" s="48" t="s">
        <v>29</v>
      </c>
      <c r="C842" s="48" t="s">
        <v>56</v>
      </c>
      <c r="D842" s="48" t="s">
        <v>50</v>
      </c>
      <c r="E842" s="48"/>
      <c r="F842" s="48">
        <v>625.1</v>
      </c>
      <c r="G842" s="43"/>
      <c r="H842" s="43"/>
      <c r="I842" s="43"/>
    </row>
    <row r="843" ht="12.75" customHeight="1">
      <c r="A843" s="48" t="s">
        <v>44</v>
      </c>
      <c r="B843" s="48" t="s">
        <v>29</v>
      </c>
      <c r="C843" s="48" t="s">
        <v>56</v>
      </c>
      <c r="D843" s="48" t="s">
        <v>50</v>
      </c>
      <c r="E843" s="48"/>
      <c r="F843" s="48">
        <v>13258.7</v>
      </c>
      <c r="G843" s="43"/>
      <c r="H843" s="43"/>
      <c r="I843" s="43"/>
    </row>
    <row r="844" ht="12.75" customHeight="1">
      <c r="A844" s="48" t="s">
        <v>44</v>
      </c>
      <c r="B844" s="48" t="s">
        <v>29</v>
      </c>
      <c r="C844" s="48" t="s">
        <v>56</v>
      </c>
      <c r="D844" s="48" t="s">
        <v>50</v>
      </c>
      <c r="E844" s="48"/>
      <c r="F844" s="48">
        <v>15434.800000000001</v>
      </c>
      <c r="G844" s="43"/>
      <c r="H844" s="43"/>
      <c r="I844" s="43"/>
    </row>
    <row r="845" ht="12.75" customHeight="1">
      <c r="A845" s="48" t="s">
        <v>44</v>
      </c>
      <c r="B845" s="48" t="s">
        <v>29</v>
      </c>
      <c r="C845" s="48" t="s">
        <v>56</v>
      </c>
      <c r="D845" s="48" t="s">
        <v>47</v>
      </c>
      <c r="E845" s="48"/>
      <c r="F845" s="48">
        <v>0.0</v>
      </c>
      <c r="G845" s="43"/>
      <c r="H845" s="43"/>
      <c r="I845" s="43"/>
    </row>
    <row r="846" ht="12.75" customHeight="1">
      <c r="A846" s="48" t="s">
        <v>44</v>
      </c>
      <c r="B846" s="48" t="s">
        <v>29</v>
      </c>
      <c r="C846" s="48" t="s">
        <v>56</v>
      </c>
      <c r="D846" s="48" t="s">
        <v>47</v>
      </c>
      <c r="E846" s="48"/>
      <c r="F846" s="48">
        <v>70.5</v>
      </c>
      <c r="G846" s="43"/>
      <c r="H846" s="43"/>
      <c r="I846" s="43"/>
    </row>
    <row r="847" ht="12.75" customHeight="1">
      <c r="A847" s="48" t="s">
        <v>44</v>
      </c>
      <c r="B847" s="48" t="s">
        <v>29</v>
      </c>
      <c r="C847" s="48" t="s">
        <v>56</v>
      </c>
      <c r="D847" s="48" t="s">
        <v>47</v>
      </c>
      <c r="E847" s="48"/>
      <c r="F847" s="48">
        <v>1057.5</v>
      </c>
      <c r="G847" s="43"/>
      <c r="H847" s="43"/>
      <c r="I847" s="43"/>
    </row>
    <row r="848" ht="12.75" customHeight="1">
      <c r="A848" s="48" t="s">
        <v>44</v>
      </c>
      <c r="B848" s="48" t="s">
        <v>29</v>
      </c>
      <c r="C848" s="48" t="s">
        <v>56</v>
      </c>
      <c r="D848" s="48" t="s">
        <v>47</v>
      </c>
      <c r="E848" s="48"/>
      <c r="F848" s="48">
        <v>0.0</v>
      </c>
      <c r="G848" s="43"/>
      <c r="H848" s="43"/>
      <c r="I848" s="43"/>
    </row>
    <row r="849" ht="12.75" customHeight="1">
      <c r="A849" s="48" t="s">
        <v>44</v>
      </c>
      <c r="B849" s="48" t="s">
        <v>29</v>
      </c>
      <c r="C849" s="48" t="s">
        <v>56</v>
      </c>
      <c r="D849" s="48" t="s">
        <v>47</v>
      </c>
      <c r="E849" s="48"/>
      <c r="F849" s="48">
        <v>3877.5</v>
      </c>
      <c r="G849" s="43"/>
      <c r="H849" s="43"/>
      <c r="I849" s="43"/>
    </row>
    <row r="850" ht="12.75" customHeight="1">
      <c r="A850" s="48" t="s">
        <v>44</v>
      </c>
      <c r="B850" s="48" t="s">
        <v>29</v>
      </c>
      <c r="C850" s="48" t="s">
        <v>66</v>
      </c>
      <c r="D850" s="48" t="s">
        <v>54</v>
      </c>
      <c r="E850" s="48"/>
      <c r="F850" s="48">
        <v>8192.1</v>
      </c>
      <c r="G850" s="43"/>
      <c r="H850" s="43"/>
      <c r="I850" s="43"/>
    </row>
    <row r="851" ht="12.75" customHeight="1">
      <c r="A851" s="48" t="s">
        <v>44</v>
      </c>
      <c r="B851" s="48" t="s">
        <v>29</v>
      </c>
      <c r="C851" s="48" t="s">
        <v>66</v>
      </c>
      <c r="D851" s="48" t="s">
        <v>50</v>
      </c>
      <c r="E851" s="48"/>
      <c r="F851" s="48">
        <v>10302.4</v>
      </c>
      <c r="G851" s="43"/>
      <c r="H851" s="43"/>
      <c r="I851" s="43"/>
    </row>
    <row r="852" ht="12.75" customHeight="1">
      <c r="A852" s="48" t="s">
        <v>44</v>
      </c>
      <c r="B852" s="48" t="s">
        <v>29</v>
      </c>
      <c r="C852" s="48" t="s">
        <v>66</v>
      </c>
      <c r="D852" s="48" t="s">
        <v>50</v>
      </c>
      <c r="E852" s="48"/>
      <c r="F852" s="48">
        <v>10932.2</v>
      </c>
      <c r="G852" s="43"/>
      <c r="H852" s="43"/>
      <c r="I852" s="43"/>
    </row>
    <row r="853" ht="12.75" customHeight="1">
      <c r="A853" s="48" t="s">
        <v>44</v>
      </c>
      <c r="B853" s="48" t="s">
        <v>29</v>
      </c>
      <c r="C853" s="48" t="s">
        <v>66</v>
      </c>
      <c r="D853" s="48" t="s">
        <v>47</v>
      </c>
      <c r="E853" s="48"/>
      <c r="F853" s="48">
        <v>0.0</v>
      </c>
      <c r="G853" s="43"/>
      <c r="H853" s="43"/>
      <c r="I853" s="43"/>
    </row>
    <row r="854" ht="12.75" customHeight="1">
      <c r="A854" s="48" t="s">
        <v>44</v>
      </c>
      <c r="B854" s="48" t="s">
        <v>29</v>
      </c>
      <c r="C854" s="48" t="s">
        <v>59</v>
      </c>
      <c r="D854" s="48" t="s">
        <v>58</v>
      </c>
      <c r="E854" s="48"/>
      <c r="F854" s="48">
        <v>48560.4</v>
      </c>
      <c r="G854" s="43"/>
      <c r="H854" s="43"/>
      <c r="I854" s="43"/>
    </row>
    <row r="855" ht="12.75" customHeight="1">
      <c r="A855" s="48" t="s">
        <v>44</v>
      </c>
      <c r="B855" s="48" t="s">
        <v>29</v>
      </c>
      <c r="C855" s="48" t="s">
        <v>59</v>
      </c>
      <c r="D855" s="48" t="s">
        <v>58</v>
      </c>
      <c r="E855" s="48"/>
      <c r="F855" s="48">
        <v>73211.90000000001</v>
      </c>
      <c r="G855" s="43"/>
      <c r="H855" s="43"/>
      <c r="I855" s="43"/>
    </row>
    <row r="856" ht="12.75" customHeight="1">
      <c r="A856" s="48" t="s">
        <v>44</v>
      </c>
      <c r="B856" s="48" t="s">
        <v>29</v>
      </c>
      <c r="C856" s="48" t="s">
        <v>59</v>
      </c>
      <c r="D856" s="48" t="s">
        <v>58</v>
      </c>
      <c r="E856" s="48"/>
      <c r="F856" s="48">
        <v>117199.20000000001</v>
      </c>
      <c r="G856" s="43"/>
      <c r="H856" s="43"/>
      <c r="I856" s="43"/>
    </row>
    <row r="857" ht="12.75" customHeight="1">
      <c r="A857" s="48" t="s">
        <v>44</v>
      </c>
      <c r="B857" s="48" t="s">
        <v>29</v>
      </c>
      <c r="C857" s="48" t="s">
        <v>59</v>
      </c>
      <c r="D857" s="48" t="s">
        <v>58</v>
      </c>
      <c r="E857" s="48"/>
      <c r="F857" s="48">
        <v>150588.0</v>
      </c>
      <c r="G857" s="43"/>
      <c r="H857" s="43"/>
      <c r="I857" s="43"/>
    </row>
    <row r="858" ht="12.75" customHeight="1">
      <c r="A858" s="48" t="s">
        <v>44</v>
      </c>
      <c r="B858" s="48" t="s">
        <v>29</v>
      </c>
      <c r="C858" s="48" t="s">
        <v>59</v>
      </c>
      <c r="D858" s="48" t="s">
        <v>54</v>
      </c>
      <c r="E858" s="48"/>
      <c r="F858" s="48">
        <v>16388.9</v>
      </c>
      <c r="G858" s="43"/>
      <c r="H858" s="43"/>
      <c r="I858" s="43"/>
    </row>
    <row r="859" ht="12.75" customHeight="1">
      <c r="A859" s="48" t="s">
        <v>44</v>
      </c>
      <c r="B859" s="48" t="s">
        <v>29</v>
      </c>
      <c r="C859" s="48" t="s">
        <v>59</v>
      </c>
      <c r="D859" s="48" t="s">
        <v>50</v>
      </c>
      <c r="E859" s="48"/>
      <c r="F859" s="48">
        <v>14471.300000000001</v>
      </c>
      <c r="G859" s="43"/>
      <c r="H859" s="43"/>
      <c r="I859" s="43"/>
    </row>
    <row r="860" ht="12.75" customHeight="1">
      <c r="A860" s="48" t="s">
        <v>44</v>
      </c>
      <c r="B860" s="48" t="s">
        <v>29</v>
      </c>
      <c r="C860" s="48" t="s">
        <v>59</v>
      </c>
      <c r="D860" s="48" t="s">
        <v>50</v>
      </c>
      <c r="E860" s="48"/>
      <c r="F860" s="48">
        <v>13084.800000000001</v>
      </c>
      <c r="G860" s="43"/>
      <c r="H860" s="43"/>
      <c r="I860" s="43"/>
    </row>
    <row r="861" ht="12.75" customHeight="1">
      <c r="A861" s="48" t="s">
        <v>44</v>
      </c>
      <c r="B861" s="48" t="s">
        <v>29</v>
      </c>
      <c r="C861" s="48" t="s">
        <v>59</v>
      </c>
      <c r="D861" s="48" t="s">
        <v>50</v>
      </c>
      <c r="E861" s="48"/>
      <c r="F861" s="48">
        <v>21859.7</v>
      </c>
      <c r="G861" s="43"/>
      <c r="H861" s="43"/>
      <c r="I861" s="43"/>
    </row>
    <row r="862" ht="12.75" customHeight="1">
      <c r="A862" s="48" t="s">
        <v>44</v>
      </c>
      <c r="B862" s="48" t="s">
        <v>29</v>
      </c>
      <c r="C862" s="48" t="s">
        <v>59</v>
      </c>
      <c r="D862" s="48" t="s">
        <v>47</v>
      </c>
      <c r="E862" s="48"/>
      <c r="F862" s="48">
        <v>2115.0</v>
      </c>
      <c r="G862" s="43"/>
      <c r="H862" s="43"/>
      <c r="I862" s="43"/>
    </row>
    <row r="863" ht="12.75" customHeight="1">
      <c r="A863" s="48" t="s">
        <v>44</v>
      </c>
      <c r="B863" s="48" t="s">
        <v>30</v>
      </c>
      <c r="C863" s="48" t="s">
        <v>6</v>
      </c>
      <c r="D863" s="48" t="s">
        <v>8</v>
      </c>
      <c r="E863" s="48"/>
      <c r="F863" s="48">
        <v>70.5</v>
      </c>
      <c r="G863" s="43"/>
      <c r="H863" s="43"/>
      <c r="I863" s="43"/>
    </row>
    <row r="864" ht="12.75" customHeight="1">
      <c r="A864" s="48" t="s">
        <v>44</v>
      </c>
      <c r="B864" s="48" t="s">
        <v>30</v>
      </c>
      <c r="C864" s="48" t="s">
        <v>6</v>
      </c>
      <c r="D864" s="48" t="s">
        <v>8</v>
      </c>
      <c r="E864" s="48"/>
      <c r="F864" s="48">
        <v>94.0</v>
      </c>
      <c r="G864" s="43"/>
      <c r="H864" s="43"/>
      <c r="I864" s="43"/>
    </row>
    <row r="865" ht="12.75" customHeight="1">
      <c r="A865" s="48" t="s">
        <v>44</v>
      </c>
      <c r="B865" s="48" t="s">
        <v>30</v>
      </c>
      <c r="C865" s="48" t="s">
        <v>6</v>
      </c>
      <c r="D865" s="48" t="s">
        <v>6</v>
      </c>
      <c r="E865" s="48"/>
      <c r="F865" s="48">
        <v>9282.5</v>
      </c>
      <c r="G865" s="43"/>
      <c r="H865" s="43"/>
      <c r="I865" s="43"/>
    </row>
    <row r="866" ht="12.75" customHeight="1">
      <c r="A866" s="48" t="s">
        <v>44</v>
      </c>
      <c r="B866" s="48" t="s">
        <v>30</v>
      </c>
      <c r="C866" s="48" t="s">
        <v>6</v>
      </c>
      <c r="D866" s="48" t="s">
        <v>6</v>
      </c>
      <c r="E866" s="48"/>
      <c r="F866" s="48">
        <v>0.0</v>
      </c>
      <c r="G866" s="43"/>
      <c r="H866" s="43"/>
      <c r="I866" s="43"/>
    </row>
    <row r="867" ht="12.75" customHeight="1">
      <c r="A867" s="48" t="s">
        <v>44</v>
      </c>
      <c r="B867" s="48" t="s">
        <v>30</v>
      </c>
      <c r="C867" s="48" t="s">
        <v>6</v>
      </c>
      <c r="D867" s="48" t="s">
        <v>6</v>
      </c>
      <c r="E867" s="48"/>
      <c r="F867" s="48">
        <v>-76318.6</v>
      </c>
      <c r="G867" s="43"/>
      <c r="H867" s="43"/>
      <c r="I867" s="43"/>
    </row>
    <row r="868" ht="12.75" customHeight="1">
      <c r="A868" s="48" t="s">
        <v>44</v>
      </c>
      <c r="B868" s="48" t="s">
        <v>30</v>
      </c>
      <c r="C868" s="48" t="s">
        <v>6</v>
      </c>
      <c r="D868" s="48" t="s">
        <v>6</v>
      </c>
      <c r="E868" s="48"/>
      <c r="F868" s="48">
        <v>32354.800000000003</v>
      </c>
      <c r="G868" s="43"/>
      <c r="H868" s="43"/>
      <c r="I868" s="43"/>
    </row>
    <row r="869" ht="12.75" customHeight="1">
      <c r="A869" s="48" t="s">
        <v>44</v>
      </c>
      <c r="B869" s="48" t="s">
        <v>30</v>
      </c>
      <c r="C869" s="48" t="s">
        <v>6</v>
      </c>
      <c r="D869" s="48" t="s">
        <v>54</v>
      </c>
      <c r="E869" s="48"/>
      <c r="F869" s="48">
        <v>18.8</v>
      </c>
      <c r="G869" s="43"/>
      <c r="H869" s="43"/>
      <c r="I869" s="43"/>
    </row>
    <row r="870" ht="12.75" customHeight="1">
      <c r="A870" s="48" t="s">
        <v>44</v>
      </c>
      <c r="B870" s="48" t="s">
        <v>30</v>
      </c>
      <c r="C870" s="48" t="s">
        <v>6</v>
      </c>
      <c r="D870" s="48" t="s">
        <v>54</v>
      </c>
      <c r="E870" s="48"/>
      <c r="F870" s="48">
        <v>9761.9</v>
      </c>
      <c r="G870" s="43"/>
      <c r="H870" s="43"/>
      <c r="I870" s="43"/>
    </row>
    <row r="871" ht="12.75" customHeight="1">
      <c r="A871" s="48" t="s">
        <v>44</v>
      </c>
      <c r="B871" s="48" t="s">
        <v>30</v>
      </c>
      <c r="C871" s="48" t="s">
        <v>6</v>
      </c>
      <c r="D871" s="48" t="s">
        <v>49</v>
      </c>
      <c r="E871" s="48"/>
      <c r="F871" s="48">
        <v>34921.0</v>
      </c>
      <c r="G871" s="43"/>
      <c r="H871" s="43"/>
      <c r="I871" s="43"/>
    </row>
    <row r="872" ht="12.75" customHeight="1">
      <c r="A872" s="48" t="s">
        <v>44</v>
      </c>
      <c r="B872" s="48" t="s">
        <v>30</v>
      </c>
      <c r="C872" s="48" t="s">
        <v>6</v>
      </c>
      <c r="D872" s="48" t="s">
        <v>50</v>
      </c>
      <c r="E872" s="48"/>
      <c r="F872" s="48">
        <v>4855.1</v>
      </c>
      <c r="G872" s="43"/>
      <c r="H872" s="43"/>
      <c r="I872" s="43"/>
    </row>
    <row r="873" ht="12.75" customHeight="1">
      <c r="A873" s="48" t="s">
        <v>44</v>
      </c>
      <c r="B873" s="48" t="s">
        <v>30</v>
      </c>
      <c r="C873" s="48" t="s">
        <v>6</v>
      </c>
      <c r="D873" s="48" t="s">
        <v>50</v>
      </c>
      <c r="E873" s="48"/>
      <c r="F873" s="48">
        <v>8554.0</v>
      </c>
      <c r="G873" s="43"/>
      <c r="H873" s="43"/>
      <c r="I873" s="43"/>
    </row>
    <row r="874" ht="12.75" customHeight="1">
      <c r="A874" s="48" t="s">
        <v>44</v>
      </c>
      <c r="B874" s="48" t="s">
        <v>30</v>
      </c>
      <c r="C874" s="48" t="s">
        <v>6</v>
      </c>
      <c r="D874" s="48" t="s">
        <v>50</v>
      </c>
      <c r="E874" s="48"/>
      <c r="F874" s="48">
        <v>8351.9</v>
      </c>
      <c r="G874" s="43"/>
      <c r="H874" s="43"/>
      <c r="I874" s="43"/>
    </row>
    <row r="875" ht="12.75" customHeight="1">
      <c r="A875" s="48" t="s">
        <v>44</v>
      </c>
      <c r="B875" s="48" t="s">
        <v>30</v>
      </c>
      <c r="C875" s="48" t="s">
        <v>6</v>
      </c>
      <c r="D875" s="48" t="s">
        <v>50</v>
      </c>
      <c r="E875" s="48"/>
      <c r="F875" s="48">
        <v>10932.2</v>
      </c>
      <c r="G875" s="43"/>
      <c r="H875" s="43"/>
      <c r="I875" s="43"/>
    </row>
    <row r="876" ht="12.75" customHeight="1">
      <c r="A876" s="48" t="s">
        <v>44</v>
      </c>
      <c r="B876" s="48" t="s">
        <v>30</v>
      </c>
      <c r="C876" s="48" t="s">
        <v>6</v>
      </c>
      <c r="D876" s="48" t="s">
        <v>47</v>
      </c>
      <c r="E876" s="48"/>
      <c r="F876" s="48">
        <v>5137.1</v>
      </c>
      <c r="G876" s="43"/>
      <c r="H876" s="43"/>
      <c r="I876" s="43"/>
    </row>
    <row r="877" ht="12.75" customHeight="1">
      <c r="A877" s="48" t="s">
        <v>44</v>
      </c>
      <c r="B877" s="48" t="s">
        <v>30</v>
      </c>
      <c r="C877" s="48" t="s">
        <v>6</v>
      </c>
      <c r="D877" s="48" t="s">
        <v>47</v>
      </c>
      <c r="E877" s="48"/>
      <c r="F877" s="48">
        <v>1057.5</v>
      </c>
      <c r="G877" s="43"/>
      <c r="H877" s="43"/>
      <c r="I877" s="43"/>
    </row>
    <row r="878" ht="12.75" customHeight="1">
      <c r="A878" s="48" t="s">
        <v>44</v>
      </c>
      <c r="B878" s="48" t="s">
        <v>30</v>
      </c>
      <c r="C878" s="48" t="s">
        <v>5</v>
      </c>
      <c r="D878" s="48" t="s">
        <v>60</v>
      </c>
      <c r="E878" s="48"/>
      <c r="F878" s="48">
        <v>121504.40000000001</v>
      </c>
      <c r="G878" s="43"/>
      <c r="H878" s="43"/>
      <c r="I878" s="43"/>
    </row>
    <row r="879" ht="12.75" customHeight="1">
      <c r="A879" s="48" t="s">
        <v>44</v>
      </c>
      <c r="B879" s="48" t="s">
        <v>30</v>
      </c>
      <c r="C879" s="48" t="s">
        <v>5</v>
      </c>
      <c r="D879" s="48" t="s">
        <v>52</v>
      </c>
      <c r="E879" s="48"/>
      <c r="F879" s="48">
        <v>51474.4</v>
      </c>
      <c r="G879" s="43"/>
      <c r="H879" s="43"/>
      <c r="I879" s="43"/>
    </row>
    <row r="880" ht="12.75" customHeight="1">
      <c r="A880" s="48" t="s">
        <v>44</v>
      </c>
      <c r="B880" s="48" t="s">
        <v>30</v>
      </c>
      <c r="C880" s="48" t="s">
        <v>5</v>
      </c>
      <c r="D880" s="48" t="s">
        <v>52</v>
      </c>
      <c r="E880" s="48"/>
      <c r="F880" s="48">
        <v>0.0</v>
      </c>
      <c r="G880" s="43"/>
      <c r="H880" s="43"/>
      <c r="I880" s="43"/>
    </row>
    <row r="881" ht="12.75" customHeight="1">
      <c r="A881" s="48" t="s">
        <v>44</v>
      </c>
      <c r="B881" s="48" t="s">
        <v>30</v>
      </c>
      <c r="C881" s="48" t="s">
        <v>5</v>
      </c>
      <c r="D881" s="48" t="s">
        <v>53</v>
      </c>
      <c r="E881" s="48"/>
      <c r="F881" s="48">
        <v>13766.300000000001</v>
      </c>
      <c r="G881" s="43"/>
      <c r="H881" s="43"/>
      <c r="I881" s="43"/>
    </row>
    <row r="882" ht="12.75" customHeight="1">
      <c r="A882" s="48" t="s">
        <v>44</v>
      </c>
      <c r="B882" s="48" t="s">
        <v>30</v>
      </c>
      <c r="C882" s="48" t="s">
        <v>5</v>
      </c>
      <c r="D882" s="48" t="s">
        <v>53</v>
      </c>
      <c r="E882" s="48"/>
      <c r="F882" s="48">
        <v>49617.9</v>
      </c>
      <c r="G882" s="43"/>
      <c r="H882" s="43"/>
      <c r="I882" s="43"/>
    </row>
    <row r="883" ht="12.75" customHeight="1">
      <c r="A883" s="48" t="s">
        <v>44</v>
      </c>
      <c r="B883" s="48" t="s">
        <v>30</v>
      </c>
      <c r="C883" s="48" t="s">
        <v>5</v>
      </c>
      <c r="D883" s="48" t="s">
        <v>53</v>
      </c>
      <c r="E883" s="48"/>
      <c r="F883" s="48">
        <v>17004.600000000002</v>
      </c>
      <c r="G883" s="43"/>
      <c r="H883" s="43"/>
      <c r="I883" s="43"/>
    </row>
    <row r="884" ht="12.75" customHeight="1">
      <c r="A884" s="48" t="s">
        <v>44</v>
      </c>
      <c r="B884" s="48" t="s">
        <v>30</v>
      </c>
      <c r="C884" s="48" t="s">
        <v>5</v>
      </c>
      <c r="D884" s="48" t="s">
        <v>53</v>
      </c>
      <c r="E884" s="48"/>
      <c r="F884" s="48">
        <v>265691.0</v>
      </c>
      <c r="G884" s="43"/>
      <c r="H884" s="43"/>
      <c r="I884" s="43"/>
    </row>
    <row r="885" ht="12.75" customHeight="1">
      <c r="A885" s="48" t="s">
        <v>44</v>
      </c>
      <c r="B885" s="48" t="s">
        <v>30</v>
      </c>
      <c r="C885" s="48" t="s">
        <v>5</v>
      </c>
      <c r="D885" s="48" t="s">
        <v>53</v>
      </c>
      <c r="E885" s="48"/>
      <c r="F885" s="48">
        <v>0.0</v>
      </c>
      <c r="G885" s="43"/>
      <c r="H885" s="43"/>
      <c r="I885" s="43"/>
    </row>
    <row r="886" ht="12.75" customHeight="1">
      <c r="A886" s="48" t="s">
        <v>44</v>
      </c>
      <c r="B886" s="48" t="s">
        <v>30</v>
      </c>
      <c r="C886" s="48" t="s">
        <v>5</v>
      </c>
      <c r="D886" s="48" t="s">
        <v>54</v>
      </c>
      <c r="E886" s="48"/>
      <c r="F886" s="48">
        <v>0.0</v>
      </c>
      <c r="G886" s="43"/>
      <c r="H886" s="43"/>
      <c r="I886" s="43"/>
    </row>
    <row r="887" ht="12.75" customHeight="1">
      <c r="A887" s="48" t="s">
        <v>44</v>
      </c>
      <c r="B887" s="48" t="s">
        <v>30</v>
      </c>
      <c r="C887" s="48" t="s">
        <v>5</v>
      </c>
      <c r="D887" s="48" t="s">
        <v>54</v>
      </c>
      <c r="E887" s="48"/>
      <c r="F887" s="48">
        <v>6265.1</v>
      </c>
      <c r="G887" s="43"/>
      <c r="H887" s="43"/>
      <c r="I887" s="43"/>
    </row>
    <row r="888" ht="12.75" customHeight="1">
      <c r="A888" s="48" t="s">
        <v>44</v>
      </c>
      <c r="B888" s="48" t="s">
        <v>30</v>
      </c>
      <c r="C888" s="48" t="s">
        <v>5</v>
      </c>
      <c r="D888" s="48" t="s">
        <v>54</v>
      </c>
      <c r="E888" s="48"/>
      <c r="F888" s="48">
        <v>1095.1000000000001</v>
      </c>
      <c r="G888" s="43"/>
      <c r="H888" s="43"/>
      <c r="I888" s="43"/>
    </row>
    <row r="889" ht="12.75" customHeight="1">
      <c r="A889" s="48" t="s">
        <v>44</v>
      </c>
      <c r="B889" s="48" t="s">
        <v>30</v>
      </c>
      <c r="C889" s="48" t="s">
        <v>5</v>
      </c>
      <c r="D889" s="48" t="s">
        <v>54</v>
      </c>
      <c r="E889" s="48"/>
      <c r="F889" s="48">
        <v>3102.0</v>
      </c>
      <c r="G889" s="43"/>
      <c r="H889" s="43"/>
      <c r="I889" s="43"/>
    </row>
    <row r="890" ht="12.75" customHeight="1">
      <c r="A890" s="48" t="s">
        <v>44</v>
      </c>
      <c r="B890" s="48" t="s">
        <v>30</v>
      </c>
      <c r="C890" s="48" t="s">
        <v>5</v>
      </c>
      <c r="D890" s="48" t="s">
        <v>54</v>
      </c>
      <c r="E890" s="48"/>
      <c r="F890" s="48">
        <v>10269.5</v>
      </c>
      <c r="G890" s="43"/>
      <c r="H890" s="43"/>
      <c r="I890" s="43"/>
    </row>
    <row r="891" ht="12.75" customHeight="1">
      <c r="A891" s="48" t="s">
        <v>44</v>
      </c>
      <c r="B891" s="48" t="s">
        <v>30</v>
      </c>
      <c r="C891" s="48" t="s">
        <v>5</v>
      </c>
      <c r="D891" s="48" t="s">
        <v>54</v>
      </c>
      <c r="E891" s="48"/>
      <c r="F891" s="48">
        <v>0.0</v>
      </c>
      <c r="G891" s="43"/>
      <c r="H891" s="43"/>
      <c r="I891" s="43"/>
    </row>
    <row r="892" ht="12.75" customHeight="1">
      <c r="A892" s="48" t="s">
        <v>44</v>
      </c>
      <c r="B892" s="48" t="s">
        <v>30</v>
      </c>
      <c r="C892" s="48" t="s">
        <v>5</v>
      </c>
      <c r="D892" s="48" t="s">
        <v>50</v>
      </c>
      <c r="E892" s="48"/>
      <c r="F892" s="48">
        <v>0.0</v>
      </c>
      <c r="G892" s="43"/>
      <c r="H892" s="43"/>
      <c r="I892" s="43"/>
    </row>
    <row r="893" ht="12.75" customHeight="1">
      <c r="A893" s="48" t="s">
        <v>44</v>
      </c>
      <c r="B893" s="48" t="s">
        <v>30</v>
      </c>
      <c r="C893" s="48" t="s">
        <v>5</v>
      </c>
      <c r="D893" s="48" t="s">
        <v>50</v>
      </c>
      <c r="E893" s="48"/>
      <c r="F893" s="48">
        <v>77611.1</v>
      </c>
      <c r="G893" s="43"/>
      <c r="H893" s="43"/>
      <c r="I893" s="43"/>
    </row>
    <row r="894" ht="12.75" customHeight="1">
      <c r="A894" s="48" t="s">
        <v>44</v>
      </c>
      <c r="B894" s="48" t="s">
        <v>30</v>
      </c>
      <c r="C894" s="48" t="s">
        <v>5</v>
      </c>
      <c r="D894" s="48" t="s">
        <v>50</v>
      </c>
      <c r="E894" s="48"/>
      <c r="F894" s="48">
        <v>2251.3</v>
      </c>
      <c r="G894" s="43"/>
      <c r="H894" s="43"/>
      <c r="I894" s="43"/>
    </row>
    <row r="895" ht="12.75" customHeight="1">
      <c r="A895" s="48" t="s">
        <v>44</v>
      </c>
      <c r="B895" s="48" t="s">
        <v>30</v>
      </c>
      <c r="C895" s="48" t="s">
        <v>5</v>
      </c>
      <c r="D895" s="48" t="s">
        <v>50</v>
      </c>
      <c r="E895" s="48"/>
      <c r="F895" s="48">
        <v>10678.4</v>
      </c>
      <c r="G895" s="43"/>
      <c r="H895" s="43"/>
      <c r="I895" s="43"/>
    </row>
    <row r="896" ht="12.75" customHeight="1">
      <c r="A896" s="48" t="s">
        <v>44</v>
      </c>
      <c r="B896" s="48" t="s">
        <v>30</v>
      </c>
      <c r="C896" s="48" t="s">
        <v>5</v>
      </c>
      <c r="D896" s="48" t="s">
        <v>50</v>
      </c>
      <c r="E896" s="48"/>
      <c r="F896" s="48">
        <v>47465.3</v>
      </c>
      <c r="G896" s="43"/>
      <c r="H896" s="43"/>
      <c r="I896" s="43"/>
    </row>
    <row r="897" ht="12.75" customHeight="1">
      <c r="A897" s="48" t="s">
        <v>44</v>
      </c>
      <c r="B897" s="48" t="s">
        <v>30</v>
      </c>
      <c r="C897" s="48" t="s">
        <v>5</v>
      </c>
      <c r="D897" s="48" t="s">
        <v>50</v>
      </c>
      <c r="E897" s="48"/>
      <c r="F897" s="48">
        <v>34432.200000000004</v>
      </c>
      <c r="G897" s="43"/>
      <c r="H897" s="43"/>
      <c r="I897" s="43"/>
    </row>
    <row r="898" ht="12.75" customHeight="1">
      <c r="A898" s="48" t="s">
        <v>44</v>
      </c>
      <c r="B898" s="48" t="s">
        <v>30</v>
      </c>
      <c r="C898" s="48" t="s">
        <v>5</v>
      </c>
      <c r="D898" s="48" t="s">
        <v>50</v>
      </c>
      <c r="E898" s="48"/>
      <c r="F898" s="48">
        <v>3811.7000000000003</v>
      </c>
      <c r="G898" s="43"/>
      <c r="H898" s="43"/>
      <c r="I898" s="43"/>
    </row>
    <row r="899" ht="12.75" customHeight="1">
      <c r="A899" s="48" t="s">
        <v>44</v>
      </c>
      <c r="B899" s="48" t="s">
        <v>30</v>
      </c>
      <c r="C899" s="48" t="s">
        <v>5</v>
      </c>
      <c r="D899" s="48" t="s">
        <v>47</v>
      </c>
      <c r="E899" s="48"/>
      <c r="F899" s="48">
        <v>0.0</v>
      </c>
      <c r="G899" s="43"/>
      <c r="H899" s="43"/>
      <c r="I899" s="43"/>
    </row>
    <row r="900" ht="12.75" customHeight="1">
      <c r="A900" s="48" t="s">
        <v>44</v>
      </c>
      <c r="B900" s="48" t="s">
        <v>30</v>
      </c>
      <c r="C900" s="48" t="s">
        <v>5</v>
      </c>
      <c r="D900" s="48" t="s">
        <v>47</v>
      </c>
      <c r="E900" s="48"/>
      <c r="F900" s="48">
        <v>52828.0</v>
      </c>
      <c r="G900" s="43"/>
      <c r="H900" s="43"/>
      <c r="I900" s="43"/>
    </row>
    <row r="901" ht="12.75" customHeight="1">
      <c r="A901" s="48" t="s">
        <v>44</v>
      </c>
      <c r="B901" s="48" t="s">
        <v>30</v>
      </c>
      <c r="C901" s="48" t="s">
        <v>5</v>
      </c>
      <c r="D901" s="48" t="s">
        <v>47</v>
      </c>
      <c r="E901" s="48"/>
      <c r="F901" s="48">
        <v>0.0</v>
      </c>
      <c r="G901" s="43"/>
      <c r="H901" s="43"/>
      <c r="I901" s="43"/>
    </row>
    <row r="902" ht="12.75" customHeight="1">
      <c r="A902" s="48" t="s">
        <v>44</v>
      </c>
      <c r="B902" s="48" t="s">
        <v>30</v>
      </c>
      <c r="C902" s="48" t="s">
        <v>5</v>
      </c>
      <c r="D902" s="48" t="s">
        <v>47</v>
      </c>
      <c r="E902" s="48"/>
      <c r="F902" s="48">
        <v>-98.7</v>
      </c>
      <c r="G902" s="43"/>
      <c r="H902" s="43"/>
      <c r="I902" s="43"/>
    </row>
    <row r="903" ht="12.75" customHeight="1">
      <c r="A903" s="48" t="s">
        <v>44</v>
      </c>
      <c r="B903" s="48" t="s">
        <v>30</v>
      </c>
      <c r="C903" s="48" t="s">
        <v>5</v>
      </c>
      <c r="D903" s="48" t="s">
        <v>47</v>
      </c>
      <c r="E903" s="48"/>
      <c r="F903" s="48">
        <v>0.0</v>
      </c>
      <c r="G903" s="43"/>
      <c r="H903" s="43"/>
      <c r="I903" s="43"/>
    </row>
    <row r="904" ht="12.75" customHeight="1">
      <c r="A904" s="48" t="s">
        <v>44</v>
      </c>
      <c r="B904" s="48" t="s">
        <v>30</v>
      </c>
      <c r="C904" s="48" t="s">
        <v>5</v>
      </c>
      <c r="D904" s="48" t="s">
        <v>47</v>
      </c>
      <c r="E904" s="48"/>
      <c r="F904" s="48">
        <v>7266.200000000001</v>
      </c>
      <c r="G904" s="43"/>
      <c r="H904" s="43"/>
      <c r="I904" s="43"/>
    </row>
    <row r="905" ht="12.75" customHeight="1">
      <c r="A905" s="48" t="s">
        <v>44</v>
      </c>
      <c r="B905" s="48" t="s">
        <v>30</v>
      </c>
      <c r="C905" s="48" t="s">
        <v>5</v>
      </c>
      <c r="D905" s="48" t="s">
        <v>47</v>
      </c>
      <c r="E905" s="48"/>
      <c r="F905" s="48">
        <v>17921.100000000002</v>
      </c>
      <c r="G905" s="43"/>
      <c r="H905" s="43"/>
      <c r="I905" s="43"/>
    </row>
    <row r="906" ht="12.75" customHeight="1">
      <c r="A906" s="48" t="s">
        <v>44</v>
      </c>
      <c r="B906" s="48" t="s">
        <v>30</v>
      </c>
      <c r="C906" s="48" t="s">
        <v>5</v>
      </c>
      <c r="D906" s="48" t="s">
        <v>47</v>
      </c>
      <c r="E906" s="48"/>
      <c r="F906" s="48">
        <v>35381.6</v>
      </c>
      <c r="G906" s="43"/>
      <c r="H906" s="43"/>
      <c r="I906" s="43"/>
    </row>
    <row r="907" ht="12.75" customHeight="1">
      <c r="A907" s="48" t="s">
        <v>44</v>
      </c>
      <c r="B907" s="48" t="s">
        <v>30</v>
      </c>
      <c r="C907" s="48" t="s">
        <v>5</v>
      </c>
      <c r="D907" s="48" t="s">
        <v>47</v>
      </c>
      <c r="E907" s="48"/>
      <c r="F907" s="48">
        <v>-444601.2</v>
      </c>
      <c r="G907" s="43"/>
      <c r="H907" s="43"/>
      <c r="I907" s="43"/>
    </row>
    <row r="908" ht="12.75" customHeight="1">
      <c r="A908" s="48" t="s">
        <v>44</v>
      </c>
      <c r="B908" s="48" t="s">
        <v>30</v>
      </c>
      <c r="C908" s="48" t="s">
        <v>5</v>
      </c>
      <c r="D908" s="48" t="s">
        <v>47</v>
      </c>
      <c r="E908" s="48"/>
      <c r="F908" s="48">
        <v>0.0</v>
      </c>
      <c r="G908" s="43"/>
      <c r="H908" s="43"/>
      <c r="I908" s="43"/>
    </row>
    <row r="909" ht="12.75" customHeight="1">
      <c r="A909" s="48" t="s">
        <v>44</v>
      </c>
      <c r="B909" s="48" t="s">
        <v>30</v>
      </c>
      <c r="C909" s="48" t="s">
        <v>61</v>
      </c>
      <c r="D909" s="48" t="s">
        <v>53</v>
      </c>
      <c r="E909" s="48"/>
      <c r="F909" s="48">
        <v>7581.1</v>
      </c>
      <c r="G909" s="43"/>
      <c r="H909" s="43"/>
      <c r="I909" s="43"/>
    </row>
    <row r="910" ht="12.75" customHeight="1">
      <c r="A910" s="48" t="s">
        <v>44</v>
      </c>
      <c r="B910" s="48" t="s">
        <v>30</v>
      </c>
      <c r="C910" s="48" t="s">
        <v>61</v>
      </c>
      <c r="D910" s="48" t="s">
        <v>53</v>
      </c>
      <c r="E910" s="48"/>
      <c r="F910" s="48">
        <v>620.4</v>
      </c>
      <c r="G910" s="43"/>
      <c r="H910" s="43"/>
      <c r="I910" s="43"/>
    </row>
    <row r="911" ht="12.75" customHeight="1">
      <c r="A911" s="48" t="s">
        <v>44</v>
      </c>
      <c r="B911" s="48" t="s">
        <v>30</v>
      </c>
      <c r="C911" s="48" t="s">
        <v>61</v>
      </c>
      <c r="D911" s="48" t="s">
        <v>53</v>
      </c>
      <c r="E911" s="48"/>
      <c r="F911" s="48">
        <v>42.300000000000004</v>
      </c>
      <c r="G911" s="43"/>
      <c r="H911" s="43"/>
      <c r="I911" s="43"/>
    </row>
    <row r="912" ht="12.75" customHeight="1">
      <c r="A912" s="48" t="s">
        <v>44</v>
      </c>
      <c r="B912" s="48" t="s">
        <v>30</v>
      </c>
      <c r="C912" s="48" t="s">
        <v>61</v>
      </c>
      <c r="D912" s="48" t="s">
        <v>54</v>
      </c>
      <c r="E912" s="48"/>
      <c r="F912" s="48">
        <v>13780.4</v>
      </c>
      <c r="G912" s="43"/>
      <c r="H912" s="43"/>
      <c r="I912" s="43"/>
    </row>
    <row r="913" ht="12.75" customHeight="1">
      <c r="A913" s="48" t="s">
        <v>44</v>
      </c>
      <c r="B913" s="48" t="s">
        <v>30</v>
      </c>
      <c r="C913" s="48" t="s">
        <v>61</v>
      </c>
      <c r="D913" s="48" t="s">
        <v>54</v>
      </c>
      <c r="E913" s="48"/>
      <c r="F913" s="48">
        <v>277.3</v>
      </c>
      <c r="G913" s="43"/>
      <c r="H913" s="43"/>
      <c r="I913" s="43"/>
    </row>
    <row r="914" ht="12.75" customHeight="1">
      <c r="A914" s="48" t="s">
        <v>44</v>
      </c>
      <c r="B914" s="48" t="s">
        <v>30</v>
      </c>
      <c r="C914" s="48" t="s">
        <v>61</v>
      </c>
      <c r="D914" s="48" t="s">
        <v>50</v>
      </c>
      <c r="E914" s="48"/>
      <c r="F914" s="48">
        <v>10974.5</v>
      </c>
      <c r="G914" s="43"/>
      <c r="H914" s="43"/>
      <c r="I914" s="43"/>
    </row>
    <row r="915" ht="12.75" customHeight="1">
      <c r="A915" s="48" t="s">
        <v>44</v>
      </c>
      <c r="B915" s="48" t="s">
        <v>30</v>
      </c>
      <c r="C915" s="48" t="s">
        <v>61</v>
      </c>
      <c r="D915" s="48" t="s">
        <v>50</v>
      </c>
      <c r="E915" s="48"/>
      <c r="F915" s="48">
        <v>13211.7</v>
      </c>
      <c r="G915" s="43"/>
      <c r="H915" s="43"/>
      <c r="I915" s="43"/>
    </row>
    <row r="916" ht="12.75" customHeight="1">
      <c r="A916" s="48" t="s">
        <v>44</v>
      </c>
      <c r="B916" s="48" t="s">
        <v>30</v>
      </c>
      <c r="C916" s="48" t="s">
        <v>61</v>
      </c>
      <c r="D916" s="48" t="s">
        <v>50</v>
      </c>
      <c r="E916" s="48"/>
      <c r="F916" s="48">
        <v>6631.7</v>
      </c>
      <c r="G916" s="43"/>
      <c r="H916" s="43"/>
      <c r="I916" s="43"/>
    </row>
    <row r="917" ht="12.75" customHeight="1">
      <c r="A917" s="48" t="s">
        <v>44</v>
      </c>
      <c r="B917" s="48" t="s">
        <v>30</v>
      </c>
      <c r="C917" s="48" t="s">
        <v>61</v>
      </c>
      <c r="D917" s="48" t="s">
        <v>50</v>
      </c>
      <c r="E917" s="48"/>
      <c r="F917" s="48">
        <v>0.0</v>
      </c>
      <c r="G917" s="43"/>
      <c r="H917" s="43"/>
      <c r="I917" s="43"/>
    </row>
    <row r="918" ht="12.75" customHeight="1">
      <c r="A918" s="48" t="s">
        <v>44</v>
      </c>
      <c r="B918" s="48" t="s">
        <v>30</v>
      </c>
      <c r="C918" s="48" t="s">
        <v>61</v>
      </c>
      <c r="D918" s="48" t="s">
        <v>50</v>
      </c>
      <c r="E918" s="48"/>
      <c r="F918" s="48">
        <v>27095.5</v>
      </c>
      <c r="G918" s="43"/>
      <c r="H918" s="43"/>
      <c r="I918" s="43"/>
    </row>
    <row r="919" ht="12.75" customHeight="1">
      <c r="A919" s="48" t="s">
        <v>44</v>
      </c>
      <c r="B919" s="48" t="s">
        <v>30</v>
      </c>
      <c r="C919" s="48" t="s">
        <v>61</v>
      </c>
      <c r="D919" s="48" t="s">
        <v>50</v>
      </c>
      <c r="E919" s="48"/>
      <c r="F919" s="48">
        <v>16008.2</v>
      </c>
      <c r="G919" s="43"/>
      <c r="H919" s="43"/>
      <c r="I919" s="43"/>
    </row>
    <row r="920" ht="12.75" customHeight="1">
      <c r="A920" s="48" t="s">
        <v>44</v>
      </c>
      <c r="B920" s="48" t="s">
        <v>30</v>
      </c>
      <c r="C920" s="48" t="s">
        <v>61</v>
      </c>
      <c r="D920" s="48" t="s">
        <v>50</v>
      </c>
      <c r="E920" s="48"/>
      <c r="F920" s="48">
        <v>0.0</v>
      </c>
      <c r="G920" s="43"/>
      <c r="H920" s="43"/>
      <c r="I920" s="43"/>
    </row>
    <row r="921" ht="12.75" customHeight="1">
      <c r="A921" s="48" t="s">
        <v>44</v>
      </c>
      <c r="B921" s="48" t="s">
        <v>30</v>
      </c>
      <c r="C921" s="48" t="s">
        <v>61</v>
      </c>
      <c r="D921" s="48" t="s">
        <v>47</v>
      </c>
      <c r="E921" s="48"/>
      <c r="F921" s="48">
        <v>0.0</v>
      </c>
      <c r="G921" s="43"/>
      <c r="H921" s="43"/>
      <c r="I921" s="43"/>
    </row>
    <row r="922" ht="12.75" customHeight="1">
      <c r="A922" s="48" t="s">
        <v>44</v>
      </c>
      <c r="B922" s="48" t="s">
        <v>30</v>
      </c>
      <c r="C922" s="48" t="s">
        <v>61</v>
      </c>
      <c r="D922" s="48" t="s">
        <v>47</v>
      </c>
      <c r="E922" s="48"/>
      <c r="F922" s="48">
        <v>34479.200000000004</v>
      </c>
      <c r="G922" s="43"/>
      <c r="H922" s="43"/>
      <c r="I922" s="43"/>
    </row>
    <row r="923" ht="12.75" customHeight="1">
      <c r="A923" s="48" t="s">
        <v>44</v>
      </c>
      <c r="B923" s="48" t="s">
        <v>30</v>
      </c>
      <c r="C923" s="48" t="s">
        <v>61</v>
      </c>
      <c r="D923" s="48" t="s">
        <v>47</v>
      </c>
      <c r="E923" s="48"/>
      <c r="F923" s="48">
        <v>10894.6</v>
      </c>
      <c r="G923" s="43"/>
      <c r="H923" s="43"/>
      <c r="I923" s="43"/>
    </row>
    <row r="924" ht="12.75" customHeight="1">
      <c r="A924" s="48" t="s">
        <v>44</v>
      </c>
      <c r="B924" s="48" t="s">
        <v>30</v>
      </c>
      <c r="C924" s="48" t="s">
        <v>61</v>
      </c>
      <c r="D924" s="48" t="s">
        <v>47</v>
      </c>
      <c r="E924" s="48"/>
      <c r="F924" s="48">
        <v>4540.2</v>
      </c>
      <c r="G924" s="43"/>
      <c r="H924" s="43"/>
      <c r="I924" s="43"/>
    </row>
    <row r="925" ht="12.75" customHeight="1">
      <c r="A925" s="48" t="s">
        <v>44</v>
      </c>
      <c r="B925" s="48" t="s">
        <v>30</v>
      </c>
      <c r="C925" s="48" t="s">
        <v>61</v>
      </c>
      <c r="D925" s="48" t="s">
        <v>47</v>
      </c>
      <c r="E925" s="48"/>
      <c r="F925" s="48">
        <v>-145347.5</v>
      </c>
      <c r="G925" s="43"/>
      <c r="H925" s="43"/>
      <c r="I925" s="43"/>
    </row>
    <row r="926" ht="12.75" customHeight="1">
      <c r="A926" s="48" t="s">
        <v>44</v>
      </c>
      <c r="B926" s="48" t="s">
        <v>30</v>
      </c>
      <c r="C926" s="48" t="s">
        <v>61</v>
      </c>
      <c r="D926" s="48" t="s">
        <v>47</v>
      </c>
      <c r="E926" s="48"/>
      <c r="F926" s="48">
        <v>11688.9</v>
      </c>
      <c r="G926" s="43"/>
      <c r="H926" s="43"/>
      <c r="I926" s="43"/>
    </row>
    <row r="927" ht="12.75" customHeight="1">
      <c r="A927" s="48" t="s">
        <v>44</v>
      </c>
      <c r="B927" s="48" t="s">
        <v>30</v>
      </c>
      <c r="C927" s="48" t="s">
        <v>61</v>
      </c>
      <c r="D927" s="48" t="s">
        <v>47</v>
      </c>
      <c r="E927" s="48"/>
      <c r="F927" s="48">
        <v>0.0</v>
      </c>
      <c r="G927" s="43"/>
      <c r="H927" s="43"/>
      <c r="I927" s="43"/>
    </row>
    <row r="928" ht="12.75" customHeight="1">
      <c r="A928" s="48" t="s">
        <v>44</v>
      </c>
      <c r="B928" s="48" t="s">
        <v>28</v>
      </c>
      <c r="C928" s="48" t="s">
        <v>64</v>
      </c>
      <c r="D928" s="48" t="s">
        <v>50</v>
      </c>
      <c r="E928" s="48"/>
      <c r="F928" s="48">
        <v>-361.90000000000003</v>
      </c>
      <c r="G928" s="43"/>
      <c r="H928" s="43"/>
      <c r="I928" s="43"/>
    </row>
    <row r="929" ht="12.75" customHeight="1">
      <c r="A929" s="48" t="s">
        <v>44</v>
      </c>
      <c r="B929" s="48" t="s">
        <v>28</v>
      </c>
      <c r="C929" s="48" t="s">
        <v>64</v>
      </c>
      <c r="D929" s="48" t="s">
        <v>50</v>
      </c>
      <c r="E929" s="48"/>
      <c r="F929" s="48">
        <v>-5456.7</v>
      </c>
      <c r="G929" s="43"/>
      <c r="H929" s="43"/>
      <c r="I929" s="43"/>
    </row>
    <row r="930" ht="12.75" customHeight="1">
      <c r="A930" s="48" t="s">
        <v>44</v>
      </c>
      <c r="B930" s="48" t="s">
        <v>28</v>
      </c>
      <c r="C930" s="48" t="s">
        <v>64</v>
      </c>
      <c r="D930" s="48" t="s">
        <v>50</v>
      </c>
      <c r="E930" s="48"/>
      <c r="F930" s="48">
        <v>-3694.2000000000003</v>
      </c>
      <c r="G930" s="43"/>
      <c r="H930" s="43"/>
      <c r="I930" s="43"/>
    </row>
    <row r="931" ht="12.75" customHeight="1">
      <c r="A931" s="48" t="s">
        <v>44</v>
      </c>
      <c r="B931" s="48" t="s">
        <v>28</v>
      </c>
      <c r="C931" s="48" t="s">
        <v>64</v>
      </c>
      <c r="D931" s="48" t="s">
        <v>50</v>
      </c>
      <c r="E931" s="48"/>
      <c r="F931" s="48">
        <v>-380.7</v>
      </c>
      <c r="G931" s="43"/>
      <c r="H931" s="43"/>
      <c r="I931" s="43"/>
    </row>
    <row r="932" ht="12.75" customHeight="1">
      <c r="A932" s="48" t="s">
        <v>44</v>
      </c>
      <c r="B932" s="48" t="s">
        <v>28</v>
      </c>
      <c r="C932" s="48" t="s">
        <v>64</v>
      </c>
      <c r="D932" s="48" t="s">
        <v>50</v>
      </c>
      <c r="E932" s="48"/>
      <c r="F932" s="48">
        <v>-1696.7</v>
      </c>
      <c r="G932" s="43"/>
      <c r="H932" s="43"/>
      <c r="I932" s="43"/>
    </row>
    <row r="933" ht="12.75" customHeight="1">
      <c r="A933" s="48" t="s">
        <v>44</v>
      </c>
      <c r="B933" s="48" t="s">
        <v>28</v>
      </c>
      <c r="C933" s="48" t="s">
        <v>64</v>
      </c>
      <c r="D933" s="48" t="s">
        <v>50</v>
      </c>
      <c r="E933" s="48"/>
      <c r="F933" s="48">
        <v>294050.8</v>
      </c>
      <c r="G933" s="43"/>
      <c r="H933" s="43"/>
      <c r="I933" s="43"/>
    </row>
    <row r="934" ht="12.75" customHeight="1">
      <c r="A934" s="48" t="s">
        <v>44</v>
      </c>
      <c r="B934" s="48" t="s">
        <v>28</v>
      </c>
      <c r="C934" s="48" t="s">
        <v>64</v>
      </c>
      <c r="D934" s="48" t="s">
        <v>50</v>
      </c>
      <c r="E934" s="48"/>
      <c r="F934" s="48">
        <v>-155.1</v>
      </c>
      <c r="G934" s="43"/>
      <c r="H934" s="43"/>
      <c r="I934" s="43"/>
    </row>
    <row r="935" ht="12.75" customHeight="1">
      <c r="A935" s="48" t="s">
        <v>44</v>
      </c>
      <c r="B935" s="48" t="s">
        <v>28</v>
      </c>
      <c r="C935" s="48" t="s">
        <v>64</v>
      </c>
      <c r="D935" s="48" t="s">
        <v>50</v>
      </c>
      <c r="E935" s="48"/>
      <c r="F935" s="48">
        <v>-775.5</v>
      </c>
      <c r="G935" s="43"/>
      <c r="H935" s="43"/>
      <c r="I935" s="43"/>
    </row>
    <row r="936" ht="12.75" customHeight="1">
      <c r="A936" s="48" t="s">
        <v>44</v>
      </c>
      <c r="B936" s="48" t="s">
        <v>28</v>
      </c>
      <c r="C936" s="48" t="s">
        <v>64</v>
      </c>
      <c r="D936" s="48" t="s">
        <v>50</v>
      </c>
      <c r="E936" s="48"/>
      <c r="F936" s="48">
        <v>-592.2</v>
      </c>
      <c r="G936" s="43"/>
      <c r="H936" s="43"/>
      <c r="I936" s="43"/>
    </row>
    <row r="937" ht="12.75" customHeight="1">
      <c r="A937" s="48" t="s">
        <v>44</v>
      </c>
      <c r="B937" s="48" t="s">
        <v>28</v>
      </c>
      <c r="C937" s="48" t="s">
        <v>64</v>
      </c>
      <c r="D937" s="48" t="s">
        <v>50</v>
      </c>
      <c r="E937" s="48"/>
      <c r="F937" s="48">
        <v>-408.90000000000003</v>
      </c>
      <c r="G937" s="43"/>
      <c r="H937" s="43"/>
      <c r="I937" s="43"/>
    </row>
    <row r="938" ht="12.75" customHeight="1">
      <c r="A938" s="48" t="s">
        <v>44</v>
      </c>
      <c r="B938" s="48" t="s">
        <v>28</v>
      </c>
      <c r="C938" s="48" t="s">
        <v>64</v>
      </c>
      <c r="D938" s="48" t="s">
        <v>50</v>
      </c>
      <c r="E938" s="48"/>
      <c r="F938" s="48">
        <v>-437.1</v>
      </c>
      <c r="G938" s="43"/>
      <c r="H938" s="43"/>
      <c r="I938" s="43"/>
    </row>
    <row r="939" ht="12.75" customHeight="1">
      <c r="A939" s="48" t="s">
        <v>44</v>
      </c>
      <c r="B939" s="48" t="s">
        <v>28</v>
      </c>
      <c r="C939" s="48" t="s">
        <v>64</v>
      </c>
      <c r="D939" s="48" t="s">
        <v>50</v>
      </c>
      <c r="E939" s="48"/>
      <c r="F939" s="48">
        <v>-1508.7</v>
      </c>
      <c r="G939" s="43"/>
      <c r="H939" s="43"/>
      <c r="I939" s="43"/>
    </row>
    <row r="940" ht="12.75" customHeight="1">
      <c r="A940" s="48" t="s">
        <v>44</v>
      </c>
      <c r="B940" s="48" t="s">
        <v>28</v>
      </c>
      <c r="C940" s="48" t="s">
        <v>64</v>
      </c>
      <c r="D940" s="48" t="s">
        <v>50</v>
      </c>
      <c r="E940" s="48"/>
      <c r="F940" s="48">
        <v>-1565.1000000000001</v>
      </c>
      <c r="G940" s="43"/>
      <c r="H940" s="43"/>
      <c r="I940" s="43"/>
    </row>
    <row r="941" ht="12.75" customHeight="1">
      <c r="A941" s="48" t="s">
        <v>44</v>
      </c>
      <c r="B941" s="48" t="s">
        <v>28</v>
      </c>
      <c r="C941" s="48" t="s">
        <v>64</v>
      </c>
      <c r="D941" s="48" t="s">
        <v>50</v>
      </c>
      <c r="E941" s="48"/>
      <c r="F941" s="48">
        <v>-554.6</v>
      </c>
      <c r="G941" s="43"/>
      <c r="H941" s="43"/>
      <c r="I941" s="43"/>
    </row>
    <row r="942" ht="12.75" customHeight="1">
      <c r="A942" s="48" t="s">
        <v>44</v>
      </c>
      <c r="B942" s="48" t="s">
        <v>28</v>
      </c>
      <c r="C942" s="48" t="s">
        <v>64</v>
      </c>
      <c r="D942" s="48" t="s">
        <v>50</v>
      </c>
      <c r="E942" s="48"/>
      <c r="F942" s="48">
        <v>-3609.6000000000004</v>
      </c>
      <c r="G942" s="43"/>
      <c r="H942" s="43"/>
      <c r="I942" s="43"/>
    </row>
    <row r="943" ht="12.75" customHeight="1">
      <c r="A943" s="48" t="s">
        <v>44</v>
      </c>
      <c r="B943" s="48" t="s">
        <v>28</v>
      </c>
      <c r="C943" s="48" t="s">
        <v>64</v>
      </c>
      <c r="D943" s="48" t="s">
        <v>50</v>
      </c>
      <c r="E943" s="48"/>
      <c r="F943" s="48">
        <v>-1565.1000000000001</v>
      </c>
      <c r="G943" s="43"/>
      <c r="H943" s="43"/>
      <c r="I943" s="43"/>
    </row>
    <row r="944" ht="12.75" customHeight="1">
      <c r="A944" s="48" t="s">
        <v>44</v>
      </c>
      <c r="B944" s="48" t="s">
        <v>28</v>
      </c>
      <c r="C944" s="48" t="s">
        <v>64</v>
      </c>
      <c r="D944" s="48" t="s">
        <v>50</v>
      </c>
      <c r="E944" s="48"/>
      <c r="F944" s="48">
        <v>-2129.1</v>
      </c>
      <c r="G944" s="43"/>
      <c r="H944" s="43"/>
      <c r="I944" s="43"/>
    </row>
    <row r="945" ht="12.75" customHeight="1">
      <c r="A945" s="48" t="s">
        <v>44</v>
      </c>
      <c r="B945" s="48" t="s">
        <v>28</v>
      </c>
      <c r="C945" s="48" t="s">
        <v>64</v>
      </c>
      <c r="D945" s="48" t="s">
        <v>50</v>
      </c>
      <c r="E945" s="48"/>
      <c r="F945" s="48">
        <v>-155.1</v>
      </c>
      <c r="G945" s="43"/>
      <c r="H945" s="43"/>
      <c r="I945" s="43"/>
    </row>
    <row r="946" ht="12.75" customHeight="1">
      <c r="A946" s="48" t="s">
        <v>44</v>
      </c>
      <c r="B946" s="48" t="s">
        <v>28</v>
      </c>
      <c r="C946" s="48" t="s">
        <v>64</v>
      </c>
      <c r="D946" s="48" t="s">
        <v>50</v>
      </c>
      <c r="E946" s="48"/>
      <c r="F946" s="48">
        <v>-319.6</v>
      </c>
      <c r="G946" s="43"/>
      <c r="H946" s="43"/>
      <c r="I946" s="43"/>
    </row>
    <row r="947" ht="12.75" customHeight="1">
      <c r="A947" s="48" t="s">
        <v>44</v>
      </c>
      <c r="B947" s="48" t="s">
        <v>28</v>
      </c>
      <c r="C947" s="48" t="s">
        <v>64</v>
      </c>
      <c r="D947" s="48" t="s">
        <v>50</v>
      </c>
      <c r="E947" s="48"/>
      <c r="F947" s="48">
        <v>-592.2</v>
      </c>
      <c r="G947" s="43"/>
      <c r="H947" s="43"/>
      <c r="I947" s="43"/>
    </row>
    <row r="948" ht="12.75" customHeight="1">
      <c r="A948" s="48" t="s">
        <v>44</v>
      </c>
      <c r="B948" s="48" t="s">
        <v>28</v>
      </c>
      <c r="C948" s="48" t="s">
        <v>64</v>
      </c>
      <c r="D948" s="48" t="s">
        <v>50</v>
      </c>
      <c r="E948" s="48"/>
      <c r="F948" s="48">
        <v>-380.7</v>
      </c>
      <c r="G948" s="43"/>
      <c r="H948" s="43"/>
      <c r="I948" s="43"/>
    </row>
    <row r="949" ht="12.75" customHeight="1">
      <c r="A949" s="48" t="s">
        <v>44</v>
      </c>
      <c r="B949" s="48" t="s">
        <v>28</v>
      </c>
      <c r="C949" s="48" t="s">
        <v>64</v>
      </c>
      <c r="D949" s="48" t="s">
        <v>50</v>
      </c>
      <c r="E949" s="48"/>
      <c r="F949" s="48">
        <v>-451.20000000000005</v>
      </c>
      <c r="G949" s="43"/>
      <c r="H949" s="43"/>
      <c r="I949" s="43"/>
    </row>
    <row r="950" ht="12.75" customHeight="1">
      <c r="A950" s="48" t="s">
        <v>44</v>
      </c>
      <c r="B950" s="48" t="s">
        <v>28</v>
      </c>
      <c r="C950" s="48" t="s">
        <v>64</v>
      </c>
      <c r="D950" s="48" t="s">
        <v>50</v>
      </c>
      <c r="E950" s="48"/>
      <c r="F950" s="48">
        <v>2306459.2</v>
      </c>
      <c r="G950" s="43"/>
      <c r="H950" s="43"/>
      <c r="I950" s="43"/>
    </row>
    <row r="951" ht="12.75" customHeight="1">
      <c r="A951" s="48" t="s">
        <v>44</v>
      </c>
      <c r="B951" s="48" t="s">
        <v>28</v>
      </c>
      <c r="C951" s="48" t="s">
        <v>64</v>
      </c>
      <c r="D951" s="48" t="s">
        <v>50</v>
      </c>
      <c r="E951" s="48"/>
      <c r="F951" s="48">
        <v>-155.1</v>
      </c>
      <c r="G951" s="43"/>
      <c r="H951" s="43"/>
      <c r="I951" s="43"/>
    </row>
    <row r="952" ht="12.75" customHeight="1">
      <c r="A952" s="48" t="s">
        <v>44</v>
      </c>
      <c r="B952" s="48" t="s">
        <v>28</v>
      </c>
      <c r="C952" s="48" t="s">
        <v>64</v>
      </c>
      <c r="D952" s="48" t="s">
        <v>50</v>
      </c>
      <c r="E952" s="48"/>
      <c r="F952" s="48">
        <v>-6796.2</v>
      </c>
      <c r="G952" s="43"/>
      <c r="H952" s="43"/>
      <c r="I952" s="43"/>
    </row>
    <row r="953" ht="12.75" customHeight="1">
      <c r="A953" s="48" t="s">
        <v>44</v>
      </c>
      <c r="B953" s="48" t="s">
        <v>28</v>
      </c>
      <c r="C953" s="48" t="s">
        <v>64</v>
      </c>
      <c r="D953" s="48" t="s">
        <v>50</v>
      </c>
      <c r="E953" s="48"/>
      <c r="F953" s="48">
        <v>-592.2</v>
      </c>
      <c r="G953" s="43"/>
      <c r="H953" s="43"/>
      <c r="I953" s="43"/>
    </row>
    <row r="954" ht="12.75" customHeight="1">
      <c r="A954" s="48" t="s">
        <v>44</v>
      </c>
      <c r="B954" s="48" t="s">
        <v>28</v>
      </c>
      <c r="C954" s="48" t="s">
        <v>64</v>
      </c>
      <c r="D954" s="48" t="s">
        <v>50</v>
      </c>
      <c r="E954" s="48"/>
      <c r="F954" s="48">
        <v>-7238.0</v>
      </c>
      <c r="G954" s="43"/>
      <c r="H954" s="43"/>
      <c r="I954" s="43"/>
    </row>
    <row r="955" ht="12.75" customHeight="1">
      <c r="A955" s="48" t="s">
        <v>44</v>
      </c>
      <c r="B955" s="48" t="s">
        <v>28</v>
      </c>
      <c r="C955" s="48" t="s">
        <v>64</v>
      </c>
      <c r="D955" s="48" t="s">
        <v>50</v>
      </c>
      <c r="E955" s="48"/>
      <c r="F955" s="48">
        <v>-98.7</v>
      </c>
      <c r="G955" s="43"/>
      <c r="H955" s="43"/>
      <c r="I955" s="43"/>
    </row>
    <row r="956" ht="12.75" customHeight="1">
      <c r="A956" s="48" t="s">
        <v>44</v>
      </c>
      <c r="B956" s="48" t="s">
        <v>28</v>
      </c>
      <c r="C956" s="48" t="s">
        <v>64</v>
      </c>
      <c r="D956" s="48" t="s">
        <v>50</v>
      </c>
      <c r="E956" s="48"/>
      <c r="F956" s="48">
        <v>-1137.4</v>
      </c>
      <c r="G956" s="43"/>
      <c r="H956" s="43"/>
      <c r="I956" s="43"/>
    </row>
    <row r="957" ht="12.75" customHeight="1">
      <c r="A957" s="48" t="s">
        <v>44</v>
      </c>
      <c r="B957" s="48" t="s">
        <v>28</v>
      </c>
      <c r="C957" s="48" t="s">
        <v>64</v>
      </c>
      <c r="D957" s="48" t="s">
        <v>50</v>
      </c>
      <c r="E957" s="48"/>
      <c r="F957" s="48">
        <v>-155.1</v>
      </c>
      <c r="G957" s="43"/>
      <c r="H957" s="43"/>
      <c r="I957" s="43"/>
    </row>
    <row r="958" ht="12.75" customHeight="1">
      <c r="A958" s="48" t="s">
        <v>44</v>
      </c>
      <c r="B958" s="48" t="s">
        <v>28</v>
      </c>
      <c r="C958" s="48" t="s">
        <v>64</v>
      </c>
      <c r="D958" s="48" t="s">
        <v>50</v>
      </c>
      <c r="E958" s="48"/>
      <c r="F958" s="48">
        <v>-592.2</v>
      </c>
      <c r="G958" s="43"/>
      <c r="H958" s="43"/>
      <c r="I958" s="43"/>
    </row>
    <row r="959" ht="12.75" customHeight="1">
      <c r="A959" s="48" t="s">
        <v>44</v>
      </c>
      <c r="B959" s="48" t="s">
        <v>28</v>
      </c>
      <c r="C959" s="48" t="s">
        <v>64</v>
      </c>
      <c r="D959" s="48" t="s">
        <v>50</v>
      </c>
      <c r="E959" s="48"/>
      <c r="F959" s="48">
        <v>-366.6</v>
      </c>
      <c r="G959" s="43"/>
      <c r="H959" s="43"/>
      <c r="I959" s="43"/>
    </row>
    <row r="960" ht="12.75" customHeight="1">
      <c r="A960" s="48" t="s">
        <v>44</v>
      </c>
      <c r="B960" s="48" t="s">
        <v>28</v>
      </c>
      <c r="C960" s="48" t="s">
        <v>64</v>
      </c>
      <c r="D960" s="48" t="s">
        <v>50</v>
      </c>
      <c r="E960" s="48"/>
      <c r="F960" s="48">
        <v>-155.1</v>
      </c>
      <c r="G960" s="43"/>
      <c r="H960" s="43"/>
      <c r="I960" s="43"/>
    </row>
    <row r="961" ht="12.75" customHeight="1">
      <c r="A961" s="48" t="s">
        <v>44</v>
      </c>
      <c r="B961" s="48" t="s">
        <v>28</v>
      </c>
      <c r="C961" s="48" t="s">
        <v>64</v>
      </c>
      <c r="D961" s="48" t="s">
        <v>50</v>
      </c>
      <c r="E961" s="48"/>
      <c r="F961" s="48">
        <v>-2491.0</v>
      </c>
      <c r="G961" s="43"/>
      <c r="H961" s="43"/>
      <c r="I961" s="43"/>
    </row>
    <row r="962" ht="12.75" customHeight="1">
      <c r="A962" s="48" t="s">
        <v>44</v>
      </c>
      <c r="B962" s="48" t="s">
        <v>28</v>
      </c>
      <c r="C962" s="48" t="s">
        <v>64</v>
      </c>
      <c r="D962" s="48" t="s">
        <v>50</v>
      </c>
      <c r="E962" s="48"/>
      <c r="F962" s="48">
        <v>173129.2</v>
      </c>
      <c r="G962" s="43"/>
      <c r="H962" s="43"/>
      <c r="I962" s="43"/>
    </row>
    <row r="963" ht="12.75" customHeight="1">
      <c r="A963" s="48" t="s">
        <v>44</v>
      </c>
      <c r="B963" s="48" t="s">
        <v>28</v>
      </c>
      <c r="C963" s="48" t="s">
        <v>64</v>
      </c>
      <c r="D963" s="48" t="s">
        <v>50</v>
      </c>
      <c r="E963" s="48"/>
      <c r="F963" s="48">
        <v>-1010.5</v>
      </c>
      <c r="G963" s="43"/>
      <c r="H963" s="43"/>
      <c r="I963" s="43"/>
    </row>
    <row r="964" ht="12.75" customHeight="1">
      <c r="A964" s="48" t="s">
        <v>44</v>
      </c>
      <c r="B964" s="48" t="s">
        <v>28</v>
      </c>
      <c r="C964" s="48" t="s">
        <v>64</v>
      </c>
      <c r="D964" s="48" t="s">
        <v>50</v>
      </c>
      <c r="E964" s="48"/>
      <c r="F964" s="48">
        <v>-155.1</v>
      </c>
      <c r="G964" s="43"/>
      <c r="H964" s="43"/>
      <c r="I964" s="43"/>
    </row>
    <row r="965" ht="12.75" customHeight="1">
      <c r="A965" s="48" t="s">
        <v>44</v>
      </c>
      <c r="B965" s="48" t="s">
        <v>28</v>
      </c>
      <c r="C965" s="48" t="s">
        <v>64</v>
      </c>
      <c r="D965" s="48" t="s">
        <v>50</v>
      </c>
      <c r="E965" s="48"/>
      <c r="F965" s="48">
        <v>-4972.6</v>
      </c>
      <c r="G965" s="43"/>
      <c r="H965" s="43"/>
      <c r="I965" s="43"/>
    </row>
    <row r="966" ht="12.75" customHeight="1">
      <c r="A966" s="48" t="s">
        <v>44</v>
      </c>
      <c r="B966" s="48" t="s">
        <v>28</v>
      </c>
      <c r="C966" s="48" t="s">
        <v>64</v>
      </c>
      <c r="D966" s="48" t="s">
        <v>50</v>
      </c>
      <c r="E966" s="48"/>
      <c r="F966" s="48">
        <v>-831.9</v>
      </c>
      <c r="G966" s="43"/>
      <c r="H966" s="43"/>
      <c r="I966" s="43"/>
    </row>
    <row r="967" ht="12.75" customHeight="1">
      <c r="A967" s="48" t="s">
        <v>44</v>
      </c>
      <c r="B967" s="48" t="s">
        <v>28</v>
      </c>
      <c r="C967" s="48" t="s">
        <v>64</v>
      </c>
      <c r="D967" s="48" t="s">
        <v>50</v>
      </c>
      <c r="E967" s="48"/>
      <c r="F967" s="48">
        <v>-155.1</v>
      </c>
      <c r="G967" s="43"/>
      <c r="H967" s="43"/>
      <c r="I967" s="43"/>
    </row>
    <row r="968" ht="12.75" customHeight="1">
      <c r="A968" s="48" t="s">
        <v>44</v>
      </c>
      <c r="B968" s="48" t="s">
        <v>28</v>
      </c>
      <c r="C968" s="48" t="s">
        <v>64</v>
      </c>
      <c r="D968" s="48" t="s">
        <v>50</v>
      </c>
      <c r="E968" s="48"/>
      <c r="F968" s="48">
        <v>-155.1</v>
      </c>
      <c r="G968" s="43"/>
      <c r="H968" s="43"/>
      <c r="I968" s="43"/>
    </row>
    <row r="969" ht="12.75" customHeight="1">
      <c r="A969" s="48" t="s">
        <v>44</v>
      </c>
      <c r="B969" s="48" t="s">
        <v>28</v>
      </c>
      <c r="C969" s="48" t="s">
        <v>64</v>
      </c>
      <c r="D969" s="48" t="s">
        <v>50</v>
      </c>
      <c r="E969" s="48"/>
      <c r="F969" s="48">
        <v>-5174.7</v>
      </c>
      <c r="G969" s="43"/>
      <c r="H969" s="43"/>
      <c r="I969" s="43"/>
    </row>
    <row r="970" ht="12.75" customHeight="1">
      <c r="A970" s="48" t="s">
        <v>44</v>
      </c>
      <c r="B970" s="48" t="s">
        <v>28</v>
      </c>
      <c r="C970" s="48" t="s">
        <v>64</v>
      </c>
      <c r="D970" s="48" t="s">
        <v>50</v>
      </c>
      <c r="E970" s="48"/>
      <c r="F970" s="48">
        <v>-2129.1</v>
      </c>
      <c r="G970" s="43"/>
      <c r="H970" s="43"/>
      <c r="I970" s="43"/>
    </row>
    <row r="971" ht="12.75" customHeight="1">
      <c r="A971" s="48" t="s">
        <v>44</v>
      </c>
      <c r="B971" s="48" t="s">
        <v>28</v>
      </c>
      <c r="C971" s="48" t="s">
        <v>64</v>
      </c>
      <c r="D971" s="48" t="s">
        <v>50</v>
      </c>
      <c r="E971" s="48"/>
      <c r="F971" s="48">
        <v>-5437.900000000001</v>
      </c>
      <c r="G971" s="43"/>
      <c r="H971" s="43"/>
      <c r="I971" s="43"/>
    </row>
    <row r="972" ht="12.75" customHeight="1">
      <c r="A972" s="48" t="s">
        <v>44</v>
      </c>
      <c r="B972" s="48" t="s">
        <v>28</v>
      </c>
      <c r="C972" s="48" t="s">
        <v>64</v>
      </c>
      <c r="D972" s="48" t="s">
        <v>50</v>
      </c>
      <c r="E972" s="48"/>
      <c r="F972" s="48">
        <v>-1565.1000000000001</v>
      </c>
      <c r="G972" s="43"/>
      <c r="H972" s="43"/>
      <c r="I972" s="43"/>
    </row>
    <row r="973" ht="12.75" customHeight="1">
      <c r="A973" s="48" t="s">
        <v>44</v>
      </c>
      <c r="B973" s="48" t="s">
        <v>28</v>
      </c>
      <c r="C973" s="48" t="s">
        <v>64</v>
      </c>
      <c r="D973" s="48" t="s">
        <v>50</v>
      </c>
      <c r="E973" s="48"/>
      <c r="F973" s="48">
        <v>-2810.6</v>
      </c>
      <c r="G973" s="43"/>
      <c r="H973" s="43"/>
      <c r="I973" s="43"/>
    </row>
    <row r="974" ht="12.75" customHeight="1">
      <c r="A974" s="48" t="s">
        <v>44</v>
      </c>
      <c r="B974" s="48" t="s">
        <v>28</v>
      </c>
      <c r="C974" s="48" t="s">
        <v>64</v>
      </c>
      <c r="D974" s="48" t="s">
        <v>50</v>
      </c>
      <c r="E974" s="48"/>
      <c r="F974" s="48">
        <v>-1160.9</v>
      </c>
      <c r="G974" s="43"/>
      <c r="H974" s="43"/>
      <c r="I974" s="43"/>
    </row>
    <row r="975" ht="12.75" customHeight="1">
      <c r="A975" s="48" t="s">
        <v>44</v>
      </c>
      <c r="B975" s="48" t="s">
        <v>28</v>
      </c>
      <c r="C975" s="48" t="s">
        <v>64</v>
      </c>
      <c r="D975" s="48" t="s">
        <v>50</v>
      </c>
      <c r="E975" s="48"/>
      <c r="F975" s="48">
        <v>15721.5</v>
      </c>
      <c r="G975" s="43"/>
      <c r="H975" s="43"/>
      <c r="I975" s="43"/>
    </row>
    <row r="976" ht="12.75" customHeight="1">
      <c r="A976" s="48" t="s">
        <v>44</v>
      </c>
      <c r="B976" s="48" t="s">
        <v>28</v>
      </c>
      <c r="C976" s="48" t="s">
        <v>64</v>
      </c>
      <c r="D976" s="48" t="s">
        <v>50</v>
      </c>
      <c r="E976" s="48"/>
      <c r="F976" s="48">
        <v>-4009.1000000000004</v>
      </c>
      <c r="G976" s="43"/>
      <c r="H976" s="43"/>
      <c r="I976" s="43"/>
    </row>
    <row r="977" ht="12.75" customHeight="1">
      <c r="A977" s="48" t="s">
        <v>44</v>
      </c>
      <c r="B977" s="48" t="s">
        <v>28</v>
      </c>
      <c r="C977" s="48" t="s">
        <v>64</v>
      </c>
      <c r="D977" s="48" t="s">
        <v>50</v>
      </c>
      <c r="E977" s="48"/>
      <c r="F977" s="48">
        <v>-817.8000000000001</v>
      </c>
      <c r="G977" s="43"/>
      <c r="H977" s="43"/>
      <c r="I977" s="43"/>
    </row>
    <row r="978" ht="12.75" customHeight="1">
      <c r="A978" s="48" t="s">
        <v>44</v>
      </c>
      <c r="B978" s="48" t="s">
        <v>28</v>
      </c>
      <c r="C978" s="48" t="s">
        <v>64</v>
      </c>
      <c r="D978" s="48" t="s">
        <v>50</v>
      </c>
      <c r="E978" s="48"/>
      <c r="F978" s="48">
        <v>-714.4</v>
      </c>
      <c r="G978" s="43"/>
      <c r="H978" s="43"/>
      <c r="I978" s="43"/>
    </row>
    <row r="979" ht="12.75" customHeight="1">
      <c r="A979" s="48" t="s">
        <v>44</v>
      </c>
      <c r="B979" s="48" t="s">
        <v>28</v>
      </c>
      <c r="C979" s="48" t="s">
        <v>64</v>
      </c>
      <c r="D979" s="48" t="s">
        <v>50</v>
      </c>
      <c r="E979" s="48"/>
      <c r="F979" s="48">
        <v>-5174.7</v>
      </c>
      <c r="G979" s="43"/>
      <c r="H979" s="43"/>
      <c r="I979" s="43"/>
    </row>
    <row r="980" ht="12.75" customHeight="1">
      <c r="A980" s="48" t="s">
        <v>44</v>
      </c>
      <c r="B980" s="48" t="s">
        <v>28</v>
      </c>
      <c r="C980" s="48" t="s">
        <v>64</v>
      </c>
      <c r="D980" s="48" t="s">
        <v>50</v>
      </c>
      <c r="E980" s="48"/>
      <c r="F980" s="48">
        <v>-5428.5</v>
      </c>
      <c r="G980" s="43"/>
      <c r="H980" s="43"/>
      <c r="I980" s="43"/>
    </row>
    <row r="981" ht="12.75" customHeight="1">
      <c r="A981" s="48" t="s">
        <v>44</v>
      </c>
      <c r="B981" s="48" t="s">
        <v>28</v>
      </c>
      <c r="C981" s="48" t="s">
        <v>64</v>
      </c>
      <c r="D981" s="48" t="s">
        <v>50</v>
      </c>
      <c r="E981" s="48"/>
      <c r="F981" s="48">
        <v>-2180.8</v>
      </c>
      <c r="G981" s="43"/>
      <c r="H981" s="43"/>
      <c r="I981" s="43"/>
    </row>
    <row r="982" ht="12.75" customHeight="1">
      <c r="A982" s="48" t="s">
        <v>44</v>
      </c>
      <c r="B982" s="48" t="s">
        <v>28</v>
      </c>
      <c r="C982" s="48" t="s">
        <v>64</v>
      </c>
      <c r="D982" s="48" t="s">
        <v>50</v>
      </c>
      <c r="E982" s="48"/>
      <c r="F982" s="48">
        <v>-155.1</v>
      </c>
      <c r="G982" s="43"/>
      <c r="H982" s="43"/>
      <c r="I982" s="43"/>
    </row>
    <row r="983" ht="12.75" customHeight="1">
      <c r="A983" s="48" t="s">
        <v>44</v>
      </c>
      <c r="B983" s="48" t="s">
        <v>28</v>
      </c>
      <c r="C983" s="48" t="s">
        <v>64</v>
      </c>
      <c r="D983" s="48" t="s">
        <v>50</v>
      </c>
      <c r="E983" s="48"/>
      <c r="F983" s="48">
        <v>-592.2</v>
      </c>
      <c r="G983" s="43"/>
      <c r="H983" s="43"/>
      <c r="I983" s="43"/>
    </row>
    <row r="984" ht="12.75" customHeight="1">
      <c r="A984" s="48" t="s">
        <v>44</v>
      </c>
      <c r="B984" s="48" t="s">
        <v>28</v>
      </c>
      <c r="C984" s="48" t="s">
        <v>64</v>
      </c>
      <c r="D984" s="48" t="s">
        <v>50</v>
      </c>
      <c r="E984" s="48"/>
      <c r="F984" s="48">
        <v>-141.0</v>
      </c>
      <c r="G984" s="43"/>
      <c r="H984" s="43"/>
      <c r="I984" s="43"/>
    </row>
    <row r="985" ht="12.75" customHeight="1">
      <c r="A985" s="48" t="s">
        <v>44</v>
      </c>
      <c r="B985" s="48" t="s">
        <v>28</v>
      </c>
      <c r="C985" s="48" t="s">
        <v>64</v>
      </c>
      <c r="D985" s="48" t="s">
        <v>50</v>
      </c>
      <c r="E985" s="48"/>
      <c r="F985" s="48">
        <v>-1565.1000000000001</v>
      </c>
      <c r="G985" s="43"/>
      <c r="H985" s="43"/>
      <c r="I985" s="43"/>
    </row>
    <row r="986" ht="12.75" customHeight="1">
      <c r="A986" s="48" t="s">
        <v>44</v>
      </c>
      <c r="B986" s="48" t="s">
        <v>28</v>
      </c>
      <c r="C986" s="48" t="s">
        <v>64</v>
      </c>
      <c r="D986" s="48" t="s">
        <v>50</v>
      </c>
      <c r="E986" s="48"/>
      <c r="F986" s="48">
        <v>-155.1</v>
      </c>
      <c r="G986" s="43"/>
      <c r="H986" s="43"/>
      <c r="I986" s="43"/>
    </row>
    <row r="987" ht="12.75" customHeight="1">
      <c r="A987" s="48" t="s">
        <v>44</v>
      </c>
      <c r="B987" s="48" t="s">
        <v>28</v>
      </c>
      <c r="C987" s="48" t="s">
        <v>64</v>
      </c>
      <c r="D987" s="48" t="s">
        <v>50</v>
      </c>
      <c r="E987" s="48"/>
      <c r="F987" s="48">
        <v>-103.4</v>
      </c>
      <c r="G987" s="43"/>
      <c r="H987" s="43"/>
      <c r="I987" s="43"/>
    </row>
    <row r="988" ht="12.75" customHeight="1">
      <c r="A988" s="48" t="s">
        <v>44</v>
      </c>
      <c r="B988" s="48" t="s">
        <v>28</v>
      </c>
      <c r="C988" s="48" t="s">
        <v>64</v>
      </c>
      <c r="D988" s="48" t="s">
        <v>50</v>
      </c>
      <c r="E988" s="48"/>
      <c r="F988" s="48">
        <v>-155.1</v>
      </c>
      <c r="G988" s="43"/>
      <c r="H988" s="43"/>
      <c r="I988" s="43"/>
    </row>
    <row r="989" ht="12.75" customHeight="1">
      <c r="A989" s="48" t="s">
        <v>44</v>
      </c>
      <c r="B989" s="48" t="s">
        <v>28</v>
      </c>
      <c r="C989" s="48" t="s">
        <v>64</v>
      </c>
      <c r="D989" s="48" t="s">
        <v>50</v>
      </c>
      <c r="E989" s="48"/>
      <c r="F989" s="48">
        <v>-658.0</v>
      </c>
      <c r="G989" s="43"/>
      <c r="H989" s="43"/>
      <c r="I989" s="43"/>
    </row>
    <row r="990" ht="12.75" customHeight="1">
      <c r="A990" s="48" t="s">
        <v>44</v>
      </c>
      <c r="B990" s="48" t="s">
        <v>28</v>
      </c>
      <c r="C990" s="48" t="s">
        <v>64</v>
      </c>
      <c r="D990" s="48" t="s">
        <v>50</v>
      </c>
      <c r="E990" s="48"/>
      <c r="F990" s="48">
        <v>-592.2</v>
      </c>
      <c r="G990" s="43"/>
      <c r="H990" s="43"/>
      <c r="I990" s="43"/>
    </row>
    <row r="991" ht="12.75" customHeight="1">
      <c r="A991" s="48" t="s">
        <v>44</v>
      </c>
      <c r="B991" s="48" t="s">
        <v>28</v>
      </c>
      <c r="C991" s="48" t="s">
        <v>64</v>
      </c>
      <c r="D991" s="48" t="s">
        <v>50</v>
      </c>
      <c r="E991" s="48"/>
      <c r="F991" s="48">
        <v>-380.7</v>
      </c>
      <c r="G991" s="43"/>
      <c r="H991" s="43"/>
      <c r="I991" s="43"/>
    </row>
    <row r="992" ht="12.75" customHeight="1">
      <c r="A992" s="48" t="s">
        <v>44</v>
      </c>
      <c r="B992" s="48" t="s">
        <v>28</v>
      </c>
      <c r="C992" s="48" t="s">
        <v>64</v>
      </c>
      <c r="D992" s="48" t="s">
        <v>50</v>
      </c>
      <c r="E992" s="48"/>
      <c r="F992" s="48">
        <v>-592.2</v>
      </c>
      <c r="G992" s="43"/>
      <c r="H992" s="43"/>
      <c r="I992" s="43"/>
    </row>
    <row r="993" ht="12.75" customHeight="1">
      <c r="A993" s="48" t="s">
        <v>44</v>
      </c>
      <c r="B993" s="48" t="s">
        <v>28</v>
      </c>
      <c r="C993" s="48" t="s">
        <v>64</v>
      </c>
      <c r="D993" s="48" t="s">
        <v>50</v>
      </c>
      <c r="E993" s="48"/>
      <c r="F993" s="48">
        <v>-1565.1000000000001</v>
      </c>
      <c r="G993" s="43"/>
      <c r="H993" s="43"/>
      <c r="I993" s="43"/>
    </row>
    <row r="994" ht="12.75" customHeight="1">
      <c r="A994" s="48" t="s">
        <v>44</v>
      </c>
      <c r="B994" s="48" t="s">
        <v>28</v>
      </c>
      <c r="C994" s="48" t="s">
        <v>64</v>
      </c>
      <c r="D994" s="48" t="s">
        <v>50</v>
      </c>
      <c r="E994" s="48"/>
      <c r="F994" s="48">
        <v>-451.20000000000005</v>
      </c>
      <c r="G994" s="43"/>
      <c r="H994" s="43"/>
      <c r="I994" s="43"/>
    </row>
    <row r="995" ht="12.75" customHeight="1">
      <c r="A995" s="48" t="s">
        <v>44</v>
      </c>
      <c r="B995" s="48" t="s">
        <v>28</v>
      </c>
      <c r="C995" s="48" t="s">
        <v>64</v>
      </c>
      <c r="D995" s="48" t="s">
        <v>50</v>
      </c>
      <c r="E995" s="48"/>
      <c r="F995" s="48">
        <v>-3257.1</v>
      </c>
      <c r="G995" s="43"/>
      <c r="H995" s="43"/>
      <c r="I995" s="43"/>
    </row>
    <row r="996" ht="12.75" customHeight="1">
      <c r="A996" s="48" t="s">
        <v>44</v>
      </c>
      <c r="B996" s="48" t="s">
        <v>28</v>
      </c>
      <c r="C996" s="48" t="s">
        <v>64</v>
      </c>
      <c r="D996" s="48" t="s">
        <v>50</v>
      </c>
      <c r="E996" s="48"/>
      <c r="F996" s="48">
        <v>-408.90000000000003</v>
      </c>
      <c r="G996" s="43"/>
      <c r="H996" s="43"/>
      <c r="I996" s="43"/>
    </row>
    <row r="997" ht="12.75" customHeight="1">
      <c r="A997" s="48" t="s">
        <v>44</v>
      </c>
      <c r="B997" s="48" t="s">
        <v>28</v>
      </c>
      <c r="C997" s="48" t="s">
        <v>64</v>
      </c>
      <c r="D997" s="48" t="s">
        <v>50</v>
      </c>
      <c r="E997" s="48"/>
      <c r="F997" s="48">
        <v>1875.3000000000002</v>
      </c>
      <c r="G997" s="43"/>
      <c r="H997" s="43"/>
      <c r="I997" s="43"/>
    </row>
    <row r="998" ht="12.75" customHeight="1">
      <c r="A998" s="48" t="s">
        <v>44</v>
      </c>
      <c r="B998" s="48" t="s">
        <v>28</v>
      </c>
      <c r="C998" s="48" t="s">
        <v>64</v>
      </c>
      <c r="D998" s="48" t="s">
        <v>50</v>
      </c>
      <c r="E998" s="48"/>
      <c r="F998" s="48">
        <v>-592.2</v>
      </c>
      <c r="G998" s="43"/>
      <c r="H998" s="43"/>
      <c r="I998" s="43"/>
    </row>
    <row r="999" ht="12.75" customHeight="1">
      <c r="A999" s="48" t="s">
        <v>44</v>
      </c>
      <c r="B999" s="48" t="s">
        <v>28</v>
      </c>
      <c r="C999" s="48" t="s">
        <v>64</v>
      </c>
      <c r="D999" s="48" t="s">
        <v>50</v>
      </c>
      <c r="E999" s="48"/>
      <c r="F999" s="48">
        <v>-206.8</v>
      </c>
      <c r="G999" s="43"/>
      <c r="H999" s="43"/>
      <c r="I999" s="43"/>
    </row>
    <row r="1000" ht="12.75" customHeight="1">
      <c r="A1000" s="48" t="s">
        <v>44</v>
      </c>
      <c r="B1000" s="48" t="s">
        <v>28</v>
      </c>
      <c r="C1000" s="48" t="s">
        <v>64</v>
      </c>
      <c r="D1000" s="48" t="s">
        <v>50</v>
      </c>
      <c r="E1000" s="48"/>
      <c r="F1000" s="48">
        <v>-3130.2000000000003</v>
      </c>
      <c r="G1000" s="43"/>
      <c r="H1000" s="43"/>
      <c r="I1000" s="43"/>
    </row>
    <row r="1001" ht="12.75" customHeight="1">
      <c r="A1001" s="48" t="s">
        <v>44</v>
      </c>
      <c r="B1001" s="48" t="s">
        <v>28</v>
      </c>
      <c r="C1001" s="48" t="s">
        <v>64</v>
      </c>
      <c r="D1001" s="48" t="s">
        <v>50</v>
      </c>
      <c r="E1001" s="48"/>
      <c r="F1001" s="48">
        <v>-850.7</v>
      </c>
      <c r="G1001" s="43"/>
      <c r="H1001" s="43"/>
      <c r="I1001" s="43"/>
    </row>
    <row r="1002" ht="12.75" customHeight="1">
      <c r="A1002" s="48" t="s">
        <v>44</v>
      </c>
      <c r="B1002" s="48" t="s">
        <v>28</v>
      </c>
      <c r="C1002" s="48" t="s">
        <v>64</v>
      </c>
      <c r="D1002" s="48" t="s">
        <v>50</v>
      </c>
      <c r="E1002" s="48"/>
      <c r="F1002" s="48">
        <v>-507.6</v>
      </c>
      <c r="G1002" s="43"/>
      <c r="H1002" s="43"/>
      <c r="I1002" s="43"/>
    </row>
    <row r="1003" ht="12.75" customHeight="1">
      <c r="A1003" s="48" t="s">
        <v>44</v>
      </c>
      <c r="B1003" s="48" t="s">
        <v>28</v>
      </c>
      <c r="C1003" s="48" t="s">
        <v>64</v>
      </c>
      <c r="D1003" s="48" t="s">
        <v>50</v>
      </c>
      <c r="E1003" s="48"/>
      <c r="F1003" s="48">
        <v>-155.1</v>
      </c>
      <c r="G1003" s="43"/>
      <c r="H1003" s="43"/>
      <c r="I1003" s="43"/>
    </row>
    <row r="1004" ht="12.75" customHeight="1">
      <c r="A1004" s="48" t="s">
        <v>44</v>
      </c>
      <c r="B1004" s="48" t="s">
        <v>28</v>
      </c>
      <c r="C1004" s="48" t="s">
        <v>64</v>
      </c>
      <c r="D1004" s="48" t="s">
        <v>50</v>
      </c>
      <c r="E1004" s="48"/>
      <c r="F1004" s="48">
        <v>-380.7</v>
      </c>
      <c r="G1004" s="43"/>
      <c r="H1004" s="43"/>
      <c r="I1004" s="43"/>
    </row>
    <row r="1005" ht="12.75" customHeight="1">
      <c r="A1005" s="48" t="s">
        <v>44</v>
      </c>
      <c r="B1005" s="48" t="s">
        <v>28</v>
      </c>
      <c r="C1005" s="48" t="s">
        <v>64</v>
      </c>
      <c r="D1005" s="48" t="s">
        <v>50</v>
      </c>
      <c r="E1005" s="48"/>
      <c r="F1005" s="48">
        <v>-2129.1</v>
      </c>
      <c r="G1005" s="43"/>
      <c r="H1005" s="43"/>
      <c r="I1005" s="43"/>
    </row>
    <row r="1006" ht="12.75" customHeight="1">
      <c r="A1006" s="48" t="s">
        <v>44</v>
      </c>
      <c r="B1006" s="48" t="s">
        <v>28</v>
      </c>
      <c r="C1006" s="48" t="s">
        <v>64</v>
      </c>
      <c r="D1006" s="48" t="s">
        <v>50</v>
      </c>
      <c r="E1006" s="48"/>
      <c r="F1006" s="48">
        <v>-155.1</v>
      </c>
      <c r="G1006" s="43"/>
      <c r="H1006" s="43"/>
      <c r="I1006" s="43"/>
    </row>
    <row r="1007" ht="12.75" customHeight="1">
      <c r="A1007" s="48" t="s">
        <v>44</v>
      </c>
      <c r="B1007" s="48" t="s">
        <v>28</v>
      </c>
      <c r="C1007" s="48" t="s">
        <v>64</v>
      </c>
      <c r="D1007" s="48" t="s">
        <v>50</v>
      </c>
      <c r="E1007" s="48"/>
      <c r="F1007" s="48">
        <v>-6796.2</v>
      </c>
      <c r="G1007" s="43"/>
      <c r="H1007" s="43"/>
      <c r="I1007" s="43"/>
    </row>
    <row r="1008" ht="12.75" customHeight="1">
      <c r="A1008" s="48" t="s">
        <v>44</v>
      </c>
      <c r="B1008" s="48" t="s">
        <v>28</v>
      </c>
      <c r="C1008" s="48" t="s">
        <v>64</v>
      </c>
      <c r="D1008" s="48" t="s">
        <v>50</v>
      </c>
      <c r="E1008" s="48"/>
      <c r="F1008" s="48">
        <v>-592.2</v>
      </c>
      <c r="G1008" s="43"/>
      <c r="H1008" s="43"/>
      <c r="I1008" s="43"/>
    </row>
    <row r="1009" ht="12.75" customHeight="1">
      <c r="A1009" s="48" t="s">
        <v>44</v>
      </c>
      <c r="B1009" s="48" t="s">
        <v>28</v>
      </c>
      <c r="C1009" s="48" t="s">
        <v>64</v>
      </c>
      <c r="D1009" s="48" t="s">
        <v>50</v>
      </c>
      <c r="E1009" s="48"/>
      <c r="F1009" s="48">
        <v>-1043.4</v>
      </c>
      <c r="G1009" s="43"/>
      <c r="H1009" s="43"/>
      <c r="I1009" s="43"/>
    </row>
    <row r="1010" ht="12.75" customHeight="1">
      <c r="A1010" s="48" t="s">
        <v>44</v>
      </c>
      <c r="B1010" s="48" t="s">
        <v>28</v>
      </c>
      <c r="C1010" s="48" t="s">
        <v>64</v>
      </c>
      <c r="D1010" s="48" t="s">
        <v>50</v>
      </c>
      <c r="E1010" s="48"/>
      <c r="F1010" s="48">
        <v>-535.8000000000001</v>
      </c>
      <c r="G1010" s="43"/>
      <c r="H1010" s="43"/>
      <c r="I1010" s="43"/>
    </row>
    <row r="1011" ht="12.75" customHeight="1">
      <c r="A1011" s="48" t="s">
        <v>44</v>
      </c>
      <c r="B1011" s="48" t="s">
        <v>28</v>
      </c>
      <c r="C1011" s="48" t="s">
        <v>64</v>
      </c>
      <c r="D1011" s="48" t="s">
        <v>50</v>
      </c>
      <c r="E1011" s="48"/>
      <c r="F1011" s="48">
        <v>-155.1</v>
      </c>
      <c r="G1011" s="43"/>
      <c r="H1011" s="43"/>
      <c r="I1011" s="43"/>
    </row>
    <row r="1012" ht="12.75" customHeight="1">
      <c r="A1012" s="48" t="s">
        <v>44</v>
      </c>
      <c r="B1012" s="48" t="s">
        <v>28</v>
      </c>
      <c r="C1012" s="48" t="s">
        <v>64</v>
      </c>
      <c r="D1012" s="48" t="s">
        <v>50</v>
      </c>
      <c r="E1012" s="48"/>
      <c r="F1012" s="48">
        <v>-296.1</v>
      </c>
      <c r="G1012" s="43"/>
      <c r="H1012" s="43"/>
      <c r="I1012" s="43"/>
    </row>
    <row r="1013" ht="12.75" customHeight="1">
      <c r="A1013" s="48" t="s">
        <v>44</v>
      </c>
      <c r="B1013" s="48" t="s">
        <v>28</v>
      </c>
      <c r="C1013" s="48" t="s">
        <v>64</v>
      </c>
      <c r="D1013" s="48" t="s">
        <v>50</v>
      </c>
      <c r="E1013" s="48"/>
      <c r="F1013" s="48">
        <v>-1071.6000000000001</v>
      </c>
      <c r="G1013" s="43"/>
      <c r="H1013" s="43"/>
      <c r="I1013" s="43"/>
    </row>
    <row r="1014" ht="12.75" customHeight="1">
      <c r="A1014" s="48" t="s">
        <v>44</v>
      </c>
      <c r="B1014" s="48" t="s">
        <v>28</v>
      </c>
      <c r="C1014" s="48" t="s">
        <v>64</v>
      </c>
      <c r="D1014" s="48" t="s">
        <v>50</v>
      </c>
      <c r="E1014" s="48"/>
      <c r="F1014" s="48">
        <v>-535.8000000000001</v>
      </c>
      <c r="G1014" s="43"/>
      <c r="H1014" s="43"/>
      <c r="I1014" s="43"/>
    </row>
    <row r="1015" ht="12.75" customHeight="1">
      <c r="A1015" s="48" t="s">
        <v>44</v>
      </c>
      <c r="B1015" s="48" t="s">
        <v>28</v>
      </c>
      <c r="C1015" s="48" t="s">
        <v>64</v>
      </c>
      <c r="D1015" s="48" t="s">
        <v>50</v>
      </c>
      <c r="E1015" s="48"/>
      <c r="F1015" s="48">
        <v>-592.2</v>
      </c>
      <c r="G1015" s="43"/>
      <c r="H1015" s="43"/>
      <c r="I1015" s="43"/>
    </row>
    <row r="1016" ht="12.75" customHeight="1">
      <c r="A1016" s="48" t="s">
        <v>44</v>
      </c>
      <c r="B1016" s="48" t="s">
        <v>28</v>
      </c>
      <c r="C1016" s="48" t="s">
        <v>64</v>
      </c>
      <c r="D1016" s="48" t="s">
        <v>50</v>
      </c>
      <c r="E1016" s="48"/>
      <c r="F1016" s="48">
        <v>-4540.2</v>
      </c>
      <c r="G1016" s="43"/>
      <c r="H1016" s="43"/>
      <c r="I1016" s="43"/>
    </row>
    <row r="1017" ht="12.75" customHeight="1">
      <c r="A1017" s="48" t="s">
        <v>44</v>
      </c>
      <c r="B1017" s="48" t="s">
        <v>28</v>
      </c>
      <c r="C1017" s="48" t="s">
        <v>64</v>
      </c>
      <c r="D1017" s="48" t="s">
        <v>50</v>
      </c>
      <c r="E1017" s="48"/>
      <c r="F1017" s="48">
        <v>-380.7</v>
      </c>
      <c r="G1017" s="43"/>
      <c r="H1017" s="43"/>
      <c r="I1017" s="43"/>
    </row>
    <row r="1018" ht="12.75" customHeight="1">
      <c r="A1018" s="48" t="s">
        <v>44</v>
      </c>
      <c r="B1018" s="48" t="s">
        <v>28</v>
      </c>
      <c r="C1018" s="48" t="s">
        <v>64</v>
      </c>
      <c r="D1018" s="48" t="s">
        <v>50</v>
      </c>
      <c r="E1018" s="48"/>
      <c r="F1018" s="48">
        <v>-4582.5</v>
      </c>
      <c r="G1018" s="43"/>
      <c r="H1018" s="43"/>
      <c r="I1018" s="43"/>
    </row>
    <row r="1019" ht="12.75" customHeight="1">
      <c r="A1019" s="48" t="s">
        <v>44</v>
      </c>
      <c r="B1019" s="48" t="s">
        <v>28</v>
      </c>
      <c r="C1019" s="48" t="s">
        <v>64</v>
      </c>
      <c r="D1019" s="48" t="s">
        <v>50</v>
      </c>
      <c r="E1019" s="48"/>
      <c r="F1019" s="48">
        <v>-98.7</v>
      </c>
      <c r="G1019" s="43"/>
      <c r="H1019" s="43"/>
      <c r="I1019" s="43"/>
    </row>
    <row r="1020" ht="12.75" customHeight="1">
      <c r="A1020" s="48" t="s">
        <v>44</v>
      </c>
      <c r="B1020" s="48" t="s">
        <v>28</v>
      </c>
      <c r="C1020" s="48" t="s">
        <v>64</v>
      </c>
      <c r="D1020" s="48" t="s">
        <v>50</v>
      </c>
      <c r="E1020" s="48"/>
      <c r="F1020" s="48">
        <v>-592.2</v>
      </c>
      <c r="G1020" s="43"/>
      <c r="H1020" s="43"/>
      <c r="I1020" s="43"/>
    </row>
    <row r="1021" ht="12.75" customHeight="1">
      <c r="A1021" s="48" t="s">
        <v>44</v>
      </c>
      <c r="B1021" s="48" t="s">
        <v>28</v>
      </c>
      <c r="C1021" s="48" t="s">
        <v>64</v>
      </c>
      <c r="D1021" s="48" t="s">
        <v>50</v>
      </c>
      <c r="E1021" s="48"/>
      <c r="F1021" s="48">
        <v>-136.3</v>
      </c>
      <c r="G1021" s="43"/>
      <c r="H1021" s="43"/>
      <c r="I1021" s="43"/>
    </row>
    <row r="1022" ht="12.75" customHeight="1">
      <c r="A1022" s="48" t="s">
        <v>44</v>
      </c>
      <c r="B1022" s="48" t="s">
        <v>28</v>
      </c>
      <c r="C1022" s="48" t="s">
        <v>64</v>
      </c>
      <c r="D1022" s="48" t="s">
        <v>50</v>
      </c>
      <c r="E1022" s="48"/>
      <c r="F1022" s="48">
        <v>-3073.8</v>
      </c>
      <c r="G1022" s="43"/>
      <c r="H1022" s="43"/>
      <c r="I1022" s="43"/>
    </row>
    <row r="1023" ht="12.75" customHeight="1">
      <c r="A1023" s="48" t="s">
        <v>44</v>
      </c>
      <c r="B1023" s="48" t="s">
        <v>28</v>
      </c>
      <c r="C1023" s="48" t="s">
        <v>64</v>
      </c>
      <c r="D1023" s="48" t="s">
        <v>50</v>
      </c>
      <c r="E1023" s="48"/>
      <c r="F1023" s="48">
        <v>-380.7</v>
      </c>
      <c r="G1023" s="43"/>
      <c r="H1023" s="43"/>
      <c r="I1023" s="43"/>
    </row>
    <row r="1024" ht="12.75" customHeight="1">
      <c r="A1024" s="48" t="s">
        <v>44</v>
      </c>
      <c r="B1024" s="48" t="s">
        <v>28</v>
      </c>
      <c r="C1024" s="48" t="s">
        <v>64</v>
      </c>
      <c r="D1024" s="48" t="s">
        <v>50</v>
      </c>
      <c r="E1024" s="48"/>
      <c r="F1024" s="48">
        <v>-5447.3</v>
      </c>
      <c r="G1024" s="43"/>
      <c r="H1024" s="43"/>
      <c r="I1024" s="43"/>
    </row>
    <row r="1025" ht="12.75" customHeight="1">
      <c r="A1025" s="48" t="s">
        <v>44</v>
      </c>
      <c r="B1025" s="48" t="s">
        <v>28</v>
      </c>
      <c r="C1025" s="48" t="s">
        <v>64</v>
      </c>
      <c r="D1025" s="48" t="s">
        <v>50</v>
      </c>
      <c r="E1025" s="48"/>
      <c r="F1025" s="48">
        <v>-690.9</v>
      </c>
      <c r="G1025" s="43"/>
      <c r="H1025" s="43"/>
      <c r="I1025" s="43"/>
    </row>
    <row r="1026" ht="12.75" customHeight="1">
      <c r="A1026" s="48" t="s">
        <v>44</v>
      </c>
      <c r="B1026" s="48" t="s">
        <v>28</v>
      </c>
      <c r="C1026" s="48" t="s">
        <v>64</v>
      </c>
      <c r="D1026" s="48" t="s">
        <v>50</v>
      </c>
      <c r="E1026" s="48"/>
      <c r="F1026" s="48">
        <v>-183.3</v>
      </c>
      <c r="G1026" s="43"/>
      <c r="H1026" s="43"/>
      <c r="I1026" s="43"/>
    </row>
    <row r="1027" ht="12.75" customHeight="1">
      <c r="A1027" s="48" t="s">
        <v>44</v>
      </c>
      <c r="B1027" s="48" t="s">
        <v>28</v>
      </c>
      <c r="C1027" s="48" t="s">
        <v>64</v>
      </c>
      <c r="D1027" s="48" t="s">
        <v>50</v>
      </c>
      <c r="E1027" s="48"/>
      <c r="F1027" s="48">
        <v>-267.90000000000003</v>
      </c>
      <c r="G1027" s="43"/>
      <c r="H1027" s="43"/>
      <c r="I1027" s="43"/>
    </row>
    <row r="1028" ht="12.75" customHeight="1">
      <c r="A1028" s="48" t="s">
        <v>44</v>
      </c>
      <c r="B1028" s="48" t="s">
        <v>28</v>
      </c>
      <c r="C1028" s="48" t="s">
        <v>64</v>
      </c>
      <c r="D1028" s="48" t="s">
        <v>50</v>
      </c>
      <c r="E1028" s="48"/>
      <c r="F1028" s="48">
        <v>-155.1</v>
      </c>
      <c r="G1028" s="43"/>
      <c r="H1028" s="43"/>
      <c r="I1028" s="43"/>
    </row>
    <row r="1029" ht="12.75" customHeight="1">
      <c r="A1029" s="48" t="s">
        <v>44</v>
      </c>
      <c r="B1029" s="48" t="s">
        <v>28</v>
      </c>
      <c r="C1029" s="48" t="s">
        <v>64</v>
      </c>
      <c r="D1029" s="48" t="s">
        <v>50</v>
      </c>
      <c r="E1029" s="48"/>
      <c r="F1029" s="48">
        <v>-103.4</v>
      </c>
      <c r="G1029" s="43"/>
      <c r="H1029" s="43"/>
      <c r="I1029" s="43"/>
    </row>
    <row r="1030" ht="12.75" customHeight="1">
      <c r="A1030" s="48" t="s">
        <v>44</v>
      </c>
      <c r="B1030" s="48" t="s">
        <v>28</v>
      </c>
      <c r="C1030" s="48" t="s">
        <v>64</v>
      </c>
      <c r="D1030" s="48" t="s">
        <v>50</v>
      </c>
      <c r="E1030" s="48"/>
      <c r="F1030" s="48">
        <v>-1565.1000000000001</v>
      </c>
      <c r="G1030" s="43"/>
      <c r="H1030" s="43"/>
      <c r="I1030" s="43"/>
    </row>
    <row r="1031" ht="12.75" customHeight="1">
      <c r="A1031" s="48" t="s">
        <v>44</v>
      </c>
      <c r="B1031" s="48" t="s">
        <v>28</v>
      </c>
      <c r="C1031" s="48" t="s">
        <v>64</v>
      </c>
      <c r="D1031" s="48" t="s">
        <v>50</v>
      </c>
      <c r="E1031" s="48"/>
      <c r="F1031" s="48">
        <v>-1565.1000000000001</v>
      </c>
      <c r="G1031" s="43"/>
      <c r="H1031" s="43"/>
      <c r="I1031" s="43"/>
    </row>
    <row r="1032" ht="12.75" customHeight="1">
      <c r="A1032" s="48" t="s">
        <v>44</v>
      </c>
      <c r="B1032" s="48" t="s">
        <v>28</v>
      </c>
      <c r="C1032" s="48" t="s">
        <v>64</v>
      </c>
      <c r="D1032" s="48" t="s">
        <v>50</v>
      </c>
      <c r="E1032" s="48"/>
      <c r="F1032" s="48">
        <v>-1424.1000000000001</v>
      </c>
      <c r="G1032" s="43"/>
      <c r="H1032" s="43"/>
      <c r="I1032" s="43"/>
    </row>
    <row r="1033" ht="12.75" customHeight="1">
      <c r="A1033" s="48" t="s">
        <v>44</v>
      </c>
      <c r="B1033" s="48" t="s">
        <v>28</v>
      </c>
      <c r="C1033" s="48" t="s">
        <v>64</v>
      </c>
      <c r="D1033" s="48" t="s">
        <v>50</v>
      </c>
      <c r="E1033" s="48"/>
      <c r="F1033" s="48">
        <v>-2030.4</v>
      </c>
      <c r="G1033" s="43"/>
      <c r="H1033" s="43"/>
      <c r="I1033" s="43"/>
    </row>
    <row r="1034" ht="12.75" customHeight="1">
      <c r="A1034" s="48" t="s">
        <v>44</v>
      </c>
      <c r="B1034" s="48" t="s">
        <v>28</v>
      </c>
      <c r="C1034" s="48" t="s">
        <v>64</v>
      </c>
      <c r="D1034" s="48" t="s">
        <v>50</v>
      </c>
      <c r="E1034" s="48"/>
      <c r="F1034" s="48">
        <v>-592.2</v>
      </c>
      <c r="G1034" s="43"/>
      <c r="H1034" s="43"/>
      <c r="I1034" s="43"/>
    </row>
    <row r="1035" ht="12.75" customHeight="1">
      <c r="A1035" s="48" t="s">
        <v>44</v>
      </c>
      <c r="B1035" s="48" t="s">
        <v>28</v>
      </c>
      <c r="C1035" s="48" t="s">
        <v>64</v>
      </c>
      <c r="D1035" s="48" t="s">
        <v>50</v>
      </c>
      <c r="E1035" s="48"/>
      <c r="F1035" s="48">
        <v>-51.7</v>
      </c>
      <c r="G1035" s="43"/>
      <c r="H1035" s="43"/>
      <c r="I1035" s="43"/>
    </row>
    <row r="1036" ht="12.75" customHeight="1">
      <c r="A1036" s="48" t="s">
        <v>44</v>
      </c>
      <c r="B1036" s="48" t="s">
        <v>28</v>
      </c>
      <c r="C1036" s="48" t="s">
        <v>64</v>
      </c>
      <c r="D1036" s="48" t="s">
        <v>50</v>
      </c>
      <c r="E1036" s="48"/>
      <c r="F1036" s="48">
        <v>-1565.1000000000001</v>
      </c>
      <c r="G1036" s="43"/>
      <c r="H1036" s="43"/>
      <c r="I1036" s="43"/>
    </row>
    <row r="1037" ht="12.75" customHeight="1">
      <c r="A1037" s="48" t="s">
        <v>44</v>
      </c>
      <c r="B1037" s="48" t="s">
        <v>28</v>
      </c>
      <c r="C1037" s="48" t="s">
        <v>64</v>
      </c>
      <c r="D1037" s="48" t="s">
        <v>50</v>
      </c>
      <c r="E1037" s="48"/>
      <c r="F1037" s="48">
        <v>-1565.1000000000001</v>
      </c>
      <c r="G1037" s="43"/>
      <c r="H1037" s="43"/>
      <c r="I1037" s="43"/>
    </row>
    <row r="1038" ht="12.75" customHeight="1">
      <c r="A1038" s="48" t="s">
        <v>44</v>
      </c>
      <c r="B1038" s="48" t="s">
        <v>28</v>
      </c>
      <c r="C1038" s="48" t="s">
        <v>64</v>
      </c>
      <c r="D1038" s="48" t="s">
        <v>50</v>
      </c>
      <c r="E1038" s="48"/>
      <c r="F1038" s="48">
        <v>-98.7</v>
      </c>
      <c r="G1038" s="43"/>
      <c r="H1038" s="43"/>
      <c r="I1038" s="43"/>
    </row>
    <row r="1039" ht="12.75" customHeight="1">
      <c r="A1039" s="48" t="s">
        <v>44</v>
      </c>
      <c r="B1039" s="48" t="s">
        <v>28</v>
      </c>
      <c r="C1039" s="48" t="s">
        <v>64</v>
      </c>
      <c r="D1039" s="48" t="s">
        <v>50</v>
      </c>
      <c r="E1039" s="48"/>
      <c r="F1039" s="48">
        <v>-451.20000000000005</v>
      </c>
      <c r="G1039" s="43"/>
      <c r="H1039" s="43"/>
      <c r="I1039" s="43"/>
    </row>
    <row r="1040" ht="12.75" customHeight="1">
      <c r="A1040" s="48" t="s">
        <v>44</v>
      </c>
      <c r="B1040" s="48" t="s">
        <v>28</v>
      </c>
      <c r="C1040" s="48" t="s">
        <v>64</v>
      </c>
      <c r="D1040" s="48" t="s">
        <v>50</v>
      </c>
      <c r="E1040" s="48"/>
      <c r="F1040" s="48">
        <v>-1565.1000000000001</v>
      </c>
      <c r="G1040" s="43"/>
      <c r="H1040" s="43"/>
      <c r="I1040" s="43"/>
    </row>
    <row r="1041" ht="12.75" customHeight="1">
      <c r="A1041" s="48" t="s">
        <v>44</v>
      </c>
      <c r="B1041" s="48" t="s">
        <v>28</v>
      </c>
      <c r="C1041" s="48" t="s">
        <v>64</v>
      </c>
      <c r="D1041" s="48" t="s">
        <v>50</v>
      </c>
      <c r="E1041" s="48"/>
      <c r="F1041" s="48">
        <v>-1565.1000000000001</v>
      </c>
      <c r="G1041" s="43"/>
      <c r="H1041" s="43"/>
      <c r="I1041" s="43"/>
    </row>
    <row r="1042" ht="12.75" customHeight="1">
      <c r="A1042" s="48" t="s">
        <v>44</v>
      </c>
      <c r="B1042" s="48" t="s">
        <v>28</v>
      </c>
      <c r="C1042" s="48" t="s">
        <v>64</v>
      </c>
      <c r="D1042" s="48" t="s">
        <v>50</v>
      </c>
      <c r="E1042" s="48"/>
      <c r="F1042" s="48">
        <v>-343.1</v>
      </c>
      <c r="G1042" s="43"/>
      <c r="H1042" s="43"/>
      <c r="I1042" s="43"/>
    </row>
    <row r="1043" ht="12.75" customHeight="1">
      <c r="A1043" s="48" t="s">
        <v>44</v>
      </c>
      <c r="B1043" s="48" t="s">
        <v>28</v>
      </c>
      <c r="C1043" s="48" t="s">
        <v>64</v>
      </c>
      <c r="D1043" s="48" t="s">
        <v>50</v>
      </c>
      <c r="E1043" s="48"/>
      <c r="F1043" s="48">
        <v>-5423.8</v>
      </c>
      <c r="G1043" s="43"/>
      <c r="H1043" s="43"/>
      <c r="I1043" s="43"/>
    </row>
    <row r="1044" ht="12.75" customHeight="1">
      <c r="A1044" s="48" t="s">
        <v>44</v>
      </c>
      <c r="B1044" s="48" t="s">
        <v>28</v>
      </c>
      <c r="C1044" s="48" t="s">
        <v>64</v>
      </c>
      <c r="D1044" s="48" t="s">
        <v>50</v>
      </c>
      <c r="E1044" s="48"/>
      <c r="F1044" s="48">
        <v>-155.1</v>
      </c>
      <c r="G1044" s="43"/>
      <c r="H1044" s="43"/>
      <c r="I1044" s="43"/>
    </row>
    <row r="1045" ht="12.75" customHeight="1">
      <c r="A1045" s="48" t="s">
        <v>44</v>
      </c>
      <c r="B1045" s="48" t="s">
        <v>28</v>
      </c>
      <c r="C1045" s="48" t="s">
        <v>64</v>
      </c>
      <c r="D1045" s="48" t="s">
        <v>50</v>
      </c>
      <c r="E1045" s="48"/>
      <c r="F1045" s="48">
        <v>-380.7</v>
      </c>
      <c r="G1045" s="43"/>
      <c r="H1045" s="43"/>
      <c r="I1045" s="43"/>
    </row>
    <row r="1046" ht="12.75" customHeight="1">
      <c r="A1046" s="48" t="s">
        <v>44</v>
      </c>
      <c r="B1046" s="48" t="s">
        <v>28</v>
      </c>
      <c r="C1046" s="48" t="s">
        <v>64</v>
      </c>
      <c r="D1046" s="48" t="s">
        <v>50</v>
      </c>
      <c r="E1046" s="48"/>
      <c r="F1046" s="48">
        <v>-592.2</v>
      </c>
      <c r="G1046" s="43"/>
      <c r="H1046" s="43"/>
      <c r="I1046" s="43"/>
    </row>
    <row r="1047" ht="12.75" customHeight="1">
      <c r="A1047" s="48" t="s">
        <v>44</v>
      </c>
      <c r="B1047" s="48" t="s">
        <v>28</v>
      </c>
      <c r="C1047" s="48" t="s">
        <v>64</v>
      </c>
      <c r="D1047" s="48" t="s">
        <v>50</v>
      </c>
      <c r="E1047" s="48"/>
      <c r="F1047" s="48">
        <v>-155.1</v>
      </c>
      <c r="G1047" s="43"/>
      <c r="H1047" s="43"/>
      <c r="I1047" s="43"/>
    </row>
    <row r="1048" ht="12.75" customHeight="1">
      <c r="A1048" s="48" t="s">
        <v>44</v>
      </c>
      <c r="B1048" s="48" t="s">
        <v>28</v>
      </c>
      <c r="C1048" s="48" t="s">
        <v>64</v>
      </c>
      <c r="D1048" s="48" t="s">
        <v>50</v>
      </c>
      <c r="E1048" s="48"/>
      <c r="F1048" s="48">
        <v>-155.1</v>
      </c>
      <c r="G1048" s="43"/>
      <c r="H1048" s="43"/>
      <c r="I1048" s="43"/>
    </row>
    <row r="1049" ht="12.75" customHeight="1">
      <c r="A1049" s="48" t="s">
        <v>44</v>
      </c>
      <c r="B1049" s="48" t="s">
        <v>28</v>
      </c>
      <c r="C1049" s="48" t="s">
        <v>64</v>
      </c>
      <c r="D1049" s="48" t="s">
        <v>50</v>
      </c>
      <c r="E1049" s="48"/>
      <c r="F1049" s="48">
        <v>-408.90000000000003</v>
      </c>
      <c r="G1049" s="43"/>
      <c r="H1049" s="43"/>
      <c r="I1049" s="43"/>
    </row>
    <row r="1050" ht="12.75" customHeight="1">
      <c r="A1050" s="48" t="s">
        <v>44</v>
      </c>
      <c r="B1050" s="48" t="s">
        <v>28</v>
      </c>
      <c r="C1050" s="48" t="s">
        <v>64</v>
      </c>
      <c r="D1050" s="48" t="s">
        <v>50</v>
      </c>
      <c r="E1050" s="48"/>
      <c r="F1050" s="48">
        <v>-6796.2</v>
      </c>
      <c r="G1050" s="43"/>
      <c r="H1050" s="43"/>
      <c r="I1050" s="43"/>
    </row>
    <row r="1051" ht="12.75" customHeight="1">
      <c r="A1051" s="48" t="s">
        <v>44</v>
      </c>
      <c r="B1051" s="48" t="s">
        <v>28</v>
      </c>
      <c r="C1051" s="48" t="s">
        <v>64</v>
      </c>
      <c r="D1051" s="48" t="s">
        <v>50</v>
      </c>
      <c r="E1051" s="48"/>
      <c r="F1051" s="48">
        <v>-253.8</v>
      </c>
      <c r="G1051" s="43"/>
      <c r="H1051" s="43"/>
      <c r="I1051" s="43"/>
    </row>
    <row r="1052" ht="12.75" customHeight="1">
      <c r="A1052" s="48" t="s">
        <v>44</v>
      </c>
      <c r="B1052" s="48" t="s">
        <v>28</v>
      </c>
      <c r="C1052" s="48" t="s">
        <v>64</v>
      </c>
      <c r="D1052" s="48" t="s">
        <v>50</v>
      </c>
      <c r="E1052" s="48"/>
      <c r="F1052" s="48">
        <v>-592.2</v>
      </c>
      <c r="G1052" s="43"/>
      <c r="H1052" s="43"/>
      <c r="I1052" s="43"/>
    </row>
    <row r="1053" ht="12.75" customHeight="1">
      <c r="A1053" s="48" t="s">
        <v>44</v>
      </c>
      <c r="B1053" s="48" t="s">
        <v>28</v>
      </c>
      <c r="C1053" s="48" t="s">
        <v>64</v>
      </c>
      <c r="D1053" s="48" t="s">
        <v>50</v>
      </c>
      <c r="E1053" s="48"/>
      <c r="F1053" s="48">
        <v>-155.1</v>
      </c>
      <c r="G1053" s="43"/>
      <c r="H1053" s="43"/>
      <c r="I1053" s="43"/>
    </row>
    <row r="1054" ht="12.75" customHeight="1">
      <c r="A1054" s="48" t="s">
        <v>44</v>
      </c>
      <c r="B1054" s="48" t="s">
        <v>28</v>
      </c>
      <c r="C1054" s="48" t="s">
        <v>64</v>
      </c>
      <c r="D1054" s="48" t="s">
        <v>50</v>
      </c>
      <c r="E1054" s="48"/>
      <c r="F1054" s="48">
        <v>-155.1</v>
      </c>
      <c r="G1054" s="43"/>
      <c r="H1054" s="43"/>
      <c r="I1054" s="43"/>
    </row>
    <row r="1055" ht="12.75" customHeight="1">
      <c r="A1055" s="48" t="s">
        <v>44</v>
      </c>
      <c r="B1055" s="48" t="s">
        <v>28</v>
      </c>
      <c r="C1055" s="48" t="s">
        <v>64</v>
      </c>
      <c r="D1055" s="48" t="s">
        <v>50</v>
      </c>
      <c r="E1055" s="48"/>
      <c r="F1055" s="48">
        <v>-380.7</v>
      </c>
      <c r="G1055" s="43"/>
      <c r="H1055" s="43"/>
      <c r="I1055" s="43"/>
    </row>
    <row r="1056" ht="12.75" customHeight="1">
      <c r="A1056" s="48" t="s">
        <v>44</v>
      </c>
      <c r="B1056" s="48" t="s">
        <v>28</v>
      </c>
      <c r="C1056" s="48" t="s">
        <v>64</v>
      </c>
      <c r="D1056" s="48" t="s">
        <v>50</v>
      </c>
      <c r="E1056" s="48"/>
      <c r="F1056" s="48">
        <v>-592.2</v>
      </c>
      <c r="G1056" s="43"/>
      <c r="H1056" s="43"/>
      <c r="I1056" s="43"/>
    </row>
    <row r="1057" ht="12.75" customHeight="1">
      <c r="A1057" s="48" t="s">
        <v>44</v>
      </c>
      <c r="B1057" s="48" t="s">
        <v>28</v>
      </c>
      <c r="C1057" s="48" t="s">
        <v>64</v>
      </c>
      <c r="D1057" s="48" t="s">
        <v>50</v>
      </c>
      <c r="E1057" s="48"/>
      <c r="F1057" s="48">
        <v>-2129.1</v>
      </c>
      <c r="G1057" s="43"/>
      <c r="H1057" s="43"/>
      <c r="I1057" s="43"/>
    </row>
    <row r="1058" ht="12.75" customHeight="1">
      <c r="A1058" s="48" t="s">
        <v>44</v>
      </c>
      <c r="B1058" s="48" t="s">
        <v>28</v>
      </c>
      <c r="C1058" s="48" t="s">
        <v>64</v>
      </c>
      <c r="D1058" s="48" t="s">
        <v>50</v>
      </c>
      <c r="E1058" s="48"/>
      <c r="F1058" s="48">
        <v>-2129.1</v>
      </c>
      <c r="G1058" s="43"/>
      <c r="H1058" s="43"/>
      <c r="I1058" s="43"/>
    </row>
    <row r="1059" ht="12.75" customHeight="1">
      <c r="A1059" s="48" t="s">
        <v>44</v>
      </c>
      <c r="B1059" s="48" t="s">
        <v>28</v>
      </c>
      <c r="C1059" s="48" t="s">
        <v>64</v>
      </c>
      <c r="D1059" s="48" t="s">
        <v>50</v>
      </c>
      <c r="E1059" s="48"/>
      <c r="F1059" s="48">
        <v>-155.1</v>
      </c>
      <c r="G1059" s="43"/>
      <c r="H1059" s="43"/>
      <c r="I1059" s="43"/>
    </row>
    <row r="1060" ht="12.75" customHeight="1">
      <c r="A1060" s="48" t="s">
        <v>44</v>
      </c>
      <c r="B1060" s="48" t="s">
        <v>28</v>
      </c>
      <c r="C1060" s="48" t="s">
        <v>64</v>
      </c>
      <c r="D1060" s="48" t="s">
        <v>50</v>
      </c>
      <c r="E1060" s="48"/>
      <c r="F1060" s="48">
        <v>-155.1</v>
      </c>
      <c r="G1060" s="43"/>
      <c r="H1060" s="43"/>
      <c r="I1060" s="43"/>
    </row>
    <row r="1061" ht="12.75" customHeight="1">
      <c r="A1061" s="48" t="s">
        <v>44</v>
      </c>
      <c r="B1061" s="48" t="s">
        <v>28</v>
      </c>
      <c r="C1061" s="48" t="s">
        <v>64</v>
      </c>
      <c r="D1061" s="48" t="s">
        <v>50</v>
      </c>
      <c r="E1061" s="48"/>
      <c r="F1061" s="48">
        <v>-1034.0</v>
      </c>
      <c r="G1061" s="43"/>
      <c r="H1061" s="43"/>
      <c r="I1061" s="43"/>
    </row>
    <row r="1062" ht="12.75" customHeight="1">
      <c r="A1062" s="48" t="s">
        <v>44</v>
      </c>
      <c r="B1062" s="48" t="s">
        <v>28</v>
      </c>
      <c r="C1062" s="48" t="s">
        <v>64</v>
      </c>
      <c r="D1062" s="48" t="s">
        <v>50</v>
      </c>
      <c r="E1062" s="48"/>
      <c r="F1062" s="48">
        <v>-592.2</v>
      </c>
      <c r="G1062" s="43"/>
      <c r="H1062" s="43"/>
      <c r="I1062" s="43"/>
    </row>
    <row r="1063" ht="12.75" customHeight="1">
      <c r="A1063" s="48" t="s">
        <v>44</v>
      </c>
      <c r="B1063" s="48" t="s">
        <v>28</v>
      </c>
      <c r="C1063" s="48" t="s">
        <v>64</v>
      </c>
      <c r="D1063" s="48" t="s">
        <v>50</v>
      </c>
      <c r="E1063" s="48"/>
      <c r="F1063" s="48">
        <v>-366.6</v>
      </c>
      <c r="G1063" s="43"/>
      <c r="H1063" s="43"/>
      <c r="I1063" s="43"/>
    </row>
    <row r="1064" ht="12.75" customHeight="1">
      <c r="A1064" s="48" t="s">
        <v>44</v>
      </c>
      <c r="B1064" s="48" t="s">
        <v>28</v>
      </c>
      <c r="C1064" s="48" t="s">
        <v>64</v>
      </c>
      <c r="D1064" s="48" t="s">
        <v>50</v>
      </c>
      <c r="E1064" s="48"/>
      <c r="F1064" s="48">
        <v>-709.7</v>
      </c>
      <c r="G1064" s="43"/>
      <c r="H1064" s="43"/>
      <c r="I1064" s="43"/>
    </row>
    <row r="1065" ht="12.75" customHeight="1">
      <c r="A1065" s="48" t="s">
        <v>44</v>
      </c>
      <c r="B1065" s="48" t="s">
        <v>28</v>
      </c>
      <c r="C1065" s="48" t="s">
        <v>64</v>
      </c>
      <c r="D1065" s="48" t="s">
        <v>50</v>
      </c>
      <c r="E1065" s="48"/>
      <c r="F1065" s="48">
        <v>-592.2</v>
      </c>
      <c r="G1065" s="43"/>
      <c r="H1065" s="43"/>
      <c r="I1065" s="43"/>
    </row>
    <row r="1066" ht="12.75" customHeight="1">
      <c r="A1066" s="48" t="s">
        <v>44</v>
      </c>
      <c r="B1066" s="48" t="s">
        <v>28</v>
      </c>
      <c r="C1066" s="48" t="s">
        <v>64</v>
      </c>
      <c r="D1066" s="48" t="s">
        <v>50</v>
      </c>
      <c r="E1066" s="48"/>
      <c r="F1066" s="48">
        <v>-592.2</v>
      </c>
      <c r="G1066" s="43"/>
      <c r="H1066" s="43"/>
      <c r="I1066" s="43"/>
    </row>
    <row r="1067" ht="12.75" customHeight="1">
      <c r="A1067" s="48" t="s">
        <v>44</v>
      </c>
      <c r="B1067" s="48" t="s">
        <v>28</v>
      </c>
      <c r="C1067" s="48" t="s">
        <v>64</v>
      </c>
      <c r="D1067" s="48" t="s">
        <v>50</v>
      </c>
      <c r="E1067" s="48"/>
      <c r="F1067" s="48">
        <v>-1818.9</v>
      </c>
      <c r="G1067" s="43"/>
      <c r="H1067" s="43"/>
      <c r="I1067" s="43"/>
    </row>
    <row r="1068" ht="12.75" customHeight="1">
      <c r="A1068" s="48" t="s">
        <v>44</v>
      </c>
      <c r="B1068" s="48" t="s">
        <v>28</v>
      </c>
      <c r="C1068" s="48" t="s">
        <v>64</v>
      </c>
      <c r="D1068" s="48" t="s">
        <v>50</v>
      </c>
      <c r="E1068" s="48"/>
      <c r="F1068" s="48">
        <v>-897.7</v>
      </c>
      <c r="G1068" s="43"/>
      <c r="H1068" s="43"/>
      <c r="I1068" s="43"/>
    </row>
    <row r="1069" ht="12.75" customHeight="1">
      <c r="A1069" s="48" t="s">
        <v>44</v>
      </c>
      <c r="B1069" s="48" t="s">
        <v>28</v>
      </c>
      <c r="C1069" s="48" t="s">
        <v>64</v>
      </c>
      <c r="D1069" s="48" t="s">
        <v>50</v>
      </c>
      <c r="E1069" s="48"/>
      <c r="F1069" s="48">
        <v>-855.4</v>
      </c>
      <c r="G1069" s="43"/>
      <c r="H1069" s="43"/>
      <c r="I1069" s="43"/>
    </row>
    <row r="1070" ht="12.75" customHeight="1">
      <c r="A1070" s="48" t="s">
        <v>44</v>
      </c>
      <c r="B1070" s="48" t="s">
        <v>28</v>
      </c>
      <c r="C1070" s="48" t="s">
        <v>64</v>
      </c>
      <c r="D1070" s="48" t="s">
        <v>50</v>
      </c>
      <c r="E1070" s="48"/>
      <c r="F1070" s="48">
        <v>-2459035.3000000003</v>
      </c>
      <c r="G1070" s="43"/>
      <c r="H1070" s="43"/>
      <c r="I1070" s="43"/>
    </row>
    <row r="1071" ht="12.75" customHeight="1">
      <c r="A1071" s="48" t="s">
        <v>44</v>
      </c>
      <c r="B1071" s="48" t="s">
        <v>28</v>
      </c>
      <c r="C1071" s="48" t="s">
        <v>64</v>
      </c>
      <c r="D1071" s="48" t="s">
        <v>50</v>
      </c>
      <c r="E1071" s="48"/>
      <c r="F1071" s="48">
        <v>-155.1</v>
      </c>
      <c r="G1071" s="43"/>
      <c r="H1071" s="43"/>
      <c r="I1071" s="43"/>
    </row>
    <row r="1072" ht="12.75" customHeight="1">
      <c r="A1072" s="48" t="s">
        <v>44</v>
      </c>
      <c r="B1072" s="48" t="s">
        <v>28</v>
      </c>
      <c r="C1072" s="48" t="s">
        <v>64</v>
      </c>
      <c r="D1072" s="48" t="s">
        <v>50</v>
      </c>
      <c r="E1072" s="48"/>
      <c r="F1072" s="48">
        <v>-1889.4</v>
      </c>
      <c r="G1072" s="43"/>
      <c r="H1072" s="43"/>
      <c r="I1072" s="43"/>
    </row>
    <row r="1073" ht="12.75" customHeight="1">
      <c r="A1073" s="48" t="s">
        <v>44</v>
      </c>
      <c r="B1073" s="48" t="s">
        <v>28</v>
      </c>
      <c r="C1073" s="48" t="s">
        <v>64</v>
      </c>
      <c r="D1073" s="48" t="s">
        <v>50</v>
      </c>
      <c r="E1073" s="48"/>
      <c r="F1073" s="48">
        <v>-1565.1000000000001</v>
      </c>
      <c r="G1073" s="43"/>
      <c r="H1073" s="43"/>
      <c r="I1073" s="43"/>
    </row>
    <row r="1074" ht="12.75" customHeight="1">
      <c r="A1074" s="48" t="s">
        <v>44</v>
      </c>
      <c r="B1074" s="48" t="s">
        <v>28</v>
      </c>
      <c r="C1074" s="48" t="s">
        <v>64</v>
      </c>
      <c r="D1074" s="48" t="s">
        <v>50</v>
      </c>
      <c r="E1074" s="48"/>
      <c r="F1074" s="48">
        <v>-6655.2</v>
      </c>
      <c r="G1074" s="43"/>
      <c r="H1074" s="43"/>
      <c r="I1074" s="43"/>
    </row>
    <row r="1075" ht="12.75" customHeight="1">
      <c r="A1075" s="48" t="s">
        <v>44</v>
      </c>
      <c r="B1075" s="48" t="s">
        <v>28</v>
      </c>
      <c r="C1075" s="48" t="s">
        <v>64</v>
      </c>
      <c r="D1075" s="48" t="s">
        <v>50</v>
      </c>
      <c r="E1075" s="48"/>
      <c r="F1075" s="48">
        <v>-3694.2000000000003</v>
      </c>
      <c r="G1075" s="43"/>
      <c r="H1075" s="43"/>
      <c r="I1075" s="43"/>
    </row>
    <row r="1076" ht="12.75" customHeight="1">
      <c r="A1076" s="48" t="s">
        <v>44</v>
      </c>
      <c r="B1076" s="48" t="s">
        <v>28</v>
      </c>
      <c r="C1076" s="48" t="s">
        <v>64</v>
      </c>
      <c r="D1076" s="48" t="s">
        <v>50</v>
      </c>
      <c r="E1076" s="48"/>
      <c r="F1076" s="48">
        <v>-394.8</v>
      </c>
      <c r="G1076" s="43"/>
      <c r="H1076" s="43"/>
      <c r="I1076" s="43"/>
    </row>
    <row r="1077" ht="12.75" customHeight="1">
      <c r="A1077" s="48" t="s">
        <v>44</v>
      </c>
      <c r="B1077" s="48" t="s">
        <v>28</v>
      </c>
      <c r="C1077" s="48" t="s">
        <v>64</v>
      </c>
      <c r="D1077" s="48" t="s">
        <v>50</v>
      </c>
      <c r="E1077" s="48"/>
      <c r="F1077" s="48">
        <v>-296.1</v>
      </c>
      <c r="G1077" s="43"/>
      <c r="H1077" s="43"/>
      <c r="I1077" s="43"/>
    </row>
    <row r="1078" ht="12.75" customHeight="1">
      <c r="A1078" s="48" t="s">
        <v>44</v>
      </c>
      <c r="B1078" s="48" t="s">
        <v>28</v>
      </c>
      <c r="C1078" s="48" t="s">
        <v>64</v>
      </c>
      <c r="D1078" s="48" t="s">
        <v>50</v>
      </c>
      <c r="E1078" s="48"/>
      <c r="F1078" s="48">
        <v>-592.2</v>
      </c>
      <c r="G1078" s="43"/>
      <c r="H1078" s="43"/>
      <c r="I1078" s="43"/>
    </row>
    <row r="1079" ht="12.75" customHeight="1">
      <c r="A1079" s="48" t="s">
        <v>44</v>
      </c>
      <c r="B1079" s="48" t="s">
        <v>28</v>
      </c>
      <c r="C1079" s="48" t="s">
        <v>64</v>
      </c>
      <c r="D1079" s="48" t="s">
        <v>50</v>
      </c>
      <c r="E1079" s="48"/>
      <c r="F1079" s="48">
        <v>-634.5</v>
      </c>
      <c r="G1079" s="43"/>
      <c r="H1079" s="43"/>
      <c r="I1079" s="43"/>
    </row>
    <row r="1080" ht="12.75" customHeight="1">
      <c r="A1080" s="48" t="s">
        <v>44</v>
      </c>
      <c r="B1080" s="48" t="s">
        <v>28</v>
      </c>
      <c r="C1080" s="48" t="s">
        <v>64</v>
      </c>
      <c r="D1080" s="48" t="s">
        <v>50</v>
      </c>
      <c r="E1080" s="48"/>
      <c r="F1080" s="48">
        <v>-3017.4</v>
      </c>
      <c r="G1080" s="43"/>
      <c r="H1080" s="43"/>
      <c r="I1080" s="43"/>
    </row>
    <row r="1081" ht="12.75" customHeight="1">
      <c r="A1081" s="48" t="s">
        <v>44</v>
      </c>
      <c r="B1081" s="48" t="s">
        <v>28</v>
      </c>
      <c r="C1081" s="48" t="s">
        <v>64</v>
      </c>
      <c r="D1081" s="48" t="s">
        <v>50</v>
      </c>
      <c r="E1081" s="48"/>
      <c r="F1081" s="48">
        <v>-155.1</v>
      </c>
      <c r="G1081" s="43"/>
      <c r="H1081" s="43"/>
      <c r="I1081" s="43"/>
    </row>
    <row r="1082" ht="12.75" customHeight="1">
      <c r="A1082" s="48" t="s">
        <v>44</v>
      </c>
      <c r="B1082" s="48" t="s">
        <v>28</v>
      </c>
      <c r="C1082" s="48" t="s">
        <v>64</v>
      </c>
      <c r="D1082" s="48" t="s">
        <v>50</v>
      </c>
      <c r="E1082" s="48"/>
      <c r="F1082" s="48">
        <v>-1776.6000000000001</v>
      </c>
      <c r="G1082" s="43"/>
      <c r="H1082" s="43"/>
      <c r="I1082" s="43"/>
    </row>
    <row r="1083" ht="12.75" customHeight="1">
      <c r="A1083" s="48" t="s">
        <v>44</v>
      </c>
      <c r="B1083" s="48" t="s">
        <v>28</v>
      </c>
      <c r="C1083" s="48" t="s">
        <v>64</v>
      </c>
      <c r="D1083" s="48" t="s">
        <v>50</v>
      </c>
      <c r="E1083" s="48"/>
      <c r="F1083" s="48">
        <v>-592.2</v>
      </c>
      <c r="G1083" s="43"/>
      <c r="H1083" s="43"/>
      <c r="I1083" s="43"/>
    </row>
    <row r="1084" ht="12.75" customHeight="1">
      <c r="A1084" s="48" t="s">
        <v>44</v>
      </c>
      <c r="B1084" s="48" t="s">
        <v>28</v>
      </c>
      <c r="C1084" s="48" t="s">
        <v>64</v>
      </c>
      <c r="D1084" s="48" t="s">
        <v>50</v>
      </c>
      <c r="E1084" s="48"/>
      <c r="F1084" s="48">
        <v>-5494.3</v>
      </c>
      <c r="G1084" s="43"/>
      <c r="H1084" s="43"/>
      <c r="I1084" s="43"/>
    </row>
    <row r="1085" ht="12.75" customHeight="1">
      <c r="A1085" s="48" t="s">
        <v>44</v>
      </c>
      <c r="B1085" s="48" t="s">
        <v>28</v>
      </c>
      <c r="C1085" s="48" t="s">
        <v>64</v>
      </c>
      <c r="D1085" s="48" t="s">
        <v>50</v>
      </c>
      <c r="E1085" s="48"/>
      <c r="F1085" s="48">
        <v>-634.5</v>
      </c>
      <c r="G1085" s="43"/>
      <c r="H1085" s="43"/>
      <c r="I1085" s="43"/>
    </row>
    <row r="1086" ht="12.75" customHeight="1">
      <c r="A1086" s="48" t="s">
        <v>44</v>
      </c>
      <c r="B1086" s="48" t="s">
        <v>28</v>
      </c>
      <c r="C1086" s="48" t="s">
        <v>64</v>
      </c>
      <c r="D1086" s="48" t="s">
        <v>50</v>
      </c>
      <c r="E1086" s="48"/>
      <c r="F1086" s="48">
        <v>-1565.1000000000001</v>
      </c>
      <c r="G1086" s="43"/>
      <c r="H1086" s="43"/>
      <c r="I1086" s="43"/>
    </row>
    <row r="1087" ht="12.75" customHeight="1">
      <c r="A1087" s="48" t="s">
        <v>44</v>
      </c>
      <c r="B1087" s="48" t="s">
        <v>28</v>
      </c>
      <c r="C1087" s="48" t="s">
        <v>64</v>
      </c>
      <c r="D1087" s="48" t="s">
        <v>50</v>
      </c>
      <c r="E1087" s="48"/>
      <c r="F1087" s="48">
        <v>-5781.0</v>
      </c>
      <c r="G1087" s="43"/>
      <c r="H1087" s="43"/>
      <c r="I1087" s="43"/>
    </row>
    <row r="1088" ht="12.75" customHeight="1">
      <c r="A1088" s="48" t="s">
        <v>44</v>
      </c>
      <c r="B1088" s="48" t="s">
        <v>28</v>
      </c>
      <c r="C1088" s="48" t="s">
        <v>64</v>
      </c>
      <c r="D1088" s="48" t="s">
        <v>50</v>
      </c>
      <c r="E1088" s="48"/>
      <c r="F1088" s="48">
        <v>-5531.900000000001</v>
      </c>
      <c r="G1088" s="43"/>
      <c r="H1088" s="43"/>
      <c r="I1088" s="43"/>
    </row>
    <row r="1089" ht="12.75" customHeight="1">
      <c r="A1089" s="48" t="s">
        <v>44</v>
      </c>
      <c r="B1089" s="48" t="s">
        <v>28</v>
      </c>
      <c r="C1089" s="48" t="s">
        <v>64</v>
      </c>
      <c r="D1089" s="48" t="s">
        <v>50</v>
      </c>
      <c r="E1089" s="48"/>
      <c r="F1089" s="48">
        <v>-2072.7000000000003</v>
      </c>
      <c r="G1089" s="43"/>
      <c r="H1089" s="43"/>
      <c r="I1089" s="43"/>
    </row>
    <row r="1090" ht="12.75" customHeight="1">
      <c r="A1090" s="48" t="s">
        <v>44</v>
      </c>
      <c r="B1090" s="48" t="s">
        <v>28</v>
      </c>
      <c r="C1090" s="48" t="s">
        <v>64</v>
      </c>
      <c r="D1090" s="48" t="s">
        <v>50</v>
      </c>
      <c r="E1090" s="48"/>
      <c r="F1090" s="48">
        <v>-592.2</v>
      </c>
      <c r="G1090" s="43"/>
      <c r="H1090" s="43"/>
      <c r="I1090" s="43"/>
    </row>
    <row r="1091" ht="12.75" customHeight="1">
      <c r="A1091" s="48" t="s">
        <v>44</v>
      </c>
      <c r="B1091" s="48" t="s">
        <v>28</v>
      </c>
      <c r="C1091" s="48" t="s">
        <v>64</v>
      </c>
      <c r="D1091" s="48" t="s">
        <v>50</v>
      </c>
      <c r="E1091" s="48"/>
      <c r="F1091" s="48">
        <v>-361.90000000000003</v>
      </c>
      <c r="G1091" s="43"/>
      <c r="H1091" s="43"/>
      <c r="I1091" s="43"/>
    </row>
    <row r="1092" ht="12.75" customHeight="1">
      <c r="A1092" s="48" t="s">
        <v>44</v>
      </c>
      <c r="B1092" s="48" t="s">
        <v>28</v>
      </c>
      <c r="C1092" s="48" t="s">
        <v>64</v>
      </c>
      <c r="D1092" s="48" t="s">
        <v>50</v>
      </c>
      <c r="E1092" s="48"/>
      <c r="F1092" s="48">
        <v>-272.6</v>
      </c>
      <c r="G1092" s="43"/>
      <c r="H1092" s="43"/>
      <c r="I1092" s="43"/>
    </row>
    <row r="1093" ht="12.75" customHeight="1">
      <c r="A1093" s="48" t="s">
        <v>44</v>
      </c>
      <c r="B1093" s="48" t="s">
        <v>28</v>
      </c>
      <c r="C1093" s="48" t="s">
        <v>64</v>
      </c>
      <c r="D1093" s="48" t="s">
        <v>50</v>
      </c>
      <c r="E1093" s="48"/>
      <c r="F1093" s="48">
        <v>-155.1</v>
      </c>
      <c r="G1093" s="43"/>
      <c r="H1093" s="43"/>
      <c r="I1093" s="43"/>
    </row>
    <row r="1094" ht="12.75" customHeight="1">
      <c r="A1094" s="48" t="s">
        <v>44</v>
      </c>
      <c r="B1094" s="48" t="s">
        <v>28</v>
      </c>
      <c r="C1094" s="48" t="s">
        <v>64</v>
      </c>
      <c r="D1094" s="48" t="s">
        <v>50</v>
      </c>
      <c r="E1094" s="48"/>
      <c r="F1094" s="48">
        <v>-300.8</v>
      </c>
      <c r="G1094" s="43"/>
      <c r="H1094" s="43"/>
      <c r="I1094" s="43"/>
    </row>
    <row r="1095" ht="12.75" customHeight="1">
      <c r="A1095" s="48" t="s">
        <v>44</v>
      </c>
      <c r="B1095" s="48" t="s">
        <v>28</v>
      </c>
      <c r="C1095" s="48" t="s">
        <v>64</v>
      </c>
      <c r="D1095" s="48" t="s">
        <v>50</v>
      </c>
      <c r="E1095" s="48"/>
      <c r="F1095" s="48">
        <v>-84.60000000000001</v>
      </c>
      <c r="G1095" s="43"/>
      <c r="H1095" s="43"/>
      <c r="I1095" s="43"/>
    </row>
    <row r="1096" ht="12.75" customHeight="1">
      <c r="A1096" s="48" t="s">
        <v>44</v>
      </c>
      <c r="B1096" s="48" t="s">
        <v>28</v>
      </c>
      <c r="C1096" s="48" t="s">
        <v>64</v>
      </c>
      <c r="D1096" s="48" t="s">
        <v>50</v>
      </c>
      <c r="E1096" s="48"/>
      <c r="F1096" s="48">
        <v>-3694.2000000000003</v>
      </c>
      <c r="G1096" s="43"/>
      <c r="H1096" s="43"/>
      <c r="I1096" s="43"/>
    </row>
    <row r="1097" ht="12.75" customHeight="1">
      <c r="A1097" s="48" t="s">
        <v>44</v>
      </c>
      <c r="B1097" s="48" t="s">
        <v>28</v>
      </c>
      <c r="C1097" s="48" t="s">
        <v>64</v>
      </c>
      <c r="D1097" s="48" t="s">
        <v>50</v>
      </c>
      <c r="E1097" s="48"/>
      <c r="F1097" s="48">
        <v>-6030.1</v>
      </c>
      <c r="G1097" s="43"/>
      <c r="H1097" s="43"/>
      <c r="I1097" s="43"/>
    </row>
    <row r="1098" ht="12.75" customHeight="1">
      <c r="A1098" s="48" t="s">
        <v>44</v>
      </c>
      <c r="B1098" s="48" t="s">
        <v>28</v>
      </c>
      <c r="C1098" s="48" t="s">
        <v>64</v>
      </c>
      <c r="D1098" s="48" t="s">
        <v>50</v>
      </c>
      <c r="E1098" s="48"/>
      <c r="F1098" s="48">
        <v>-98.7</v>
      </c>
      <c r="G1098" s="43"/>
      <c r="H1098" s="43"/>
      <c r="I1098" s="43"/>
    </row>
    <row r="1099" ht="12.75" customHeight="1">
      <c r="A1099" s="48" t="s">
        <v>44</v>
      </c>
      <c r="B1099" s="48" t="s">
        <v>28</v>
      </c>
      <c r="C1099" s="48" t="s">
        <v>64</v>
      </c>
      <c r="D1099" s="48" t="s">
        <v>50</v>
      </c>
      <c r="E1099" s="48"/>
      <c r="F1099" s="48">
        <v>-4892.7</v>
      </c>
      <c r="G1099" s="43"/>
      <c r="H1099" s="43"/>
      <c r="I1099" s="43"/>
    </row>
    <row r="1100" ht="12.75" customHeight="1">
      <c r="A1100" s="48" t="s">
        <v>44</v>
      </c>
      <c r="B1100" s="48" t="s">
        <v>28</v>
      </c>
      <c r="C1100" s="48" t="s">
        <v>64</v>
      </c>
      <c r="D1100" s="48" t="s">
        <v>50</v>
      </c>
      <c r="E1100" s="48"/>
      <c r="F1100" s="48">
        <v>-352.5</v>
      </c>
      <c r="G1100" s="43"/>
      <c r="H1100" s="43"/>
      <c r="I1100" s="43"/>
    </row>
    <row r="1101" ht="12.75" customHeight="1">
      <c r="A1101" s="48" t="s">
        <v>44</v>
      </c>
      <c r="B1101" s="48" t="s">
        <v>28</v>
      </c>
      <c r="C1101" s="48" t="s">
        <v>64</v>
      </c>
      <c r="D1101" s="48" t="s">
        <v>50</v>
      </c>
      <c r="E1101" s="48"/>
      <c r="F1101" s="48">
        <v>-3214.8</v>
      </c>
      <c r="G1101" s="43"/>
      <c r="H1101" s="43"/>
      <c r="I1101" s="43"/>
    </row>
    <row r="1102" ht="12.75" customHeight="1">
      <c r="A1102" s="48" t="s">
        <v>44</v>
      </c>
      <c r="B1102" s="48" t="s">
        <v>28</v>
      </c>
      <c r="C1102" s="48" t="s">
        <v>64</v>
      </c>
      <c r="D1102" s="48" t="s">
        <v>50</v>
      </c>
      <c r="E1102" s="48"/>
      <c r="F1102" s="48">
        <v>-592.2</v>
      </c>
      <c r="G1102" s="43"/>
      <c r="H1102" s="43"/>
      <c r="I1102" s="43"/>
    </row>
    <row r="1103" ht="12.75" customHeight="1">
      <c r="A1103" s="48" t="s">
        <v>44</v>
      </c>
      <c r="B1103" s="48" t="s">
        <v>28</v>
      </c>
      <c r="C1103" s="48" t="s">
        <v>64</v>
      </c>
      <c r="D1103" s="48" t="s">
        <v>50</v>
      </c>
      <c r="E1103" s="48"/>
      <c r="F1103" s="48">
        <v>-761.4</v>
      </c>
      <c r="G1103" s="43"/>
      <c r="H1103" s="43"/>
      <c r="I1103" s="43"/>
    </row>
    <row r="1104" ht="12.75" customHeight="1">
      <c r="A1104" s="48" t="s">
        <v>44</v>
      </c>
      <c r="B1104" s="48" t="s">
        <v>28</v>
      </c>
      <c r="C1104" s="48" t="s">
        <v>64</v>
      </c>
      <c r="D1104" s="48" t="s">
        <v>50</v>
      </c>
      <c r="E1104" s="48"/>
      <c r="F1104" s="48">
        <v>-272.6</v>
      </c>
      <c r="G1104" s="43"/>
      <c r="H1104" s="43"/>
      <c r="I1104" s="43"/>
    </row>
    <row r="1105" ht="12.75" customHeight="1">
      <c r="A1105" s="48" t="s">
        <v>44</v>
      </c>
      <c r="B1105" s="48" t="s">
        <v>28</v>
      </c>
      <c r="C1105" s="48" t="s">
        <v>64</v>
      </c>
      <c r="D1105" s="48" t="s">
        <v>50</v>
      </c>
      <c r="E1105" s="48"/>
      <c r="F1105" s="48">
        <v>-437.1</v>
      </c>
      <c r="G1105" s="43"/>
      <c r="H1105" s="43"/>
      <c r="I1105" s="43"/>
    </row>
    <row r="1106" ht="12.75" customHeight="1">
      <c r="A1106" s="48" t="s">
        <v>44</v>
      </c>
      <c r="B1106" s="48" t="s">
        <v>28</v>
      </c>
      <c r="C1106" s="48" t="s">
        <v>64</v>
      </c>
      <c r="D1106" s="48" t="s">
        <v>50</v>
      </c>
      <c r="E1106" s="48"/>
      <c r="F1106" s="48">
        <v>-451.20000000000005</v>
      </c>
      <c r="G1106" s="43"/>
      <c r="H1106" s="43"/>
      <c r="I1106" s="43"/>
    </row>
    <row r="1107" ht="12.75" customHeight="1">
      <c r="A1107" s="48" t="s">
        <v>44</v>
      </c>
      <c r="B1107" s="48" t="s">
        <v>28</v>
      </c>
      <c r="C1107" s="48" t="s">
        <v>64</v>
      </c>
      <c r="D1107" s="48" t="s">
        <v>50</v>
      </c>
      <c r="E1107" s="48"/>
      <c r="F1107" s="48">
        <v>-592.2</v>
      </c>
      <c r="G1107" s="43"/>
      <c r="H1107" s="43"/>
      <c r="I1107" s="43"/>
    </row>
    <row r="1108" ht="12.75" customHeight="1">
      <c r="A1108" s="48" t="s">
        <v>44</v>
      </c>
      <c r="B1108" s="48" t="s">
        <v>28</v>
      </c>
      <c r="C1108" s="48" t="s">
        <v>64</v>
      </c>
      <c r="D1108" s="48" t="s">
        <v>50</v>
      </c>
      <c r="E1108" s="48"/>
      <c r="F1108" s="48">
        <v>-7101.7</v>
      </c>
      <c r="G1108" s="43"/>
      <c r="H1108" s="43"/>
      <c r="I1108" s="43"/>
    </row>
    <row r="1109" ht="12.75" customHeight="1">
      <c r="A1109" s="48" t="s">
        <v>44</v>
      </c>
      <c r="B1109" s="48" t="s">
        <v>28</v>
      </c>
      <c r="C1109" s="48" t="s">
        <v>64</v>
      </c>
      <c r="D1109" s="48" t="s">
        <v>50</v>
      </c>
      <c r="E1109" s="48"/>
      <c r="F1109" s="48">
        <v>-380.7</v>
      </c>
      <c r="G1109" s="43"/>
      <c r="H1109" s="43"/>
      <c r="I1109" s="43"/>
    </row>
    <row r="1110" ht="12.75" customHeight="1">
      <c r="A1110" s="48" t="s">
        <v>44</v>
      </c>
      <c r="B1110" s="48" t="s">
        <v>28</v>
      </c>
      <c r="C1110" s="48" t="s">
        <v>64</v>
      </c>
      <c r="D1110" s="48" t="s">
        <v>50</v>
      </c>
      <c r="E1110" s="48"/>
      <c r="F1110" s="48">
        <v>-592.2</v>
      </c>
      <c r="G1110" s="43"/>
      <c r="H1110" s="43"/>
      <c r="I1110" s="43"/>
    </row>
    <row r="1111" ht="12.75" customHeight="1">
      <c r="A1111" s="48" t="s">
        <v>44</v>
      </c>
      <c r="B1111" s="48" t="s">
        <v>28</v>
      </c>
      <c r="C1111" s="48" t="s">
        <v>64</v>
      </c>
      <c r="D1111" s="48" t="s">
        <v>50</v>
      </c>
      <c r="E1111" s="48"/>
      <c r="F1111" s="48">
        <v>-225.60000000000002</v>
      </c>
      <c r="G1111" s="43"/>
      <c r="H1111" s="43"/>
      <c r="I1111" s="43"/>
    </row>
    <row r="1112" ht="12.75" customHeight="1">
      <c r="A1112" s="48" t="s">
        <v>44</v>
      </c>
      <c r="B1112" s="48" t="s">
        <v>28</v>
      </c>
      <c r="C1112" s="48" t="s">
        <v>64</v>
      </c>
      <c r="D1112" s="48" t="s">
        <v>50</v>
      </c>
      <c r="E1112" s="48"/>
      <c r="F1112" s="48">
        <v>-836.6</v>
      </c>
      <c r="G1112" s="43"/>
      <c r="H1112" s="43"/>
      <c r="I1112" s="43"/>
    </row>
    <row r="1113" ht="12.75" customHeight="1">
      <c r="A1113" s="48" t="s">
        <v>44</v>
      </c>
      <c r="B1113" s="48" t="s">
        <v>28</v>
      </c>
      <c r="C1113" s="48" t="s">
        <v>64</v>
      </c>
      <c r="D1113" s="48" t="s">
        <v>50</v>
      </c>
      <c r="E1113" s="48"/>
      <c r="F1113" s="48">
        <v>-5033.7</v>
      </c>
      <c r="G1113" s="43"/>
      <c r="H1113" s="43"/>
      <c r="I1113" s="43"/>
    </row>
    <row r="1114" ht="12.75" customHeight="1">
      <c r="A1114" s="48" t="s">
        <v>44</v>
      </c>
      <c r="B1114" s="48" t="s">
        <v>28</v>
      </c>
      <c r="C1114" s="48" t="s">
        <v>64</v>
      </c>
      <c r="D1114" s="48" t="s">
        <v>50</v>
      </c>
      <c r="E1114" s="48"/>
      <c r="F1114" s="48">
        <v>-4573.1</v>
      </c>
      <c r="G1114" s="43"/>
      <c r="H1114" s="43"/>
      <c r="I1114" s="43"/>
    </row>
    <row r="1115" ht="12.75" customHeight="1">
      <c r="A1115" s="48" t="s">
        <v>44</v>
      </c>
      <c r="B1115" s="48" t="s">
        <v>28</v>
      </c>
      <c r="C1115" s="48" t="s">
        <v>64</v>
      </c>
      <c r="D1115" s="48" t="s">
        <v>50</v>
      </c>
      <c r="E1115" s="48"/>
      <c r="F1115" s="48">
        <v>-592.2</v>
      </c>
      <c r="G1115" s="43"/>
      <c r="H1115" s="43"/>
      <c r="I1115" s="43"/>
    </row>
    <row r="1116" ht="12.75" customHeight="1">
      <c r="A1116" s="48" t="s">
        <v>44</v>
      </c>
      <c r="B1116" s="48" t="s">
        <v>28</v>
      </c>
      <c r="C1116" s="48" t="s">
        <v>64</v>
      </c>
      <c r="D1116" s="48" t="s">
        <v>50</v>
      </c>
      <c r="E1116" s="48"/>
      <c r="F1116" s="48">
        <v>-493.5</v>
      </c>
      <c r="G1116" s="43"/>
      <c r="H1116" s="43"/>
      <c r="I1116" s="43"/>
    </row>
    <row r="1117" ht="12.75" customHeight="1">
      <c r="A1117" s="48" t="s">
        <v>44</v>
      </c>
      <c r="B1117" s="48" t="s">
        <v>28</v>
      </c>
      <c r="C1117" s="48" t="s">
        <v>64</v>
      </c>
      <c r="D1117" s="48" t="s">
        <v>50</v>
      </c>
      <c r="E1117" s="48"/>
      <c r="F1117" s="48">
        <v>-6796.2</v>
      </c>
      <c r="G1117" s="43"/>
      <c r="H1117" s="43"/>
      <c r="I1117" s="43"/>
    </row>
    <row r="1118" ht="12.75" customHeight="1">
      <c r="A1118" s="48" t="s">
        <v>44</v>
      </c>
      <c r="B1118" s="48" t="s">
        <v>28</v>
      </c>
      <c r="C1118" s="48" t="s">
        <v>64</v>
      </c>
      <c r="D1118" s="48" t="s">
        <v>50</v>
      </c>
      <c r="E1118" s="48"/>
      <c r="F1118" s="48">
        <v>-7957.1</v>
      </c>
      <c r="G1118" s="43"/>
      <c r="H1118" s="43"/>
      <c r="I1118" s="43"/>
    </row>
    <row r="1119" ht="12.75" customHeight="1">
      <c r="A1119" s="48" t="s">
        <v>44</v>
      </c>
      <c r="B1119" s="48" t="s">
        <v>28</v>
      </c>
      <c r="C1119" s="48" t="s">
        <v>64</v>
      </c>
      <c r="D1119" s="48" t="s">
        <v>50</v>
      </c>
      <c r="E1119" s="48"/>
      <c r="F1119" s="48">
        <v>-5343.900000000001</v>
      </c>
      <c r="G1119" s="43"/>
      <c r="H1119" s="43"/>
      <c r="I1119" s="43"/>
    </row>
    <row r="1120" ht="12.75" customHeight="1">
      <c r="A1120" s="48" t="s">
        <v>44</v>
      </c>
      <c r="B1120" s="48" t="s">
        <v>28</v>
      </c>
      <c r="C1120" s="48" t="s">
        <v>64</v>
      </c>
      <c r="D1120" s="48" t="s">
        <v>50</v>
      </c>
      <c r="E1120" s="48"/>
      <c r="F1120" s="48">
        <v>-3449.8</v>
      </c>
      <c r="G1120" s="43"/>
      <c r="H1120" s="43"/>
      <c r="I1120" s="43"/>
    </row>
    <row r="1121" ht="12.75" customHeight="1">
      <c r="A1121" s="48" t="s">
        <v>44</v>
      </c>
      <c r="B1121" s="48" t="s">
        <v>28</v>
      </c>
      <c r="C1121" s="48" t="s">
        <v>64</v>
      </c>
      <c r="D1121" s="48" t="s">
        <v>50</v>
      </c>
      <c r="E1121" s="48"/>
      <c r="F1121" s="48">
        <v>-784.9</v>
      </c>
      <c r="G1121" s="43"/>
      <c r="H1121" s="43"/>
      <c r="I1121" s="43"/>
    </row>
    <row r="1122" ht="12.75" customHeight="1">
      <c r="A1122" s="48" t="s">
        <v>44</v>
      </c>
      <c r="B1122" s="48" t="s">
        <v>28</v>
      </c>
      <c r="C1122" s="48" t="s">
        <v>64</v>
      </c>
      <c r="D1122" s="48" t="s">
        <v>50</v>
      </c>
      <c r="E1122" s="48"/>
      <c r="F1122" s="48">
        <v>413.6</v>
      </c>
      <c r="G1122" s="43"/>
      <c r="H1122" s="43"/>
      <c r="I1122" s="43"/>
    </row>
    <row r="1123" ht="12.75" customHeight="1">
      <c r="A1123" s="48" t="s">
        <v>44</v>
      </c>
      <c r="B1123" s="48" t="s">
        <v>28</v>
      </c>
      <c r="C1123" s="48" t="s">
        <v>64</v>
      </c>
      <c r="D1123" s="48" t="s">
        <v>50</v>
      </c>
      <c r="E1123" s="48"/>
      <c r="F1123" s="48">
        <v>-5917.3</v>
      </c>
      <c r="G1123" s="43"/>
      <c r="H1123" s="43"/>
      <c r="I1123" s="43"/>
    </row>
    <row r="1124" ht="12.75" customHeight="1">
      <c r="A1124" s="48" t="s">
        <v>44</v>
      </c>
      <c r="B1124" s="48" t="s">
        <v>28</v>
      </c>
      <c r="C1124" s="48" t="s">
        <v>64</v>
      </c>
      <c r="D1124" s="48" t="s">
        <v>50</v>
      </c>
      <c r="E1124" s="48"/>
      <c r="F1124" s="48">
        <v>-6796.2</v>
      </c>
      <c r="G1124" s="43"/>
      <c r="H1124" s="43"/>
      <c r="I1124" s="43"/>
    </row>
    <row r="1125" ht="12.75" customHeight="1">
      <c r="A1125" s="48" t="s">
        <v>44</v>
      </c>
      <c r="B1125" s="48" t="s">
        <v>28</v>
      </c>
      <c r="C1125" s="48" t="s">
        <v>64</v>
      </c>
      <c r="D1125" s="48" t="s">
        <v>50</v>
      </c>
      <c r="E1125" s="48"/>
      <c r="F1125" s="48">
        <v>-5174.7</v>
      </c>
      <c r="G1125" s="43"/>
      <c r="H1125" s="43"/>
      <c r="I1125" s="43"/>
    </row>
    <row r="1126" ht="12.75" customHeight="1">
      <c r="A1126" s="48" t="s">
        <v>44</v>
      </c>
      <c r="B1126" s="48" t="s">
        <v>28</v>
      </c>
      <c r="C1126" s="48" t="s">
        <v>64</v>
      </c>
      <c r="D1126" s="48" t="s">
        <v>50</v>
      </c>
      <c r="E1126" s="48"/>
      <c r="F1126" s="48">
        <v>-2744.8</v>
      </c>
      <c r="G1126" s="43"/>
      <c r="H1126" s="43"/>
      <c r="I1126" s="43"/>
    </row>
    <row r="1127" ht="12.75" customHeight="1">
      <c r="A1127" s="48" t="s">
        <v>44</v>
      </c>
      <c r="B1127" s="48" t="s">
        <v>28</v>
      </c>
      <c r="C1127" s="48" t="s">
        <v>64</v>
      </c>
      <c r="D1127" s="48" t="s">
        <v>50</v>
      </c>
      <c r="E1127" s="48"/>
      <c r="F1127" s="48">
        <v>-84.60000000000001</v>
      </c>
      <c r="G1127" s="43"/>
      <c r="H1127" s="43"/>
      <c r="I1127" s="43"/>
    </row>
    <row r="1128" ht="12.75" customHeight="1">
      <c r="A1128" s="48" t="s">
        <v>44</v>
      </c>
      <c r="B1128" s="48" t="s">
        <v>28</v>
      </c>
      <c r="C1128" s="48" t="s">
        <v>64</v>
      </c>
      <c r="D1128" s="48" t="s">
        <v>50</v>
      </c>
      <c r="E1128" s="48"/>
      <c r="F1128" s="48">
        <v>-5174.7</v>
      </c>
      <c r="G1128" s="43"/>
      <c r="H1128" s="43"/>
      <c r="I1128" s="43"/>
    </row>
    <row r="1129" ht="12.75" customHeight="1">
      <c r="A1129" s="48" t="s">
        <v>44</v>
      </c>
      <c r="B1129" s="48" t="s">
        <v>28</v>
      </c>
      <c r="C1129" s="48" t="s">
        <v>64</v>
      </c>
      <c r="D1129" s="48" t="s">
        <v>50</v>
      </c>
      <c r="E1129" s="48"/>
      <c r="F1129" s="48">
        <v>-244.4</v>
      </c>
      <c r="G1129" s="43"/>
      <c r="H1129" s="43"/>
      <c r="I1129" s="43"/>
    </row>
    <row r="1130" ht="12.75" customHeight="1">
      <c r="A1130" s="48" t="s">
        <v>44</v>
      </c>
      <c r="B1130" s="48" t="s">
        <v>28</v>
      </c>
      <c r="C1130" s="48" t="s">
        <v>64</v>
      </c>
      <c r="D1130" s="48" t="s">
        <v>50</v>
      </c>
      <c r="E1130" s="48"/>
      <c r="F1130" s="48">
        <v>-451.20000000000005</v>
      </c>
      <c r="G1130" s="43"/>
      <c r="H1130" s="43"/>
      <c r="I1130" s="43"/>
    </row>
    <row r="1131" ht="12.75" customHeight="1">
      <c r="A1131" s="48" t="s">
        <v>44</v>
      </c>
      <c r="B1131" s="48" t="s">
        <v>28</v>
      </c>
      <c r="C1131" s="48" t="s">
        <v>64</v>
      </c>
      <c r="D1131" s="48" t="s">
        <v>50</v>
      </c>
      <c r="E1131" s="48"/>
      <c r="F1131" s="48">
        <v>-253.8</v>
      </c>
      <c r="G1131" s="43"/>
      <c r="H1131" s="43"/>
      <c r="I1131" s="43"/>
    </row>
    <row r="1132" ht="12.75" customHeight="1">
      <c r="A1132" s="48" t="s">
        <v>44</v>
      </c>
      <c r="B1132" s="48" t="s">
        <v>28</v>
      </c>
      <c r="C1132" s="48" t="s">
        <v>64</v>
      </c>
      <c r="D1132" s="48" t="s">
        <v>50</v>
      </c>
      <c r="E1132" s="48"/>
      <c r="F1132" s="48">
        <v>3821.1000000000004</v>
      </c>
      <c r="G1132" s="43"/>
      <c r="H1132" s="43"/>
      <c r="I1132" s="43"/>
    </row>
    <row r="1133" ht="12.75" customHeight="1">
      <c r="A1133" s="48" t="s">
        <v>44</v>
      </c>
      <c r="B1133" s="48" t="s">
        <v>28</v>
      </c>
      <c r="C1133" s="48" t="s">
        <v>64</v>
      </c>
      <c r="D1133" s="48" t="s">
        <v>50</v>
      </c>
      <c r="E1133" s="48"/>
      <c r="F1133" s="48">
        <v>-1287.8</v>
      </c>
      <c r="G1133" s="43"/>
      <c r="H1133" s="43"/>
      <c r="I1133" s="43"/>
    </row>
    <row r="1134" ht="12.75" customHeight="1">
      <c r="A1134" s="48" t="s">
        <v>44</v>
      </c>
      <c r="B1134" s="48" t="s">
        <v>28</v>
      </c>
      <c r="C1134" s="48" t="s">
        <v>64</v>
      </c>
      <c r="D1134" s="48" t="s">
        <v>50</v>
      </c>
      <c r="E1134" s="48"/>
      <c r="F1134" s="48">
        <v>-56.400000000000006</v>
      </c>
      <c r="G1134" s="43"/>
      <c r="H1134" s="43"/>
      <c r="I1134" s="43"/>
    </row>
    <row r="1135" ht="12.75" customHeight="1">
      <c r="A1135" s="48" t="s">
        <v>44</v>
      </c>
      <c r="B1135" s="48" t="s">
        <v>28</v>
      </c>
      <c r="C1135" s="48" t="s">
        <v>64</v>
      </c>
      <c r="D1135" s="48" t="s">
        <v>50</v>
      </c>
      <c r="E1135" s="48"/>
      <c r="F1135" s="48">
        <v>-361.90000000000003</v>
      </c>
      <c r="G1135" s="43"/>
      <c r="H1135" s="43"/>
      <c r="I1135" s="43"/>
    </row>
    <row r="1136" ht="12.75" customHeight="1">
      <c r="A1136" s="48" t="s">
        <v>44</v>
      </c>
      <c r="B1136" s="48" t="s">
        <v>28</v>
      </c>
      <c r="C1136" s="48" t="s">
        <v>64</v>
      </c>
      <c r="D1136" s="48" t="s">
        <v>50</v>
      </c>
      <c r="E1136" s="48"/>
      <c r="F1136" s="48">
        <v>-592.2</v>
      </c>
      <c r="G1136" s="43"/>
      <c r="H1136" s="43"/>
      <c r="I1136" s="43"/>
    </row>
    <row r="1137" ht="12.75" customHeight="1">
      <c r="A1137" s="48" t="s">
        <v>44</v>
      </c>
      <c r="B1137" s="48" t="s">
        <v>28</v>
      </c>
      <c r="C1137" s="48" t="s">
        <v>64</v>
      </c>
      <c r="D1137" s="48" t="s">
        <v>50</v>
      </c>
      <c r="E1137" s="48"/>
      <c r="F1137" s="48">
        <v>-98.7</v>
      </c>
      <c r="G1137" s="43"/>
      <c r="H1137" s="43"/>
      <c r="I1137" s="43"/>
    </row>
    <row r="1138" ht="12.75" customHeight="1">
      <c r="A1138" s="48" t="s">
        <v>44</v>
      </c>
      <c r="B1138" s="48" t="s">
        <v>28</v>
      </c>
      <c r="C1138" s="48" t="s">
        <v>64</v>
      </c>
      <c r="D1138" s="48" t="s">
        <v>50</v>
      </c>
      <c r="E1138" s="48"/>
      <c r="F1138" s="48">
        <v>-1508.7</v>
      </c>
      <c r="G1138" s="43"/>
      <c r="H1138" s="43"/>
      <c r="I1138" s="43"/>
    </row>
    <row r="1139" ht="12.75" customHeight="1">
      <c r="A1139" s="48" t="s">
        <v>44</v>
      </c>
      <c r="B1139" s="48" t="s">
        <v>28</v>
      </c>
      <c r="C1139" s="48" t="s">
        <v>64</v>
      </c>
      <c r="D1139" s="48" t="s">
        <v>50</v>
      </c>
      <c r="E1139" s="48"/>
      <c r="F1139" s="48">
        <v>-155.1</v>
      </c>
      <c r="G1139" s="43"/>
      <c r="H1139" s="43"/>
      <c r="I1139" s="43"/>
    </row>
    <row r="1140" ht="12.75" customHeight="1">
      <c r="A1140" s="48" t="s">
        <v>44</v>
      </c>
      <c r="B1140" s="48" t="s">
        <v>28</v>
      </c>
      <c r="C1140" s="48" t="s">
        <v>64</v>
      </c>
      <c r="D1140" s="48" t="s">
        <v>50</v>
      </c>
      <c r="E1140" s="48"/>
      <c r="F1140" s="48">
        <v>-296.1</v>
      </c>
      <c r="G1140" s="43"/>
      <c r="H1140" s="43"/>
      <c r="I1140" s="43"/>
    </row>
    <row r="1141" ht="12.75" customHeight="1">
      <c r="A1141" s="48" t="s">
        <v>44</v>
      </c>
      <c r="B1141" s="48" t="s">
        <v>28</v>
      </c>
      <c r="C1141" s="48" t="s">
        <v>64</v>
      </c>
      <c r="D1141" s="48" t="s">
        <v>50</v>
      </c>
      <c r="E1141" s="48"/>
      <c r="F1141" s="48">
        <v>-549.9</v>
      </c>
      <c r="G1141" s="43"/>
      <c r="H1141" s="43"/>
      <c r="I1141" s="43"/>
    </row>
    <row r="1142" ht="12.75" customHeight="1">
      <c r="A1142" s="48" t="s">
        <v>44</v>
      </c>
      <c r="B1142" s="48" t="s">
        <v>28</v>
      </c>
      <c r="C1142" s="48" t="s">
        <v>64</v>
      </c>
      <c r="D1142" s="48" t="s">
        <v>50</v>
      </c>
      <c r="E1142" s="48"/>
      <c r="F1142" s="48">
        <v>-592.2</v>
      </c>
      <c r="G1142" s="43"/>
      <c r="H1142" s="43"/>
      <c r="I1142" s="43"/>
    </row>
    <row r="1143" ht="12.75" customHeight="1">
      <c r="A1143" s="48" t="s">
        <v>44</v>
      </c>
      <c r="B1143" s="48" t="s">
        <v>28</v>
      </c>
      <c r="C1143" s="48" t="s">
        <v>64</v>
      </c>
      <c r="D1143" s="48" t="s">
        <v>50</v>
      </c>
      <c r="E1143" s="48"/>
      <c r="F1143" s="48">
        <v>-408.90000000000003</v>
      </c>
      <c r="G1143" s="43"/>
      <c r="H1143" s="43"/>
      <c r="I1143" s="43"/>
    </row>
    <row r="1144" ht="12.75" customHeight="1">
      <c r="A1144" s="48" t="s">
        <v>44</v>
      </c>
      <c r="B1144" s="48" t="s">
        <v>28</v>
      </c>
      <c r="C1144" s="48" t="s">
        <v>64</v>
      </c>
      <c r="D1144" s="48" t="s">
        <v>50</v>
      </c>
      <c r="E1144" s="48"/>
      <c r="F1144" s="48">
        <v>-4892.7</v>
      </c>
      <c r="G1144" s="43"/>
      <c r="H1144" s="43"/>
      <c r="I1144" s="43"/>
    </row>
    <row r="1145" ht="12.75" customHeight="1">
      <c r="A1145" s="48" t="s">
        <v>44</v>
      </c>
      <c r="B1145" s="48" t="s">
        <v>28</v>
      </c>
      <c r="C1145" s="48" t="s">
        <v>64</v>
      </c>
      <c r="D1145" s="48" t="s">
        <v>50</v>
      </c>
      <c r="E1145" s="48"/>
      <c r="F1145" s="48">
        <v>-408.90000000000003</v>
      </c>
      <c r="G1145" s="43"/>
      <c r="H1145" s="43"/>
      <c r="I1145" s="43"/>
    </row>
    <row r="1146" ht="12.75" customHeight="1">
      <c r="A1146" s="48" t="s">
        <v>44</v>
      </c>
      <c r="B1146" s="48" t="s">
        <v>28</v>
      </c>
      <c r="C1146" s="48" t="s">
        <v>64</v>
      </c>
      <c r="D1146" s="48" t="s">
        <v>50</v>
      </c>
      <c r="E1146" s="48"/>
      <c r="F1146" s="48">
        <v>-592.2</v>
      </c>
      <c r="G1146" s="43"/>
      <c r="H1146" s="43"/>
      <c r="I1146" s="43"/>
    </row>
    <row r="1147" ht="12.75" customHeight="1">
      <c r="A1147" s="48" t="s">
        <v>44</v>
      </c>
      <c r="B1147" s="48" t="s">
        <v>28</v>
      </c>
      <c r="C1147" s="48" t="s">
        <v>64</v>
      </c>
      <c r="D1147" s="48" t="s">
        <v>50</v>
      </c>
      <c r="E1147" s="48"/>
      <c r="F1147" s="48">
        <v>-296.1</v>
      </c>
      <c r="G1147" s="43"/>
      <c r="H1147" s="43"/>
      <c r="I1147" s="43"/>
    </row>
    <row r="1148" ht="12.75" customHeight="1">
      <c r="A1148" s="48" t="s">
        <v>44</v>
      </c>
      <c r="B1148" s="48" t="s">
        <v>28</v>
      </c>
      <c r="C1148" s="48" t="s">
        <v>64</v>
      </c>
      <c r="D1148" s="48" t="s">
        <v>50</v>
      </c>
      <c r="E1148" s="48"/>
      <c r="F1148" s="48">
        <v>-592.2</v>
      </c>
      <c r="G1148" s="43"/>
      <c r="H1148" s="43"/>
      <c r="I1148" s="43"/>
    </row>
    <row r="1149" ht="12.75" customHeight="1">
      <c r="A1149" s="48" t="s">
        <v>44</v>
      </c>
      <c r="B1149" s="48" t="s">
        <v>28</v>
      </c>
      <c r="C1149" s="48" t="s">
        <v>64</v>
      </c>
      <c r="D1149" s="48" t="s">
        <v>50</v>
      </c>
      <c r="E1149" s="48"/>
      <c r="F1149" s="48">
        <v>-1565.1000000000001</v>
      </c>
      <c r="G1149" s="43"/>
      <c r="H1149" s="43"/>
      <c r="I1149" s="43"/>
    </row>
    <row r="1150" ht="12.75" customHeight="1">
      <c r="A1150" s="48" t="s">
        <v>44</v>
      </c>
      <c r="B1150" s="48" t="s">
        <v>28</v>
      </c>
      <c r="C1150" s="48" t="s">
        <v>64</v>
      </c>
      <c r="D1150" s="48" t="s">
        <v>50</v>
      </c>
      <c r="E1150" s="48"/>
      <c r="F1150" s="48">
        <v>-1419.4</v>
      </c>
      <c r="G1150" s="43"/>
      <c r="H1150" s="43"/>
      <c r="I1150" s="43"/>
    </row>
    <row r="1151" ht="12.75" customHeight="1">
      <c r="A1151" s="48" t="s">
        <v>44</v>
      </c>
      <c r="B1151" s="48" t="s">
        <v>28</v>
      </c>
      <c r="C1151" s="48" t="s">
        <v>68</v>
      </c>
      <c r="D1151" s="48" t="s">
        <v>58</v>
      </c>
      <c r="E1151" s="48"/>
      <c r="F1151" s="48">
        <v>75077.8</v>
      </c>
      <c r="G1151" s="43"/>
      <c r="H1151" s="43"/>
      <c r="I1151" s="43"/>
    </row>
    <row r="1152" ht="12.75" customHeight="1">
      <c r="A1152" s="48" t="s">
        <v>44</v>
      </c>
      <c r="B1152" s="48" t="s">
        <v>28</v>
      </c>
      <c r="C1152" s="48" t="s">
        <v>68</v>
      </c>
      <c r="D1152" s="48" t="s">
        <v>8</v>
      </c>
      <c r="E1152" s="48"/>
      <c r="F1152" s="48">
        <v>0.0</v>
      </c>
      <c r="G1152" s="43"/>
      <c r="H1152" s="43"/>
      <c r="I1152" s="43"/>
    </row>
    <row r="1153" ht="12.75" customHeight="1">
      <c r="A1153" s="48" t="s">
        <v>44</v>
      </c>
      <c r="B1153" s="48" t="s">
        <v>28</v>
      </c>
      <c r="C1153" s="48" t="s">
        <v>68</v>
      </c>
      <c r="D1153" s="48" t="s">
        <v>8</v>
      </c>
      <c r="E1153" s="48"/>
      <c r="F1153" s="48">
        <v>0.0</v>
      </c>
      <c r="G1153" s="43"/>
      <c r="H1153" s="43"/>
      <c r="I1153" s="43"/>
    </row>
    <row r="1154" ht="12.75" customHeight="1">
      <c r="A1154" s="48" t="s">
        <v>44</v>
      </c>
      <c r="B1154" s="48" t="s">
        <v>28</v>
      </c>
      <c r="C1154" s="48" t="s">
        <v>68</v>
      </c>
      <c r="D1154" s="48" t="s">
        <v>8</v>
      </c>
      <c r="E1154" s="48"/>
      <c r="F1154" s="48">
        <v>11059.1</v>
      </c>
      <c r="G1154" s="43"/>
      <c r="H1154" s="43"/>
      <c r="I1154" s="43"/>
    </row>
    <row r="1155" ht="12.75" customHeight="1">
      <c r="A1155" s="48" t="s">
        <v>44</v>
      </c>
      <c r="B1155" s="48" t="s">
        <v>28</v>
      </c>
      <c r="C1155" s="48" t="s">
        <v>68</v>
      </c>
      <c r="D1155" s="48" t="s">
        <v>8</v>
      </c>
      <c r="E1155" s="48"/>
      <c r="F1155" s="48">
        <v>0.0</v>
      </c>
      <c r="G1155" s="43"/>
      <c r="H1155" s="43"/>
      <c r="I1155" s="43"/>
    </row>
    <row r="1156" ht="12.75" customHeight="1">
      <c r="A1156" s="48" t="s">
        <v>44</v>
      </c>
      <c r="B1156" s="48" t="s">
        <v>28</v>
      </c>
      <c r="C1156" s="48" t="s">
        <v>68</v>
      </c>
      <c r="D1156" s="48" t="s">
        <v>8</v>
      </c>
      <c r="E1156" s="48"/>
      <c r="F1156" s="48">
        <v>158004.6</v>
      </c>
      <c r="G1156" s="43"/>
      <c r="H1156" s="43"/>
      <c r="I1156" s="43"/>
    </row>
    <row r="1157" ht="12.75" customHeight="1">
      <c r="A1157" s="48" t="s">
        <v>44</v>
      </c>
      <c r="B1157" s="48" t="s">
        <v>28</v>
      </c>
      <c r="C1157" s="48" t="s">
        <v>68</v>
      </c>
      <c r="D1157" s="48" t="s">
        <v>54</v>
      </c>
      <c r="E1157" s="48"/>
      <c r="F1157" s="48">
        <v>0.0</v>
      </c>
      <c r="G1157" s="43"/>
      <c r="H1157" s="43"/>
      <c r="I1157" s="43"/>
    </row>
    <row r="1158" ht="12.75" customHeight="1">
      <c r="A1158" s="48" t="s">
        <v>44</v>
      </c>
      <c r="B1158" s="48" t="s">
        <v>28</v>
      </c>
      <c r="C1158" s="48" t="s">
        <v>68</v>
      </c>
      <c r="D1158" s="48" t="s">
        <v>54</v>
      </c>
      <c r="E1158" s="48"/>
      <c r="F1158" s="48">
        <v>101289.7</v>
      </c>
      <c r="G1158" s="43"/>
      <c r="H1158" s="43"/>
      <c r="I1158" s="43"/>
    </row>
    <row r="1159" ht="12.75" customHeight="1">
      <c r="A1159" s="48" t="s">
        <v>44</v>
      </c>
      <c r="B1159" s="48" t="s">
        <v>28</v>
      </c>
      <c r="C1159" s="48" t="s">
        <v>68</v>
      </c>
      <c r="D1159" s="48" t="s">
        <v>54</v>
      </c>
      <c r="E1159" s="48"/>
      <c r="F1159" s="48">
        <v>592.2</v>
      </c>
      <c r="G1159" s="43"/>
      <c r="H1159" s="43"/>
      <c r="I1159" s="43"/>
    </row>
    <row r="1160" ht="12.75" customHeight="1">
      <c r="A1160" s="48" t="s">
        <v>44</v>
      </c>
      <c r="B1160" s="48" t="s">
        <v>28</v>
      </c>
      <c r="C1160" s="48" t="s">
        <v>68</v>
      </c>
      <c r="D1160" s="48" t="s">
        <v>49</v>
      </c>
      <c r="E1160" s="48"/>
      <c r="F1160" s="48">
        <v>0.0</v>
      </c>
      <c r="G1160" s="43"/>
      <c r="H1160" s="43"/>
      <c r="I1160" s="43"/>
    </row>
    <row r="1161" ht="12.75" customHeight="1">
      <c r="A1161" s="48" t="s">
        <v>44</v>
      </c>
      <c r="B1161" s="48" t="s">
        <v>28</v>
      </c>
      <c r="C1161" s="48" t="s">
        <v>68</v>
      </c>
      <c r="D1161" s="48" t="s">
        <v>49</v>
      </c>
      <c r="E1161" s="48"/>
      <c r="F1161" s="48">
        <v>0.0</v>
      </c>
      <c r="G1161" s="43"/>
      <c r="H1161" s="43"/>
      <c r="I1161" s="43"/>
    </row>
    <row r="1162" ht="12.75" customHeight="1">
      <c r="A1162" s="48" t="s">
        <v>44</v>
      </c>
      <c r="B1162" s="48" t="s">
        <v>28</v>
      </c>
      <c r="C1162" s="48" t="s">
        <v>68</v>
      </c>
      <c r="D1162" s="48" t="s">
        <v>49</v>
      </c>
      <c r="E1162" s="48"/>
      <c r="F1162" s="48">
        <v>2542.7000000000003</v>
      </c>
      <c r="G1162" s="43"/>
      <c r="H1162" s="43"/>
      <c r="I1162" s="43"/>
    </row>
    <row r="1163" ht="12.75" customHeight="1">
      <c r="A1163" s="48" t="s">
        <v>44</v>
      </c>
      <c r="B1163" s="48" t="s">
        <v>28</v>
      </c>
      <c r="C1163" s="48" t="s">
        <v>68</v>
      </c>
      <c r="D1163" s="48" t="s">
        <v>49</v>
      </c>
      <c r="E1163" s="48"/>
      <c r="F1163" s="48">
        <v>14447.800000000001</v>
      </c>
      <c r="G1163" s="43"/>
      <c r="H1163" s="43"/>
      <c r="I1163" s="43"/>
    </row>
    <row r="1164" ht="12.75" customHeight="1">
      <c r="A1164" s="48" t="s">
        <v>44</v>
      </c>
      <c r="B1164" s="48" t="s">
        <v>28</v>
      </c>
      <c r="C1164" s="48" t="s">
        <v>68</v>
      </c>
      <c r="D1164" s="48" t="s">
        <v>50</v>
      </c>
      <c r="E1164" s="48"/>
      <c r="F1164" s="48">
        <v>10072.1</v>
      </c>
      <c r="G1164" s="43"/>
      <c r="H1164" s="43"/>
      <c r="I1164" s="43"/>
    </row>
    <row r="1165" ht="12.75" customHeight="1">
      <c r="A1165" s="48" t="s">
        <v>44</v>
      </c>
      <c r="B1165" s="48" t="s">
        <v>28</v>
      </c>
      <c r="C1165" s="48" t="s">
        <v>68</v>
      </c>
      <c r="D1165" s="48" t="s">
        <v>50</v>
      </c>
      <c r="E1165" s="48"/>
      <c r="F1165" s="48">
        <v>14913.1</v>
      </c>
      <c r="G1165" s="43"/>
      <c r="H1165" s="43"/>
      <c r="I1165" s="43"/>
    </row>
    <row r="1166" ht="12.75" customHeight="1">
      <c r="A1166" s="48" t="s">
        <v>44</v>
      </c>
      <c r="B1166" s="48" t="s">
        <v>28</v>
      </c>
      <c r="C1166" s="48" t="s">
        <v>68</v>
      </c>
      <c r="D1166" s="48" t="s">
        <v>50</v>
      </c>
      <c r="E1166" s="48"/>
      <c r="F1166" s="48">
        <v>54651.6</v>
      </c>
      <c r="G1166" s="43"/>
      <c r="H1166" s="43"/>
      <c r="I1166" s="43"/>
    </row>
    <row r="1167" ht="12.75" customHeight="1">
      <c r="A1167" s="48" t="s">
        <v>44</v>
      </c>
      <c r="B1167" s="48" t="s">
        <v>28</v>
      </c>
      <c r="C1167" s="48" t="s">
        <v>68</v>
      </c>
      <c r="D1167" s="48" t="s">
        <v>50</v>
      </c>
      <c r="E1167" s="48"/>
      <c r="F1167" s="48">
        <v>0.0</v>
      </c>
      <c r="G1167" s="43"/>
      <c r="H1167" s="43"/>
      <c r="I1167" s="43"/>
    </row>
    <row r="1168" ht="12.75" customHeight="1">
      <c r="A1168" s="48" t="s">
        <v>44</v>
      </c>
      <c r="B1168" s="48" t="s">
        <v>28</v>
      </c>
      <c r="C1168" s="48" t="s">
        <v>68</v>
      </c>
      <c r="D1168" s="48" t="s">
        <v>50</v>
      </c>
      <c r="E1168" s="48"/>
      <c r="F1168" s="48">
        <v>5231.1</v>
      </c>
      <c r="G1168" s="43"/>
      <c r="H1168" s="43"/>
      <c r="I1168" s="43"/>
    </row>
    <row r="1169" ht="12.75" customHeight="1">
      <c r="A1169" s="48" t="s">
        <v>44</v>
      </c>
      <c r="B1169" s="48" t="s">
        <v>28</v>
      </c>
      <c r="C1169" s="48" t="s">
        <v>68</v>
      </c>
      <c r="D1169" s="48" t="s">
        <v>50</v>
      </c>
      <c r="E1169" s="48"/>
      <c r="F1169" s="48">
        <v>4554.3</v>
      </c>
      <c r="G1169" s="43"/>
      <c r="H1169" s="43"/>
      <c r="I1169" s="43"/>
    </row>
    <row r="1170" ht="12.75" customHeight="1">
      <c r="A1170" s="48" t="s">
        <v>44</v>
      </c>
      <c r="B1170" s="48" t="s">
        <v>28</v>
      </c>
      <c r="C1170" s="48" t="s">
        <v>68</v>
      </c>
      <c r="D1170" s="48" t="s">
        <v>50</v>
      </c>
      <c r="E1170" s="48"/>
      <c r="F1170" s="48">
        <v>9432.9</v>
      </c>
      <c r="G1170" s="43"/>
      <c r="H1170" s="43"/>
      <c r="I1170" s="43"/>
    </row>
    <row r="1171" ht="12.75" customHeight="1">
      <c r="A1171" s="48" t="s">
        <v>44</v>
      </c>
      <c r="B1171" s="48" t="s">
        <v>28</v>
      </c>
      <c r="C1171" s="48" t="s">
        <v>68</v>
      </c>
      <c r="D1171" s="48" t="s">
        <v>47</v>
      </c>
      <c r="E1171" s="48"/>
      <c r="F1171" s="48">
        <v>74593.7</v>
      </c>
      <c r="G1171" s="43"/>
      <c r="H1171" s="43"/>
      <c r="I1171" s="43"/>
    </row>
    <row r="1172" ht="12.75" customHeight="1">
      <c r="A1172" s="48" t="s">
        <v>44</v>
      </c>
      <c r="B1172" s="48" t="s">
        <v>28</v>
      </c>
      <c r="C1172" s="48" t="s">
        <v>68</v>
      </c>
      <c r="D1172" s="48" t="s">
        <v>47</v>
      </c>
      <c r="E1172" s="48"/>
      <c r="F1172" s="48">
        <v>-5757.5</v>
      </c>
      <c r="G1172" s="43"/>
      <c r="H1172" s="43"/>
      <c r="I1172" s="43"/>
    </row>
    <row r="1173" ht="12.75" customHeight="1">
      <c r="A1173" s="48" t="s">
        <v>44</v>
      </c>
      <c r="B1173" s="48" t="s">
        <v>28</v>
      </c>
      <c r="C1173" s="48" t="s">
        <v>68</v>
      </c>
      <c r="D1173" s="48" t="s">
        <v>47</v>
      </c>
      <c r="E1173" s="48"/>
      <c r="F1173" s="48">
        <v>5757.5</v>
      </c>
      <c r="G1173" s="43"/>
      <c r="H1173" s="43"/>
      <c r="I1173" s="43"/>
    </row>
    <row r="1174" ht="12.75" customHeight="1">
      <c r="A1174" s="48" t="s">
        <v>44</v>
      </c>
      <c r="B1174" s="48" t="s">
        <v>28</v>
      </c>
      <c r="C1174" s="48" t="s">
        <v>69</v>
      </c>
      <c r="D1174" s="48" t="s">
        <v>58</v>
      </c>
      <c r="E1174" s="48"/>
      <c r="F1174" s="48">
        <v>18494.5</v>
      </c>
      <c r="G1174" s="43"/>
      <c r="H1174" s="43"/>
      <c r="I1174" s="43"/>
    </row>
    <row r="1175" ht="12.75" customHeight="1">
      <c r="A1175" s="48" t="s">
        <v>44</v>
      </c>
      <c r="B1175" s="48" t="s">
        <v>28</v>
      </c>
      <c r="C1175" s="48" t="s">
        <v>69</v>
      </c>
      <c r="D1175" s="48" t="s">
        <v>58</v>
      </c>
      <c r="E1175" s="48"/>
      <c r="F1175" s="48">
        <v>0.0</v>
      </c>
      <c r="G1175" s="43"/>
      <c r="H1175" s="43"/>
      <c r="I1175" s="43"/>
    </row>
    <row r="1176" ht="12.75" customHeight="1">
      <c r="A1176" s="48" t="s">
        <v>44</v>
      </c>
      <c r="B1176" s="48" t="s">
        <v>28</v>
      </c>
      <c r="C1176" s="48" t="s">
        <v>69</v>
      </c>
      <c r="D1176" s="48" t="s">
        <v>58</v>
      </c>
      <c r="E1176" s="48"/>
      <c r="F1176" s="48">
        <v>0.0</v>
      </c>
      <c r="G1176" s="43"/>
      <c r="H1176" s="43"/>
      <c r="I1176" s="43"/>
    </row>
    <row r="1177" ht="12.75" customHeight="1">
      <c r="A1177" s="48" t="s">
        <v>44</v>
      </c>
      <c r="B1177" s="48" t="s">
        <v>28</v>
      </c>
      <c r="C1177" s="48" t="s">
        <v>69</v>
      </c>
      <c r="D1177" s="48" t="s">
        <v>8</v>
      </c>
      <c r="E1177" s="48"/>
      <c r="F1177" s="48">
        <v>32754.300000000003</v>
      </c>
      <c r="G1177" s="43"/>
      <c r="H1177" s="43"/>
      <c r="I1177" s="43"/>
    </row>
    <row r="1178" ht="12.75" customHeight="1">
      <c r="A1178" s="48" t="s">
        <v>44</v>
      </c>
      <c r="B1178" s="48" t="s">
        <v>28</v>
      </c>
      <c r="C1178" s="48" t="s">
        <v>69</v>
      </c>
      <c r="D1178" s="48" t="s">
        <v>8</v>
      </c>
      <c r="E1178" s="48"/>
      <c r="F1178" s="48">
        <v>1762.5</v>
      </c>
      <c r="G1178" s="43"/>
      <c r="H1178" s="43"/>
      <c r="I1178" s="43"/>
    </row>
    <row r="1179" ht="12.75" customHeight="1">
      <c r="A1179" s="48" t="s">
        <v>44</v>
      </c>
      <c r="B1179" s="48" t="s">
        <v>28</v>
      </c>
      <c r="C1179" s="48" t="s">
        <v>69</v>
      </c>
      <c r="D1179" s="48" t="s">
        <v>6</v>
      </c>
      <c r="E1179" s="48"/>
      <c r="F1179" s="48">
        <v>6584.7</v>
      </c>
      <c r="G1179" s="43"/>
      <c r="H1179" s="43"/>
      <c r="I1179" s="43"/>
    </row>
    <row r="1180" ht="12.75" customHeight="1">
      <c r="A1180" s="48" t="s">
        <v>44</v>
      </c>
      <c r="B1180" s="48" t="s">
        <v>28</v>
      </c>
      <c r="C1180" s="48" t="s">
        <v>69</v>
      </c>
      <c r="D1180" s="48" t="s">
        <v>6</v>
      </c>
      <c r="E1180" s="48"/>
      <c r="F1180" s="48">
        <v>44697.0</v>
      </c>
      <c r="G1180" s="43"/>
      <c r="H1180" s="43"/>
      <c r="I1180" s="43"/>
    </row>
    <row r="1181" ht="12.75" customHeight="1">
      <c r="A1181" s="48" t="s">
        <v>44</v>
      </c>
      <c r="B1181" s="48" t="s">
        <v>28</v>
      </c>
      <c r="C1181" s="48" t="s">
        <v>69</v>
      </c>
      <c r="D1181" s="48" t="s">
        <v>6</v>
      </c>
      <c r="E1181" s="48"/>
      <c r="F1181" s="48">
        <v>5522.5</v>
      </c>
      <c r="G1181" s="43"/>
      <c r="H1181" s="43"/>
      <c r="I1181" s="43"/>
    </row>
    <row r="1182" ht="12.75" customHeight="1">
      <c r="A1182" s="48" t="s">
        <v>44</v>
      </c>
      <c r="B1182" s="48" t="s">
        <v>28</v>
      </c>
      <c r="C1182" s="48" t="s">
        <v>69</v>
      </c>
      <c r="D1182" s="48" t="s">
        <v>54</v>
      </c>
      <c r="E1182" s="48"/>
      <c r="F1182" s="48">
        <v>-723.8000000000001</v>
      </c>
      <c r="G1182" s="43"/>
      <c r="H1182" s="43"/>
      <c r="I1182" s="43"/>
    </row>
    <row r="1183" ht="12.75" customHeight="1">
      <c r="A1183" s="48" t="s">
        <v>44</v>
      </c>
      <c r="B1183" s="48" t="s">
        <v>28</v>
      </c>
      <c r="C1183" s="48" t="s">
        <v>69</v>
      </c>
      <c r="D1183" s="48" t="s">
        <v>54</v>
      </c>
      <c r="E1183" s="48"/>
      <c r="F1183" s="48">
        <v>2585.0</v>
      </c>
      <c r="G1183" s="43"/>
      <c r="H1183" s="43"/>
      <c r="I1183" s="43"/>
    </row>
    <row r="1184" ht="12.75" customHeight="1">
      <c r="A1184" s="48" t="s">
        <v>44</v>
      </c>
      <c r="B1184" s="48" t="s">
        <v>28</v>
      </c>
      <c r="C1184" s="48" t="s">
        <v>69</v>
      </c>
      <c r="D1184" s="48" t="s">
        <v>54</v>
      </c>
      <c r="E1184" s="48"/>
      <c r="F1184" s="48">
        <v>1184.4</v>
      </c>
      <c r="G1184" s="43"/>
      <c r="H1184" s="43"/>
      <c r="I1184" s="43"/>
    </row>
    <row r="1185" ht="12.75" customHeight="1">
      <c r="A1185" s="48" t="s">
        <v>44</v>
      </c>
      <c r="B1185" s="48" t="s">
        <v>28</v>
      </c>
      <c r="C1185" s="48" t="s">
        <v>69</v>
      </c>
      <c r="D1185" s="48" t="s">
        <v>54</v>
      </c>
      <c r="E1185" s="48"/>
      <c r="F1185" s="48">
        <v>104936.90000000001</v>
      </c>
      <c r="G1185" s="43"/>
      <c r="H1185" s="43"/>
      <c r="I1185" s="43"/>
    </row>
    <row r="1186" ht="12.75" customHeight="1">
      <c r="A1186" s="48" t="s">
        <v>44</v>
      </c>
      <c r="B1186" s="48" t="s">
        <v>28</v>
      </c>
      <c r="C1186" s="48" t="s">
        <v>69</v>
      </c>
      <c r="D1186" s="48" t="s">
        <v>49</v>
      </c>
      <c r="E1186" s="48"/>
      <c r="F1186" s="48">
        <v>105750.0</v>
      </c>
      <c r="G1186" s="43"/>
      <c r="H1186" s="43"/>
      <c r="I1186" s="43"/>
    </row>
    <row r="1187" ht="12.75" customHeight="1">
      <c r="A1187" s="48" t="s">
        <v>44</v>
      </c>
      <c r="B1187" s="48" t="s">
        <v>28</v>
      </c>
      <c r="C1187" s="48" t="s">
        <v>69</v>
      </c>
      <c r="D1187" s="48" t="s">
        <v>49</v>
      </c>
      <c r="E1187" s="48"/>
      <c r="F1187" s="48">
        <v>24440.0</v>
      </c>
      <c r="G1187" s="43"/>
      <c r="H1187" s="43"/>
      <c r="I1187" s="43"/>
    </row>
    <row r="1188" ht="12.75" customHeight="1">
      <c r="A1188" s="48" t="s">
        <v>44</v>
      </c>
      <c r="B1188" s="48" t="s">
        <v>28</v>
      </c>
      <c r="C1188" s="48" t="s">
        <v>69</v>
      </c>
      <c r="D1188" s="48" t="s">
        <v>49</v>
      </c>
      <c r="E1188" s="48"/>
      <c r="F1188" s="48">
        <v>0.0</v>
      </c>
      <c r="G1188" s="43"/>
      <c r="H1188" s="43"/>
      <c r="I1188" s="43"/>
    </row>
    <row r="1189" ht="12.75" customHeight="1">
      <c r="A1189" s="48" t="s">
        <v>44</v>
      </c>
      <c r="B1189" s="48" t="s">
        <v>28</v>
      </c>
      <c r="C1189" s="48" t="s">
        <v>69</v>
      </c>
      <c r="D1189" s="48" t="s">
        <v>49</v>
      </c>
      <c r="E1189" s="48"/>
      <c r="F1189" s="48">
        <v>11985.0</v>
      </c>
      <c r="G1189" s="43"/>
      <c r="H1189" s="43"/>
      <c r="I1189" s="43"/>
    </row>
    <row r="1190" ht="12.75" customHeight="1">
      <c r="A1190" s="48" t="s">
        <v>44</v>
      </c>
      <c r="B1190" s="48" t="s">
        <v>28</v>
      </c>
      <c r="C1190" s="48" t="s">
        <v>69</v>
      </c>
      <c r="D1190" s="48" t="s">
        <v>49</v>
      </c>
      <c r="E1190" s="48"/>
      <c r="F1190" s="48">
        <v>386575.0</v>
      </c>
      <c r="G1190" s="43"/>
      <c r="H1190" s="43"/>
      <c r="I1190" s="43"/>
    </row>
    <row r="1191" ht="12.75" customHeight="1">
      <c r="A1191" s="48" t="s">
        <v>44</v>
      </c>
      <c r="B1191" s="48" t="s">
        <v>28</v>
      </c>
      <c r="C1191" s="48" t="s">
        <v>69</v>
      </c>
      <c r="D1191" s="48" t="s">
        <v>49</v>
      </c>
      <c r="E1191" s="48"/>
      <c r="F1191" s="48">
        <v>309213.0</v>
      </c>
      <c r="G1191" s="43"/>
      <c r="H1191" s="43"/>
      <c r="I1191" s="43"/>
    </row>
    <row r="1192" ht="12.75" customHeight="1">
      <c r="A1192" s="48" t="s">
        <v>44</v>
      </c>
      <c r="B1192" s="48" t="s">
        <v>28</v>
      </c>
      <c r="C1192" s="48" t="s">
        <v>69</v>
      </c>
      <c r="D1192" s="48" t="s">
        <v>49</v>
      </c>
      <c r="E1192" s="48"/>
      <c r="F1192" s="48">
        <v>52875.0</v>
      </c>
      <c r="G1192" s="43"/>
      <c r="H1192" s="43"/>
      <c r="I1192" s="43"/>
    </row>
    <row r="1193" ht="12.75" customHeight="1">
      <c r="A1193" s="48" t="s">
        <v>44</v>
      </c>
      <c r="B1193" s="48" t="s">
        <v>28</v>
      </c>
      <c r="C1193" s="48" t="s">
        <v>69</v>
      </c>
      <c r="D1193" s="48" t="s">
        <v>49</v>
      </c>
      <c r="E1193" s="48"/>
      <c r="F1193" s="48">
        <v>64625.0</v>
      </c>
      <c r="G1193" s="43"/>
      <c r="H1193" s="43"/>
      <c r="I1193" s="43"/>
    </row>
    <row r="1194" ht="12.75" customHeight="1">
      <c r="A1194" s="48" t="s">
        <v>44</v>
      </c>
      <c r="B1194" s="48" t="s">
        <v>28</v>
      </c>
      <c r="C1194" s="48" t="s">
        <v>69</v>
      </c>
      <c r="D1194" s="48" t="s">
        <v>49</v>
      </c>
      <c r="E1194" s="48"/>
      <c r="F1194" s="48">
        <v>0.0</v>
      </c>
      <c r="G1194" s="43"/>
      <c r="H1194" s="43"/>
      <c r="I1194" s="43"/>
    </row>
    <row r="1195" ht="12.75" customHeight="1">
      <c r="A1195" s="48" t="s">
        <v>44</v>
      </c>
      <c r="B1195" s="48" t="s">
        <v>28</v>
      </c>
      <c r="C1195" s="48" t="s">
        <v>69</v>
      </c>
      <c r="D1195" s="48" t="s">
        <v>49</v>
      </c>
      <c r="E1195" s="48"/>
      <c r="F1195" s="48">
        <v>28200.0</v>
      </c>
      <c r="G1195" s="43"/>
      <c r="H1195" s="43"/>
      <c r="I1195" s="43"/>
    </row>
    <row r="1196" ht="12.75" customHeight="1">
      <c r="A1196" s="48" t="s">
        <v>44</v>
      </c>
      <c r="B1196" s="48" t="s">
        <v>28</v>
      </c>
      <c r="C1196" s="48" t="s">
        <v>69</v>
      </c>
      <c r="D1196" s="48" t="s">
        <v>49</v>
      </c>
      <c r="E1196" s="48"/>
      <c r="F1196" s="48">
        <v>44062.5</v>
      </c>
      <c r="G1196" s="43"/>
      <c r="H1196" s="43"/>
      <c r="I1196" s="43"/>
    </row>
    <row r="1197" ht="12.75" customHeight="1">
      <c r="A1197" s="48" t="s">
        <v>44</v>
      </c>
      <c r="B1197" s="48" t="s">
        <v>28</v>
      </c>
      <c r="C1197" s="48" t="s">
        <v>69</v>
      </c>
      <c r="D1197" s="48" t="s">
        <v>49</v>
      </c>
      <c r="E1197" s="48"/>
      <c r="F1197" s="48">
        <v>2820.0</v>
      </c>
      <c r="G1197" s="43"/>
      <c r="H1197" s="43"/>
      <c r="I1197" s="43"/>
    </row>
    <row r="1198" ht="12.75" customHeight="1">
      <c r="A1198" s="48" t="s">
        <v>44</v>
      </c>
      <c r="B1198" s="48" t="s">
        <v>28</v>
      </c>
      <c r="C1198" s="48" t="s">
        <v>69</v>
      </c>
      <c r="D1198" s="48" t="s">
        <v>49</v>
      </c>
      <c r="E1198" s="48"/>
      <c r="F1198" s="48">
        <v>52875.0</v>
      </c>
      <c r="G1198" s="43"/>
      <c r="H1198" s="43"/>
      <c r="I1198" s="43"/>
    </row>
    <row r="1199" ht="12.75" customHeight="1">
      <c r="A1199" s="48" t="s">
        <v>44</v>
      </c>
      <c r="B1199" s="48" t="s">
        <v>28</v>
      </c>
      <c r="C1199" s="48" t="s">
        <v>69</v>
      </c>
      <c r="D1199" s="48" t="s">
        <v>49</v>
      </c>
      <c r="E1199" s="48"/>
      <c r="F1199" s="48">
        <v>58754.700000000004</v>
      </c>
      <c r="G1199" s="43"/>
      <c r="H1199" s="43"/>
      <c r="I1199" s="43"/>
    </row>
    <row r="1200" ht="12.75" customHeight="1">
      <c r="A1200" s="48" t="s">
        <v>44</v>
      </c>
      <c r="B1200" s="48" t="s">
        <v>28</v>
      </c>
      <c r="C1200" s="48" t="s">
        <v>69</v>
      </c>
      <c r="D1200" s="48" t="s">
        <v>49</v>
      </c>
      <c r="E1200" s="48"/>
      <c r="F1200" s="48">
        <v>681279.1</v>
      </c>
      <c r="G1200" s="43"/>
      <c r="H1200" s="43"/>
      <c r="I1200" s="43"/>
    </row>
    <row r="1201" ht="12.75" customHeight="1">
      <c r="A1201" s="48" t="s">
        <v>44</v>
      </c>
      <c r="B1201" s="48" t="s">
        <v>28</v>
      </c>
      <c r="C1201" s="48" t="s">
        <v>69</v>
      </c>
      <c r="D1201" s="48" t="s">
        <v>49</v>
      </c>
      <c r="E1201" s="48"/>
      <c r="F1201" s="48">
        <v>146184.1</v>
      </c>
      <c r="G1201" s="43"/>
      <c r="H1201" s="43"/>
      <c r="I1201" s="43"/>
    </row>
    <row r="1202" ht="12.75" customHeight="1">
      <c r="A1202" s="48" t="s">
        <v>44</v>
      </c>
      <c r="B1202" s="48" t="s">
        <v>28</v>
      </c>
      <c r="C1202" s="48" t="s">
        <v>69</v>
      </c>
      <c r="D1202" s="48" t="s">
        <v>50</v>
      </c>
      <c r="E1202" s="48"/>
      <c r="F1202" s="48">
        <v>17690.8</v>
      </c>
      <c r="G1202" s="43"/>
      <c r="H1202" s="43"/>
      <c r="I1202" s="43"/>
    </row>
    <row r="1203" ht="12.75" customHeight="1">
      <c r="A1203" s="48" t="s">
        <v>44</v>
      </c>
      <c r="B1203" s="48" t="s">
        <v>28</v>
      </c>
      <c r="C1203" s="48" t="s">
        <v>69</v>
      </c>
      <c r="D1203" s="48" t="s">
        <v>50</v>
      </c>
      <c r="E1203" s="48"/>
      <c r="F1203" s="48">
        <v>21568.3</v>
      </c>
      <c r="G1203" s="43"/>
      <c r="H1203" s="43"/>
      <c r="I1203" s="43"/>
    </row>
    <row r="1204" ht="12.75" customHeight="1">
      <c r="A1204" s="48" t="s">
        <v>44</v>
      </c>
      <c r="B1204" s="48" t="s">
        <v>28</v>
      </c>
      <c r="C1204" s="48" t="s">
        <v>69</v>
      </c>
      <c r="D1204" s="48" t="s">
        <v>50</v>
      </c>
      <c r="E1204" s="48"/>
      <c r="F1204" s="48">
        <v>21967.8</v>
      </c>
      <c r="G1204" s="43"/>
      <c r="H1204" s="43"/>
      <c r="I1204" s="43"/>
    </row>
    <row r="1205" ht="12.75" customHeight="1">
      <c r="A1205" s="48" t="s">
        <v>44</v>
      </c>
      <c r="B1205" s="48" t="s">
        <v>28</v>
      </c>
      <c r="C1205" s="48" t="s">
        <v>69</v>
      </c>
      <c r="D1205" s="48" t="s">
        <v>50</v>
      </c>
      <c r="E1205" s="48"/>
      <c r="F1205" s="48">
        <v>175413.4</v>
      </c>
      <c r="G1205" s="43"/>
      <c r="H1205" s="43"/>
      <c r="I1205" s="43"/>
    </row>
    <row r="1206" ht="12.75" customHeight="1">
      <c r="A1206" s="48" t="s">
        <v>44</v>
      </c>
      <c r="B1206" s="48" t="s">
        <v>28</v>
      </c>
      <c r="C1206" s="48" t="s">
        <v>69</v>
      </c>
      <c r="D1206" s="48" t="s">
        <v>50</v>
      </c>
      <c r="E1206" s="48"/>
      <c r="F1206" s="48">
        <v>10593.800000000001</v>
      </c>
      <c r="G1206" s="43"/>
      <c r="H1206" s="43"/>
      <c r="I1206" s="43"/>
    </row>
    <row r="1207" ht="12.75" customHeight="1">
      <c r="A1207" s="48" t="s">
        <v>44</v>
      </c>
      <c r="B1207" s="48" t="s">
        <v>28</v>
      </c>
      <c r="C1207" s="48" t="s">
        <v>69</v>
      </c>
      <c r="D1207" s="48" t="s">
        <v>50</v>
      </c>
      <c r="E1207" s="48"/>
      <c r="F1207" s="48">
        <v>0.0</v>
      </c>
      <c r="G1207" s="43"/>
      <c r="H1207" s="43"/>
      <c r="I1207" s="43"/>
    </row>
    <row r="1208" ht="12.75" customHeight="1">
      <c r="A1208" s="48" t="s">
        <v>44</v>
      </c>
      <c r="B1208" s="48" t="s">
        <v>28</v>
      </c>
      <c r="C1208" s="48" t="s">
        <v>69</v>
      </c>
      <c r="D1208" s="48" t="s">
        <v>50</v>
      </c>
      <c r="E1208" s="48"/>
      <c r="F1208" s="48">
        <v>24209.7</v>
      </c>
      <c r="G1208" s="43"/>
      <c r="H1208" s="43"/>
      <c r="I1208" s="43"/>
    </row>
    <row r="1209" ht="12.75" customHeight="1">
      <c r="A1209" s="48" t="s">
        <v>44</v>
      </c>
      <c r="B1209" s="48" t="s">
        <v>28</v>
      </c>
      <c r="C1209" s="48" t="s">
        <v>69</v>
      </c>
      <c r="D1209" s="48" t="s">
        <v>47</v>
      </c>
      <c r="E1209" s="48"/>
      <c r="F1209" s="48">
        <v>15265.6</v>
      </c>
      <c r="G1209" s="43"/>
      <c r="H1209" s="43"/>
      <c r="I1209" s="43"/>
    </row>
    <row r="1210" ht="12.75" customHeight="1">
      <c r="A1210" s="48" t="s">
        <v>44</v>
      </c>
      <c r="B1210" s="48" t="s">
        <v>28</v>
      </c>
      <c r="C1210" s="48" t="s">
        <v>69</v>
      </c>
      <c r="D1210" s="48" t="s">
        <v>47</v>
      </c>
      <c r="E1210" s="48"/>
      <c r="F1210" s="48">
        <v>0.0</v>
      </c>
      <c r="G1210" s="43"/>
      <c r="H1210" s="43"/>
      <c r="I1210" s="43"/>
    </row>
    <row r="1211" ht="12.75" customHeight="1">
      <c r="A1211" s="48" t="s">
        <v>44</v>
      </c>
      <c r="B1211" s="48" t="s">
        <v>28</v>
      </c>
      <c r="C1211" s="48" t="s">
        <v>69</v>
      </c>
      <c r="D1211" s="48" t="s">
        <v>47</v>
      </c>
      <c r="E1211" s="48"/>
      <c r="F1211" s="48">
        <v>-46426.6</v>
      </c>
      <c r="G1211" s="43"/>
      <c r="H1211" s="43"/>
      <c r="I1211" s="43"/>
    </row>
    <row r="1212" ht="12.75" customHeight="1">
      <c r="A1212" s="48" t="s">
        <v>44</v>
      </c>
      <c r="B1212" s="48" t="s">
        <v>28</v>
      </c>
      <c r="C1212" s="48" t="s">
        <v>69</v>
      </c>
      <c r="D1212" s="48" t="s">
        <v>47</v>
      </c>
      <c r="E1212" s="48"/>
      <c r="F1212" s="48">
        <v>5950.2</v>
      </c>
      <c r="G1212" s="43"/>
      <c r="H1212" s="43"/>
      <c r="I1212" s="43"/>
    </row>
    <row r="1213" ht="12.75" customHeight="1">
      <c r="A1213" s="48" t="s">
        <v>44</v>
      </c>
      <c r="B1213" s="48" t="s">
        <v>28</v>
      </c>
      <c r="C1213" s="48" t="s">
        <v>69</v>
      </c>
      <c r="D1213" s="48" t="s">
        <v>47</v>
      </c>
      <c r="E1213" s="48"/>
      <c r="F1213" s="48">
        <v>75909.7</v>
      </c>
      <c r="G1213" s="43"/>
      <c r="H1213" s="43"/>
      <c r="I1213" s="43"/>
    </row>
    <row r="1214" ht="12.75" customHeight="1">
      <c r="A1214" s="48" t="s">
        <v>44</v>
      </c>
      <c r="B1214" s="48" t="s">
        <v>28</v>
      </c>
      <c r="C1214" s="48" t="s">
        <v>69</v>
      </c>
      <c r="D1214" s="48" t="s">
        <v>47</v>
      </c>
      <c r="E1214" s="48"/>
      <c r="F1214" s="48">
        <v>114745.8</v>
      </c>
      <c r="G1214" s="43"/>
      <c r="H1214" s="43"/>
      <c r="I1214" s="43"/>
    </row>
    <row r="1215" ht="12.75" customHeight="1">
      <c r="A1215" s="48" t="s">
        <v>44</v>
      </c>
      <c r="B1215" s="48" t="s">
        <v>28</v>
      </c>
      <c r="C1215" s="48" t="s">
        <v>69</v>
      </c>
      <c r="D1215" s="48" t="s">
        <v>47</v>
      </c>
      <c r="E1215" s="48"/>
      <c r="F1215" s="48">
        <v>235.0</v>
      </c>
      <c r="G1215" s="43"/>
      <c r="H1215" s="43"/>
      <c r="I1215" s="43"/>
    </row>
    <row r="1216" ht="12.75" customHeight="1">
      <c r="A1216" s="48" t="s">
        <v>44</v>
      </c>
      <c r="B1216" s="48" t="s">
        <v>28</v>
      </c>
      <c r="C1216" s="48" t="s">
        <v>69</v>
      </c>
      <c r="D1216" s="48" t="s">
        <v>47</v>
      </c>
      <c r="E1216" s="48"/>
      <c r="F1216" s="48">
        <v>0.0</v>
      </c>
      <c r="G1216" s="43"/>
      <c r="H1216" s="43"/>
      <c r="I1216" s="43"/>
    </row>
    <row r="1217" ht="12.75" customHeight="1">
      <c r="A1217" s="48" t="s">
        <v>44</v>
      </c>
      <c r="B1217" s="48" t="s">
        <v>28</v>
      </c>
      <c r="C1217" s="48" t="s">
        <v>45</v>
      </c>
      <c r="D1217" s="48" t="s">
        <v>8</v>
      </c>
      <c r="E1217" s="48"/>
      <c r="F1217" s="48">
        <v>0.0</v>
      </c>
      <c r="G1217" s="43"/>
      <c r="H1217" s="43"/>
      <c r="I1217" s="43"/>
    </row>
    <row r="1218" ht="12.75" customHeight="1">
      <c r="A1218" s="48" t="s">
        <v>44</v>
      </c>
      <c r="B1218" s="48" t="s">
        <v>28</v>
      </c>
      <c r="C1218" s="48" t="s">
        <v>45</v>
      </c>
      <c r="D1218" s="48" t="s">
        <v>8</v>
      </c>
      <c r="E1218" s="48"/>
      <c r="F1218" s="48">
        <v>98582.5</v>
      </c>
      <c r="G1218" s="43"/>
      <c r="H1218" s="43"/>
      <c r="I1218" s="43"/>
    </row>
    <row r="1219" ht="12.75" customHeight="1">
      <c r="A1219" s="48" t="s">
        <v>44</v>
      </c>
      <c r="B1219" s="48" t="s">
        <v>28</v>
      </c>
      <c r="C1219" s="48" t="s">
        <v>45</v>
      </c>
      <c r="D1219" s="48" t="s">
        <v>8</v>
      </c>
      <c r="E1219" s="48"/>
      <c r="F1219" s="48">
        <v>92820.3</v>
      </c>
      <c r="G1219" s="43"/>
      <c r="H1219" s="43"/>
      <c r="I1219" s="43"/>
    </row>
    <row r="1220" ht="12.75" customHeight="1">
      <c r="A1220" s="48" t="s">
        <v>44</v>
      </c>
      <c r="B1220" s="48" t="s">
        <v>28</v>
      </c>
      <c r="C1220" s="48" t="s">
        <v>45</v>
      </c>
      <c r="D1220" s="48" t="s">
        <v>8</v>
      </c>
      <c r="E1220" s="48"/>
      <c r="F1220" s="48">
        <v>0.0</v>
      </c>
      <c r="G1220" s="43"/>
      <c r="H1220" s="43"/>
      <c r="I1220" s="43"/>
    </row>
    <row r="1221" ht="12.75" customHeight="1">
      <c r="A1221" s="48" t="s">
        <v>44</v>
      </c>
      <c r="B1221" s="48" t="s">
        <v>28</v>
      </c>
      <c r="C1221" s="48" t="s">
        <v>45</v>
      </c>
      <c r="D1221" s="48" t="s">
        <v>54</v>
      </c>
      <c r="E1221" s="48"/>
      <c r="F1221" s="48">
        <v>67614.2</v>
      </c>
      <c r="G1221" s="43"/>
      <c r="H1221" s="43"/>
      <c r="I1221" s="43"/>
    </row>
    <row r="1222" ht="12.75" customHeight="1">
      <c r="A1222" s="48" t="s">
        <v>44</v>
      </c>
      <c r="B1222" s="48" t="s">
        <v>28</v>
      </c>
      <c r="C1222" s="48" t="s">
        <v>45</v>
      </c>
      <c r="D1222" s="48" t="s">
        <v>49</v>
      </c>
      <c r="E1222" s="48"/>
      <c r="F1222" s="48">
        <v>0.0</v>
      </c>
      <c r="G1222" s="43"/>
      <c r="H1222" s="43"/>
      <c r="I1222" s="43"/>
    </row>
    <row r="1223" ht="12.75" customHeight="1">
      <c r="A1223" s="48" t="s">
        <v>44</v>
      </c>
      <c r="B1223" s="48" t="s">
        <v>28</v>
      </c>
      <c r="C1223" s="48" t="s">
        <v>45</v>
      </c>
      <c r="D1223" s="48" t="s">
        <v>50</v>
      </c>
      <c r="E1223" s="48"/>
      <c r="F1223" s="48">
        <v>13662.9</v>
      </c>
      <c r="G1223" s="43"/>
      <c r="H1223" s="43"/>
      <c r="I1223" s="43"/>
    </row>
    <row r="1224" ht="12.75" customHeight="1">
      <c r="A1224" s="48" t="s">
        <v>44</v>
      </c>
      <c r="B1224" s="48" t="s">
        <v>28</v>
      </c>
      <c r="C1224" s="48" t="s">
        <v>45</v>
      </c>
      <c r="D1224" s="48" t="s">
        <v>50</v>
      </c>
      <c r="E1224" s="48"/>
      <c r="F1224" s="48">
        <v>2307.7000000000003</v>
      </c>
      <c r="G1224" s="43"/>
      <c r="H1224" s="43"/>
      <c r="I1224" s="43"/>
    </row>
    <row r="1225" ht="12.75" customHeight="1">
      <c r="A1225" s="48" t="s">
        <v>44</v>
      </c>
      <c r="B1225" s="48" t="s">
        <v>28</v>
      </c>
      <c r="C1225" s="48" t="s">
        <v>45</v>
      </c>
      <c r="D1225" s="48" t="s">
        <v>50</v>
      </c>
      <c r="E1225" s="48"/>
      <c r="F1225" s="48">
        <v>36044.3</v>
      </c>
      <c r="G1225" s="43"/>
      <c r="H1225" s="43"/>
      <c r="I1225" s="43"/>
    </row>
    <row r="1226" ht="12.75" customHeight="1">
      <c r="A1226" s="48" t="s">
        <v>44</v>
      </c>
      <c r="B1226" s="48" t="s">
        <v>28</v>
      </c>
      <c r="C1226" s="48" t="s">
        <v>45</v>
      </c>
      <c r="D1226" s="48" t="s">
        <v>50</v>
      </c>
      <c r="E1226" s="48"/>
      <c r="F1226" s="48">
        <v>7007.7</v>
      </c>
      <c r="G1226" s="43"/>
      <c r="H1226" s="43"/>
      <c r="I1226" s="43"/>
    </row>
    <row r="1227" ht="12.75" customHeight="1">
      <c r="A1227" s="48" t="s">
        <v>44</v>
      </c>
      <c r="B1227" s="48" t="s">
        <v>28</v>
      </c>
      <c r="C1227" s="48" t="s">
        <v>45</v>
      </c>
      <c r="D1227" s="48" t="s">
        <v>50</v>
      </c>
      <c r="E1227" s="48"/>
      <c r="F1227" s="48">
        <v>9818.300000000001</v>
      </c>
      <c r="G1227" s="43"/>
      <c r="H1227" s="43"/>
      <c r="I1227" s="43"/>
    </row>
    <row r="1228" ht="12.75" customHeight="1">
      <c r="A1228" s="48" t="s">
        <v>44</v>
      </c>
      <c r="B1228" s="48" t="s">
        <v>28</v>
      </c>
      <c r="C1228" s="48" t="s">
        <v>45</v>
      </c>
      <c r="D1228" s="48" t="s">
        <v>47</v>
      </c>
      <c r="E1228" s="48"/>
      <c r="F1228" s="48">
        <v>4197.1</v>
      </c>
      <c r="G1228" s="43"/>
      <c r="H1228" s="43"/>
      <c r="I1228" s="43"/>
    </row>
    <row r="1229" ht="12.75" customHeight="1">
      <c r="A1229" s="48" t="s">
        <v>44</v>
      </c>
      <c r="B1229" s="48" t="s">
        <v>28</v>
      </c>
      <c r="C1229" s="48" t="s">
        <v>45</v>
      </c>
      <c r="D1229" s="48" t="s">
        <v>47</v>
      </c>
      <c r="E1229" s="48"/>
      <c r="F1229" s="48">
        <v>0.0</v>
      </c>
      <c r="G1229" s="43"/>
      <c r="H1229" s="43"/>
      <c r="I1229" s="43"/>
    </row>
    <row r="1230" ht="12.75" customHeight="1">
      <c r="A1230" s="48" t="s">
        <v>44</v>
      </c>
      <c r="B1230" s="48" t="s">
        <v>28</v>
      </c>
      <c r="C1230" s="48" t="s">
        <v>45</v>
      </c>
      <c r="D1230" s="48" t="s">
        <v>47</v>
      </c>
      <c r="E1230" s="48"/>
      <c r="F1230" s="48">
        <v>108.10000000000001</v>
      </c>
      <c r="G1230" s="43"/>
      <c r="H1230" s="43"/>
      <c r="I1230" s="43"/>
    </row>
    <row r="1231" ht="12.75" customHeight="1">
      <c r="A1231" s="48" t="s">
        <v>44</v>
      </c>
      <c r="B1231" s="48" t="s">
        <v>28</v>
      </c>
      <c r="C1231" s="48" t="s">
        <v>45</v>
      </c>
      <c r="D1231" s="48" t="s">
        <v>47</v>
      </c>
      <c r="E1231" s="48"/>
      <c r="F1231" s="48">
        <v>5517.8</v>
      </c>
      <c r="G1231" s="43"/>
      <c r="H1231" s="43"/>
      <c r="I1231" s="43"/>
    </row>
    <row r="1232" ht="12.75" customHeight="1">
      <c r="A1232" s="48" t="s">
        <v>44</v>
      </c>
      <c r="B1232" s="48" t="s">
        <v>28</v>
      </c>
      <c r="C1232" s="48" t="s">
        <v>45</v>
      </c>
      <c r="D1232" s="48" t="s">
        <v>47</v>
      </c>
      <c r="E1232" s="48"/>
      <c r="F1232" s="48">
        <v>-25991.0</v>
      </c>
      <c r="G1232" s="43"/>
      <c r="H1232" s="43"/>
      <c r="I1232" s="43"/>
    </row>
    <row r="1233" ht="12.75" customHeight="1">
      <c r="A1233" s="48" t="s">
        <v>44</v>
      </c>
      <c r="B1233" s="48" t="s">
        <v>28</v>
      </c>
      <c r="C1233" s="48" t="s">
        <v>46</v>
      </c>
      <c r="D1233" s="48" t="s">
        <v>53</v>
      </c>
      <c r="E1233" s="48"/>
      <c r="F1233" s="48">
        <v>3478.0</v>
      </c>
      <c r="G1233" s="43"/>
      <c r="H1233" s="43"/>
      <c r="I1233" s="43"/>
    </row>
    <row r="1234" ht="12.75" customHeight="1">
      <c r="A1234" s="48" t="s">
        <v>44</v>
      </c>
      <c r="B1234" s="48" t="s">
        <v>28</v>
      </c>
      <c r="C1234" s="48" t="s">
        <v>46</v>
      </c>
      <c r="D1234" s="48" t="s">
        <v>8</v>
      </c>
      <c r="E1234" s="48"/>
      <c r="F1234" s="48">
        <v>0.0</v>
      </c>
      <c r="G1234" s="43"/>
      <c r="H1234" s="43"/>
      <c r="I1234" s="43"/>
    </row>
    <row r="1235" ht="12.75" customHeight="1">
      <c r="A1235" s="48" t="s">
        <v>44</v>
      </c>
      <c r="B1235" s="48" t="s">
        <v>28</v>
      </c>
      <c r="C1235" s="48" t="s">
        <v>46</v>
      </c>
      <c r="D1235" s="48" t="s">
        <v>8</v>
      </c>
      <c r="E1235" s="48"/>
      <c r="F1235" s="48">
        <v>24313.100000000002</v>
      </c>
      <c r="G1235" s="43"/>
      <c r="H1235" s="43"/>
      <c r="I1235" s="43"/>
    </row>
    <row r="1236" ht="12.75" customHeight="1">
      <c r="A1236" s="48" t="s">
        <v>44</v>
      </c>
      <c r="B1236" s="48" t="s">
        <v>28</v>
      </c>
      <c r="C1236" s="48" t="s">
        <v>46</v>
      </c>
      <c r="D1236" s="48" t="s">
        <v>8</v>
      </c>
      <c r="E1236" s="48"/>
      <c r="F1236" s="48">
        <v>197.4</v>
      </c>
      <c r="G1236" s="43"/>
      <c r="H1236" s="43"/>
      <c r="I1236" s="43"/>
    </row>
    <row r="1237" ht="12.75" customHeight="1">
      <c r="A1237" s="48" t="s">
        <v>44</v>
      </c>
      <c r="B1237" s="48" t="s">
        <v>28</v>
      </c>
      <c r="C1237" s="48" t="s">
        <v>46</v>
      </c>
      <c r="D1237" s="48" t="s">
        <v>8</v>
      </c>
      <c r="E1237" s="48"/>
      <c r="F1237" s="48">
        <v>12055.5</v>
      </c>
      <c r="G1237" s="43"/>
      <c r="H1237" s="43"/>
      <c r="I1237" s="43"/>
    </row>
    <row r="1238" ht="12.75" customHeight="1">
      <c r="A1238" s="48" t="s">
        <v>44</v>
      </c>
      <c r="B1238" s="48" t="s">
        <v>28</v>
      </c>
      <c r="C1238" s="48" t="s">
        <v>46</v>
      </c>
      <c r="D1238" s="48" t="s">
        <v>8</v>
      </c>
      <c r="E1238" s="48"/>
      <c r="F1238" s="48">
        <v>126937.6</v>
      </c>
      <c r="G1238" s="43"/>
      <c r="H1238" s="43"/>
      <c r="I1238" s="43"/>
    </row>
    <row r="1239" ht="12.75" customHeight="1">
      <c r="A1239" s="48" t="s">
        <v>44</v>
      </c>
      <c r="B1239" s="48" t="s">
        <v>28</v>
      </c>
      <c r="C1239" s="48" t="s">
        <v>46</v>
      </c>
      <c r="D1239" s="48" t="s">
        <v>8</v>
      </c>
      <c r="E1239" s="48"/>
      <c r="F1239" s="48">
        <v>157920.0</v>
      </c>
      <c r="G1239" s="43"/>
      <c r="H1239" s="43"/>
      <c r="I1239" s="43"/>
    </row>
    <row r="1240" ht="12.75" customHeight="1">
      <c r="A1240" s="48" t="s">
        <v>44</v>
      </c>
      <c r="B1240" s="48" t="s">
        <v>28</v>
      </c>
      <c r="C1240" s="48" t="s">
        <v>46</v>
      </c>
      <c r="D1240" s="48" t="s">
        <v>8</v>
      </c>
      <c r="E1240" s="48"/>
      <c r="F1240" s="48">
        <v>0.0</v>
      </c>
      <c r="G1240" s="43"/>
      <c r="H1240" s="43"/>
      <c r="I1240" s="43"/>
    </row>
    <row r="1241" ht="12.75" customHeight="1">
      <c r="A1241" s="48" t="s">
        <v>44</v>
      </c>
      <c r="B1241" s="48" t="s">
        <v>28</v>
      </c>
      <c r="C1241" s="48" t="s">
        <v>46</v>
      </c>
      <c r="D1241" s="48" t="s">
        <v>8</v>
      </c>
      <c r="E1241" s="48"/>
      <c r="F1241" s="48">
        <v>1165.6000000000001</v>
      </c>
      <c r="G1241" s="43"/>
      <c r="H1241" s="43"/>
      <c r="I1241" s="43"/>
    </row>
    <row r="1242" ht="12.75" customHeight="1">
      <c r="A1242" s="48" t="s">
        <v>44</v>
      </c>
      <c r="B1242" s="48" t="s">
        <v>28</v>
      </c>
      <c r="C1242" s="48" t="s">
        <v>46</v>
      </c>
      <c r="D1242" s="48" t="s">
        <v>54</v>
      </c>
      <c r="E1242" s="48"/>
      <c r="F1242" s="48">
        <v>116884.3</v>
      </c>
      <c r="G1242" s="43"/>
      <c r="H1242" s="43"/>
      <c r="I1242" s="43"/>
    </row>
    <row r="1243" ht="12.75" customHeight="1">
      <c r="A1243" s="48" t="s">
        <v>44</v>
      </c>
      <c r="B1243" s="48" t="s">
        <v>28</v>
      </c>
      <c r="C1243" s="48" t="s">
        <v>46</v>
      </c>
      <c r="D1243" s="48" t="s">
        <v>50</v>
      </c>
      <c r="E1243" s="48"/>
      <c r="F1243" s="48">
        <v>13855.6</v>
      </c>
      <c r="G1243" s="43"/>
      <c r="H1243" s="43"/>
      <c r="I1243" s="43"/>
    </row>
    <row r="1244" ht="12.75" customHeight="1">
      <c r="A1244" s="48" t="s">
        <v>44</v>
      </c>
      <c r="B1244" s="48" t="s">
        <v>28</v>
      </c>
      <c r="C1244" s="48" t="s">
        <v>46</v>
      </c>
      <c r="D1244" s="48" t="s">
        <v>50</v>
      </c>
      <c r="E1244" s="48"/>
      <c r="F1244" s="48">
        <v>7421.3</v>
      </c>
      <c r="G1244" s="43"/>
      <c r="H1244" s="43"/>
      <c r="I1244" s="43"/>
    </row>
    <row r="1245" ht="12.75" customHeight="1">
      <c r="A1245" s="48" t="s">
        <v>44</v>
      </c>
      <c r="B1245" s="48" t="s">
        <v>28</v>
      </c>
      <c r="C1245" s="48" t="s">
        <v>46</v>
      </c>
      <c r="D1245" s="48" t="s">
        <v>50</v>
      </c>
      <c r="E1245" s="48"/>
      <c r="F1245" s="48">
        <v>6697.5</v>
      </c>
      <c r="G1245" s="43"/>
      <c r="H1245" s="43"/>
      <c r="I1245" s="43"/>
    </row>
    <row r="1246" ht="12.75" customHeight="1">
      <c r="A1246" s="48" t="s">
        <v>44</v>
      </c>
      <c r="B1246" s="48" t="s">
        <v>28</v>
      </c>
      <c r="C1246" s="48" t="s">
        <v>46</v>
      </c>
      <c r="D1246" s="48" t="s">
        <v>50</v>
      </c>
      <c r="E1246" s="48"/>
      <c r="F1246" s="48">
        <v>4756.400000000001</v>
      </c>
      <c r="G1246" s="43"/>
      <c r="H1246" s="43"/>
      <c r="I1246" s="43"/>
    </row>
    <row r="1247" ht="12.75" customHeight="1">
      <c r="A1247" s="48" t="s">
        <v>44</v>
      </c>
      <c r="B1247" s="48" t="s">
        <v>28</v>
      </c>
      <c r="C1247" s="48" t="s">
        <v>46</v>
      </c>
      <c r="D1247" s="48" t="s">
        <v>50</v>
      </c>
      <c r="E1247" s="48"/>
      <c r="F1247" s="48">
        <v>4136.0</v>
      </c>
      <c r="G1247" s="43"/>
      <c r="H1247" s="43"/>
      <c r="I1247" s="43"/>
    </row>
    <row r="1248" ht="12.75" customHeight="1">
      <c r="A1248" s="48" t="s">
        <v>44</v>
      </c>
      <c r="B1248" s="48" t="s">
        <v>28</v>
      </c>
      <c r="C1248" s="48" t="s">
        <v>46</v>
      </c>
      <c r="D1248" s="48" t="s">
        <v>50</v>
      </c>
      <c r="E1248" s="48"/>
      <c r="F1248" s="48">
        <v>2209.0</v>
      </c>
      <c r="G1248" s="43"/>
      <c r="H1248" s="43"/>
      <c r="I1248" s="43"/>
    </row>
    <row r="1249" ht="12.75" customHeight="1">
      <c r="A1249" s="48" t="s">
        <v>44</v>
      </c>
      <c r="B1249" s="48" t="s">
        <v>28</v>
      </c>
      <c r="C1249" s="48" t="s">
        <v>46</v>
      </c>
      <c r="D1249" s="48" t="s">
        <v>50</v>
      </c>
      <c r="E1249" s="48"/>
      <c r="F1249" s="48">
        <v>62331.4</v>
      </c>
      <c r="G1249" s="43"/>
      <c r="H1249" s="43"/>
      <c r="I1249" s="43"/>
    </row>
    <row r="1250" ht="12.75" customHeight="1">
      <c r="A1250" s="48" t="s">
        <v>44</v>
      </c>
      <c r="B1250" s="48" t="s">
        <v>28</v>
      </c>
      <c r="C1250" s="48" t="s">
        <v>46</v>
      </c>
      <c r="D1250" s="48" t="s">
        <v>50</v>
      </c>
      <c r="E1250" s="48"/>
      <c r="F1250" s="48">
        <v>10941.6</v>
      </c>
      <c r="G1250" s="43"/>
      <c r="H1250" s="43"/>
      <c r="I1250" s="43"/>
    </row>
    <row r="1251" ht="12.75" customHeight="1">
      <c r="A1251" s="48" t="s">
        <v>44</v>
      </c>
      <c r="B1251" s="48" t="s">
        <v>28</v>
      </c>
      <c r="C1251" s="48" t="s">
        <v>46</v>
      </c>
      <c r="D1251" s="48" t="s">
        <v>50</v>
      </c>
      <c r="E1251" s="48"/>
      <c r="F1251" s="48">
        <v>4737.6</v>
      </c>
      <c r="G1251" s="43"/>
      <c r="H1251" s="43"/>
      <c r="I1251" s="43"/>
    </row>
    <row r="1252" ht="12.75" customHeight="1">
      <c r="A1252" s="48" t="s">
        <v>44</v>
      </c>
      <c r="B1252" s="48" t="s">
        <v>28</v>
      </c>
      <c r="C1252" s="48" t="s">
        <v>46</v>
      </c>
      <c r="D1252" s="48" t="s">
        <v>50</v>
      </c>
      <c r="E1252" s="48"/>
      <c r="F1252" s="48">
        <v>0.0</v>
      </c>
      <c r="G1252" s="43"/>
      <c r="H1252" s="43"/>
      <c r="I1252" s="43"/>
    </row>
    <row r="1253" ht="12.75" customHeight="1">
      <c r="A1253" s="48" t="s">
        <v>44</v>
      </c>
      <c r="B1253" s="48" t="s">
        <v>28</v>
      </c>
      <c r="C1253" s="48" t="s">
        <v>46</v>
      </c>
      <c r="D1253" s="48" t="s">
        <v>47</v>
      </c>
      <c r="E1253" s="48"/>
      <c r="F1253" s="48">
        <v>0.0</v>
      </c>
      <c r="G1253" s="43"/>
      <c r="H1253" s="43"/>
      <c r="I1253" s="43"/>
    </row>
    <row r="1254" ht="12.75" customHeight="1">
      <c r="A1254" s="48" t="s">
        <v>44</v>
      </c>
      <c r="B1254" s="48" t="s">
        <v>28</v>
      </c>
      <c r="C1254" s="48" t="s">
        <v>46</v>
      </c>
      <c r="D1254" s="48" t="s">
        <v>47</v>
      </c>
      <c r="E1254" s="48"/>
      <c r="F1254" s="48">
        <v>0.0</v>
      </c>
      <c r="G1254" s="43"/>
      <c r="H1254" s="43"/>
      <c r="I1254" s="43"/>
    </row>
    <row r="1255" ht="12.75" customHeight="1">
      <c r="A1255" s="48" t="s">
        <v>44</v>
      </c>
      <c r="B1255" s="48" t="s">
        <v>28</v>
      </c>
      <c r="C1255" s="48" t="s">
        <v>46</v>
      </c>
      <c r="D1255" s="48" t="s">
        <v>47</v>
      </c>
      <c r="E1255" s="48"/>
      <c r="F1255" s="48">
        <v>10918.1</v>
      </c>
      <c r="G1255" s="43"/>
      <c r="H1255" s="43"/>
      <c r="I1255" s="43"/>
    </row>
    <row r="1256" ht="12.75" customHeight="1">
      <c r="A1256" s="48" t="s">
        <v>44</v>
      </c>
      <c r="B1256" s="48" t="s">
        <v>28</v>
      </c>
      <c r="C1256" s="48" t="s">
        <v>46</v>
      </c>
      <c r="D1256" s="48" t="s">
        <v>47</v>
      </c>
      <c r="E1256" s="48"/>
      <c r="F1256" s="48">
        <v>211.5</v>
      </c>
      <c r="G1256" s="43"/>
      <c r="H1256" s="43"/>
      <c r="I1256" s="43"/>
    </row>
    <row r="1257" ht="12.75" customHeight="1">
      <c r="A1257" s="48" t="s">
        <v>44</v>
      </c>
      <c r="B1257" s="48" t="s">
        <v>28</v>
      </c>
      <c r="C1257" s="48" t="s">
        <v>46</v>
      </c>
      <c r="D1257" s="48" t="s">
        <v>47</v>
      </c>
      <c r="E1257" s="48"/>
      <c r="F1257" s="48">
        <v>0.0</v>
      </c>
      <c r="G1257" s="43"/>
      <c r="H1257" s="43"/>
      <c r="I1257" s="43"/>
    </row>
    <row r="1258" ht="12.75" customHeight="1">
      <c r="A1258" s="48" t="s">
        <v>44</v>
      </c>
      <c r="B1258" s="48" t="s">
        <v>28</v>
      </c>
      <c r="C1258" s="48" t="s">
        <v>46</v>
      </c>
      <c r="D1258" s="48" t="s">
        <v>47</v>
      </c>
      <c r="E1258" s="48"/>
      <c r="F1258" s="48">
        <v>16482.9</v>
      </c>
      <c r="G1258" s="43"/>
      <c r="H1258" s="43"/>
      <c r="I1258" s="43"/>
    </row>
    <row r="1259" ht="12.75" customHeight="1">
      <c r="A1259" s="48" t="s">
        <v>44</v>
      </c>
      <c r="B1259" s="48" t="s">
        <v>28</v>
      </c>
      <c r="C1259" s="48" t="s">
        <v>48</v>
      </c>
      <c r="D1259" s="48" t="s">
        <v>53</v>
      </c>
      <c r="E1259" s="48"/>
      <c r="F1259" s="48">
        <v>-4098.400000000001</v>
      </c>
      <c r="G1259" s="43"/>
      <c r="H1259" s="43"/>
      <c r="I1259" s="43"/>
    </row>
    <row r="1260" ht="12.75" customHeight="1">
      <c r="A1260" s="48" t="s">
        <v>44</v>
      </c>
      <c r="B1260" s="48" t="s">
        <v>28</v>
      </c>
      <c r="C1260" s="48" t="s">
        <v>48</v>
      </c>
      <c r="D1260" s="48" t="s">
        <v>58</v>
      </c>
      <c r="E1260" s="48"/>
      <c r="F1260" s="48">
        <v>7397.8</v>
      </c>
      <c r="G1260" s="43"/>
      <c r="H1260" s="43"/>
      <c r="I1260" s="43"/>
    </row>
    <row r="1261" ht="12.75" customHeight="1">
      <c r="A1261" s="48" t="s">
        <v>44</v>
      </c>
      <c r="B1261" s="48" t="s">
        <v>28</v>
      </c>
      <c r="C1261" s="48" t="s">
        <v>48</v>
      </c>
      <c r="D1261" s="48" t="s">
        <v>58</v>
      </c>
      <c r="E1261" s="48"/>
      <c r="F1261" s="48">
        <v>95287.8</v>
      </c>
      <c r="G1261" s="43"/>
      <c r="H1261" s="43"/>
      <c r="I1261" s="43"/>
    </row>
    <row r="1262" ht="12.75" customHeight="1">
      <c r="A1262" s="48" t="s">
        <v>44</v>
      </c>
      <c r="B1262" s="48" t="s">
        <v>28</v>
      </c>
      <c r="C1262" s="48" t="s">
        <v>48</v>
      </c>
      <c r="D1262" s="48" t="s">
        <v>58</v>
      </c>
      <c r="E1262" s="48"/>
      <c r="F1262" s="48">
        <v>43263.5</v>
      </c>
      <c r="G1262" s="43"/>
      <c r="H1262" s="43"/>
      <c r="I1262" s="43"/>
    </row>
    <row r="1263" ht="12.75" customHeight="1">
      <c r="A1263" s="48" t="s">
        <v>44</v>
      </c>
      <c r="B1263" s="48" t="s">
        <v>28</v>
      </c>
      <c r="C1263" s="48" t="s">
        <v>48</v>
      </c>
      <c r="D1263" s="48" t="s">
        <v>58</v>
      </c>
      <c r="E1263" s="48"/>
      <c r="F1263" s="48">
        <v>383520.0</v>
      </c>
      <c r="G1263" s="43"/>
      <c r="H1263" s="43"/>
      <c r="I1263" s="43"/>
    </row>
    <row r="1264" ht="12.75" customHeight="1">
      <c r="A1264" s="48" t="s">
        <v>44</v>
      </c>
      <c r="B1264" s="48" t="s">
        <v>28</v>
      </c>
      <c r="C1264" s="48" t="s">
        <v>48</v>
      </c>
      <c r="D1264" s="48" t="s">
        <v>8</v>
      </c>
      <c r="E1264" s="48"/>
      <c r="F1264" s="48">
        <v>21131.2</v>
      </c>
      <c r="G1264" s="43"/>
      <c r="H1264" s="43"/>
      <c r="I1264" s="43"/>
    </row>
    <row r="1265" ht="12.75" customHeight="1">
      <c r="A1265" s="48" t="s">
        <v>44</v>
      </c>
      <c r="B1265" s="48" t="s">
        <v>28</v>
      </c>
      <c r="C1265" s="48" t="s">
        <v>48</v>
      </c>
      <c r="D1265" s="48" t="s">
        <v>8</v>
      </c>
      <c r="E1265" s="48"/>
      <c r="F1265" s="48">
        <v>1306.6000000000001</v>
      </c>
      <c r="G1265" s="43"/>
      <c r="H1265" s="43"/>
      <c r="I1265" s="43"/>
    </row>
    <row r="1266" ht="12.75" customHeight="1">
      <c r="A1266" s="48" t="s">
        <v>44</v>
      </c>
      <c r="B1266" s="48" t="s">
        <v>28</v>
      </c>
      <c r="C1266" s="48" t="s">
        <v>48</v>
      </c>
      <c r="D1266" s="48" t="s">
        <v>8</v>
      </c>
      <c r="E1266" s="48"/>
      <c r="F1266" s="48">
        <v>2256.0</v>
      </c>
      <c r="G1266" s="43"/>
      <c r="H1266" s="43"/>
      <c r="I1266" s="43"/>
    </row>
    <row r="1267" ht="12.75" customHeight="1">
      <c r="A1267" s="48" t="s">
        <v>44</v>
      </c>
      <c r="B1267" s="48" t="s">
        <v>28</v>
      </c>
      <c r="C1267" s="48" t="s">
        <v>48</v>
      </c>
      <c r="D1267" s="48" t="s">
        <v>8</v>
      </c>
      <c r="E1267" s="48"/>
      <c r="F1267" s="48">
        <v>2350.0</v>
      </c>
      <c r="G1267" s="43"/>
      <c r="H1267" s="43"/>
      <c r="I1267" s="43"/>
    </row>
    <row r="1268" ht="12.75" customHeight="1">
      <c r="A1268" s="48" t="s">
        <v>44</v>
      </c>
      <c r="B1268" s="48" t="s">
        <v>28</v>
      </c>
      <c r="C1268" s="48" t="s">
        <v>48</v>
      </c>
      <c r="D1268" s="48" t="s">
        <v>8</v>
      </c>
      <c r="E1268" s="48"/>
      <c r="F1268" s="48">
        <v>159123.2</v>
      </c>
      <c r="G1268" s="43"/>
      <c r="H1268" s="43"/>
      <c r="I1268" s="43"/>
    </row>
    <row r="1269" ht="12.75" customHeight="1">
      <c r="A1269" s="48" t="s">
        <v>44</v>
      </c>
      <c r="B1269" s="48" t="s">
        <v>28</v>
      </c>
      <c r="C1269" s="48" t="s">
        <v>48</v>
      </c>
      <c r="D1269" s="48" t="s">
        <v>8</v>
      </c>
      <c r="E1269" s="48"/>
      <c r="F1269" s="48">
        <v>423.0</v>
      </c>
      <c r="G1269" s="43"/>
      <c r="H1269" s="43"/>
      <c r="I1269" s="43"/>
    </row>
    <row r="1270" ht="12.75" customHeight="1">
      <c r="A1270" s="48" t="s">
        <v>44</v>
      </c>
      <c r="B1270" s="48" t="s">
        <v>28</v>
      </c>
      <c r="C1270" s="48" t="s">
        <v>48</v>
      </c>
      <c r="D1270" s="48" t="s">
        <v>8</v>
      </c>
      <c r="E1270" s="48"/>
      <c r="F1270" s="48">
        <v>34093.8</v>
      </c>
      <c r="G1270" s="43"/>
      <c r="H1270" s="43"/>
      <c r="I1270" s="43"/>
    </row>
    <row r="1271" ht="12.75" customHeight="1">
      <c r="A1271" s="48" t="s">
        <v>44</v>
      </c>
      <c r="B1271" s="48" t="s">
        <v>28</v>
      </c>
      <c r="C1271" s="48" t="s">
        <v>48</v>
      </c>
      <c r="D1271" s="48" t="s">
        <v>54</v>
      </c>
      <c r="E1271" s="48"/>
      <c r="F1271" s="48">
        <v>0.0</v>
      </c>
      <c r="G1271" s="43"/>
      <c r="H1271" s="43"/>
      <c r="I1271" s="43"/>
    </row>
    <row r="1272" ht="12.75" customHeight="1">
      <c r="A1272" s="48" t="s">
        <v>44</v>
      </c>
      <c r="B1272" s="48" t="s">
        <v>28</v>
      </c>
      <c r="C1272" s="48" t="s">
        <v>48</v>
      </c>
      <c r="D1272" s="48" t="s">
        <v>54</v>
      </c>
      <c r="E1272" s="48"/>
      <c r="F1272" s="48">
        <v>1372.4</v>
      </c>
      <c r="G1272" s="43"/>
      <c r="H1272" s="43"/>
      <c r="I1272" s="43"/>
    </row>
    <row r="1273" ht="12.75" customHeight="1">
      <c r="A1273" s="48" t="s">
        <v>44</v>
      </c>
      <c r="B1273" s="48" t="s">
        <v>28</v>
      </c>
      <c r="C1273" s="48" t="s">
        <v>48</v>
      </c>
      <c r="D1273" s="48" t="s">
        <v>54</v>
      </c>
      <c r="E1273" s="48"/>
      <c r="F1273" s="48">
        <v>291.40000000000003</v>
      </c>
      <c r="G1273" s="43"/>
      <c r="H1273" s="43"/>
      <c r="I1273" s="43"/>
    </row>
    <row r="1274" ht="12.75" customHeight="1">
      <c r="A1274" s="48" t="s">
        <v>44</v>
      </c>
      <c r="B1274" s="48" t="s">
        <v>28</v>
      </c>
      <c r="C1274" s="48" t="s">
        <v>48</v>
      </c>
      <c r="D1274" s="48" t="s">
        <v>54</v>
      </c>
      <c r="E1274" s="48"/>
      <c r="F1274" s="48">
        <v>10293.0</v>
      </c>
      <c r="G1274" s="43"/>
      <c r="H1274" s="43"/>
      <c r="I1274" s="43"/>
    </row>
    <row r="1275" ht="12.75" customHeight="1">
      <c r="A1275" s="48" t="s">
        <v>44</v>
      </c>
      <c r="B1275" s="48" t="s">
        <v>28</v>
      </c>
      <c r="C1275" s="48" t="s">
        <v>48</v>
      </c>
      <c r="D1275" s="48" t="s">
        <v>54</v>
      </c>
      <c r="E1275" s="48"/>
      <c r="F1275" s="48">
        <v>5875.0</v>
      </c>
      <c r="G1275" s="43"/>
      <c r="H1275" s="43"/>
      <c r="I1275" s="43"/>
    </row>
    <row r="1276" ht="12.75" customHeight="1">
      <c r="A1276" s="48" t="s">
        <v>44</v>
      </c>
      <c r="B1276" s="48" t="s">
        <v>28</v>
      </c>
      <c r="C1276" s="48" t="s">
        <v>48</v>
      </c>
      <c r="D1276" s="48" t="s">
        <v>54</v>
      </c>
      <c r="E1276" s="48"/>
      <c r="F1276" s="48">
        <v>310.2</v>
      </c>
      <c r="G1276" s="43"/>
      <c r="H1276" s="43"/>
      <c r="I1276" s="43"/>
    </row>
    <row r="1277" ht="12.75" customHeight="1">
      <c r="A1277" s="48" t="s">
        <v>44</v>
      </c>
      <c r="B1277" s="48" t="s">
        <v>28</v>
      </c>
      <c r="C1277" s="48" t="s">
        <v>48</v>
      </c>
      <c r="D1277" s="48" t="s">
        <v>54</v>
      </c>
      <c r="E1277" s="48"/>
      <c r="F1277" s="48">
        <v>223644.80000000002</v>
      </c>
      <c r="G1277" s="43"/>
      <c r="H1277" s="43"/>
      <c r="I1277" s="43"/>
    </row>
    <row r="1278" ht="12.75" customHeight="1">
      <c r="A1278" s="48" t="s">
        <v>44</v>
      </c>
      <c r="B1278" s="48" t="s">
        <v>28</v>
      </c>
      <c r="C1278" s="48" t="s">
        <v>48</v>
      </c>
      <c r="D1278" s="48" t="s">
        <v>54</v>
      </c>
      <c r="E1278" s="48"/>
      <c r="F1278" s="48">
        <v>26832.3</v>
      </c>
      <c r="G1278" s="43"/>
      <c r="H1278" s="43"/>
      <c r="I1278" s="43"/>
    </row>
    <row r="1279" ht="12.75" customHeight="1">
      <c r="A1279" s="48" t="s">
        <v>44</v>
      </c>
      <c r="B1279" s="48" t="s">
        <v>28</v>
      </c>
      <c r="C1279" s="48" t="s">
        <v>48</v>
      </c>
      <c r="D1279" s="48" t="s">
        <v>54</v>
      </c>
      <c r="E1279" s="48"/>
      <c r="F1279" s="48">
        <v>0.0</v>
      </c>
      <c r="G1279" s="43"/>
      <c r="H1279" s="43"/>
      <c r="I1279" s="43"/>
    </row>
    <row r="1280" ht="12.75" customHeight="1">
      <c r="A1280" s="48" t="s">
        <v>44</v>
      </c>
      <c r="B1280" s="48" t="s">
        <v>28</v>
      </c>
      <c r="C1280" s="48" t="s">
        <v>48</v>
      </c>
      <c r="D1280" s="48" t="s">
        <v>49</v>
      </c>
      <c r="E1280" s="48"/>
      <c r="F1280" s="48">
        <v>0.0</v>
      </c>
      <c r="G1280" s="43"/>
      <c r="H1280" s="43"/>
      <c r="I1280" s="43"/>
    </row>
    <row r="1281" ht="12.75" customHeight="1">
      <c r="A1281" s="48" t="s">
        <v>44</v>
      </c>
      <c r="B1281" s="48" t="s">
        <v>28</v>
      </c>
      <c r="C1281" s="48" t="s">
        <v>48</v>
      </c>
      <c r="D1281" s="48" t="s">
        <v>49</v>
      </c>
      <c r="E1281" s="48"/>
      <c r="F1281" s="48">
        <v>106666.5</v>
      </c>
      <c r="G1281" s="43"/>
      <c r="H1281" s="43"/>
      <c r="I1281" s="43"/>
    </row>
    <row r="1282" ht="12.75" customHeight="1">
      <c r="A1282" s="48" t="s">
        <v>44</v>
      </c>
      <c r="B1282" s="48" t="s">
        <v>28</v>
      </c>
      <c r="C1282" s="48" t="s">
        <v>48</v>
      </c>
      <c r="D1282" s="48" t="s">
        <v>49</v>
      </c>
      <c r="E1282" s="48"/>
      <c r="F1282" s="48">
        <v>93078.8</v>
      </c>
      <c r="G1282" s="43"/>
      <c r="H1282" s="43"/>
      <c r="I1282" s="43"/>
    </row>
    <row r="1283" ht="12.75" customHeight="1">
      <c r="A1283" s="48" t="s">
        <v>44</v>
      </c>
      <c r="B1283" s="48" t="s">
        <v>28</v>
      </c>
      <c r="C1283" s="48" t="s">
        <v>48</v>
      </c>
      <c r="D1283" s="48" t="s">
        <v>49</v>
      </c>
      <c r="E1283" s="48"/>
      <c r="F1283" s="48">
        <v>23594.0</v>
      </c>
      <c r="G1283" s="43"/>
      <c r="H1283" s="43"/>
      <c r="I1283" s="43"/>
    </row>
    <row r="1284" ht="12.75" customHeight="1">
      <c r="A1284" s="48" t="s">
        <v>44</v>
      </c>
      <c r="B1284" s="48" t="s">
        <v>28</v>
      </c>
      <c r="C1284" s="48" t="s">
        <v>48</v>
      </c>
      <c r="D1284" s="48" t="s">
        <v>49</v>
      </c>
      <c r="E1284" s="48"/>
      <c r="F1284" s="48">
        <v>7468.3</v>
      </c>
      <c r="G1284" s="43"/>
      <c r="H1284" s="43"/>
      <c r="I1284" s="43"/>
    </row>
    <row r="1285" ht="12.75" customHeight="1">
      <c r="A1285" s="48" t="s">
        <v>44</v>
      </c>
      <c r="B1285" s="48" t="s">
        <v>28</v>
      </c>
      <c r="C1285" s="48" t="s">
        <v>48</v>
      </c>
      <c r="D1285" s="48" t="s">
        <v>49</v>
      </c>
      <c r="E1285" s="48"/>
      <c r="F1285" s="48">
        <v>262800.5</v>
      </c>
      <c r="G1285" s="43"/>
      <c r="H1285" s="43"/>
      <c r="I1285" s="43"/>
    </row>
    <row r="1286" ht="12.75" customHeight="1">
      <c r="A1286" s="48" t="s">
        <v>44</v>
      </c>
      <c r="B1286" s="48" t="s">
        <v>28</v>
      </c>
      <c r="C1286" s="48" t="s">
        <v>48</v>
      </c>
      <c r="D1286" s="48" t="s">
        <v>49</v>
      </c>
      <c r="E1286" s="48"/>
      <c r="F1286" s="48">
        <v>60982.5</v>
      </c>
      <c r="G1286" s="43"/>
      <c r="H1286" s="43"/>
      <c r="I1286" s="43"/>
    </row>
    <row r="1287" ht="12.75" customHeight="1">
      <c r="A1287" s="48" t="s">
        <v>44</v>
      </c>
      <c r="B1287" s="48" t="s">
        <v>28</v>
      </c>
      <c r="C1287" s="48" t="s">
        <v>48</v>
      </c>
      <c r="D1287" s="48" t="s">
        <v>49</v>
      </c>
      <c r="E1287" s="48"/>
      <c r="F1287" s="48">
        <v>89784.1</v>
      </c>
      <c r="G1287" s="43"/>
      <c r="H1287" s="43"/>
      <c r="I1287" s="43"/>
    </row>
    <row r="1288" ht="12.75" customHeight="1">
      <c r="A1288" s="48" t="s">
        <v>44</v>
      </c>
      <c r="B1288" s="48" t="s">
        <v>28</v>
      </c>
      <c r="C1288" s="48" t="s">
        <v>48</v>
      </c>
      <c r="D1288" s="48" t="s">
        <v>49</v>
      </c>
      <c r="E1288" s="48"/>
      <c r="F1288" s="48">
        <v>24364.8</v>
      </c>
      <c r="G1288" s="43"/>
      <c r="H1288" s="43"/>
      <c r="I1288" s="43"/>
    </row>
    <row r="1289" ht="12.75" customHeight="1">
      <c r="A1289" s="48" t="s">
        <v>44</v>
      </c>
      <c r="B1289" s="48" t="s">
        <v>28</v>
      </c>
      <c r="C1289" s="48" t="s">
        <v>48</v>
      </c>
      <c r="D1289" s="48" t="s">
        <v>49</v>
      </c>
      <c r="E1289" s="48"/>
      <c r="F1289" s="48">
        <v>372512.60000000003</v>
      </c>
      <c r="G1289" s="43"/>
      <c r="H1289" s="43"/>
      <c r="I1289" s="43"/>
    </row>
    <row r="1290" ht="12.75" customHeight="1">
      <c r="A1290" s="48" t="s">
        <v>44</v>
      </c>
      <c r="B1290" s="48" t="s">
        <v>28</v>
      </c>
      <c r="C1290" s="48" t="s">
        <v>48</v>
      </c>
      <c r="D1290" s="48" t="s">
        <v>49</v>
      </c>
      <c r="E1290" s="48"/>
      <c r="F1290" s="48">
        <v>-357.2</v>
      </c>
      <c r="G1290" s="43"/>
      <c r="H1290" s="43"/>
      <c r="I1290" s="43"/>
    </row>
    <row r="1291" ht="12.75" customHeight="1">
      <c r="A1291" s="48" t="s">
        <v>44</v>
      </c>
      <c r="B1291" s="48" t="s">
        <v>28</v>
      </c>
      <c r="C1291" s="48" t="s">
        <v>48</v>
      </c>
      <c r="D1291" s="48" t="s">
        <v>49</v>
      </c>
      <c r="E1291" s="48"/>
      <c r="F1291" s="48">
        <v>9432.9</v>
      </c>
      <c r="G1291" s="43"/>
      <c r="H1291" s="43"/>
      <c r="I1291" s="43"/>
    </row>
    <row r="1292" ht="12.75" customHeight="1">
      <c r="A1292" s="48" t="s">
        <v>44</v>
      </c>
      <c r="B1292" s="48" t="s">
        <v>28</v>
      </c>
      <c r="C1292" s="48" t="s">
        <v>48</v>
      </c>
      <c r="D1292" s="48" t="s">
        <v>50</v>
      </c>
      <c r="E1292" s="48"/>
      <c r="F1292" s="48">
        <v>3891.6000000000004</v>
      </c>
      <c r="G1292" s="43"/>
      <c r="H1292" s="43"/>
      <c r="I1292" s="43"/>
    </row>
    <row r="1293" ht="12.75" customHeight="1">
      <c r="A1293" s="48" t="s">
        <v>44</v>
      </c>
      <c r="B1293" s="48" t="s">
        <v>28</v>
      </c>
      <c r="C1293" s="48" t="s">
        <v>48</v>
      </c>
      <c r="D1293" s="48" t="s">
        <v>50</v>
      </c>
      <c r="E1293" s="48"/>
      <c r="F1293" s="48">
        <v>5907.900000000001</v>
      </c>
      <c r="G1293" s="43"/>
      <c r="H1293" s="43"/>
      <c r="I1293" s="43"/>
    </row>
    <row r="1294" ht="12.75" customHeight="1">
      <c r="A1294" s="48" t="s">
        <v>44</v>
      </c>
      <c r="B1294" s="48" t="s">
        <v>28</v>
      </c>
      <c r="C1294" s="48" t="s">
        <v>48</v>
      </c>
      <c r="D1294" s="48" t="s">
        <v>50</v>
      </c>
      <c r="E1294" s="48"/>
      <c r="F1294" s="48">
        <v>7731.5</v>
      </c>
      <c r="G1294" s="43"/>
      <c r="H1294" s="43"/>
      <c r="I1294" s="43"/>
    </row>
    <row r="1295" ht="12.75" customHeight="1">
      <c r="A1295" s="48" t="s">
        <v>44</v>
      </c>
      <c r="B1295" s="48" t="s">
        <v>28</v>
      </c>
      <c r="C1295" s="48" t="s">
        <v>48</v>
      </c>
      <c r="D1295" s="48" t="s">
        <v>50</v>
      </c>
      <c r="E1295" s="48"/>
      <c r="F1295" s="48">
        <v>10711.300000000001</v>
      </c>
      <c r="G1295" s="43"/>
      <c r="H1295" s="43"/>
      <c r="I1295" s="43"/>
    </row>
    <row r="1296" ht="12.75" customHeight="1">
      <c r="A1296" s="48" t="s">
        <v>44</v>
      </c>
      <c r="B1296" s="48" t="s">
        <v>28</v>
      </c>
      <c r="C1296" s="48" t="s">
        <v>48</v>
      </c>
      <c r="D1296" s="48" t="s">
        <v>50</v>
      </c>
      <c r="E1296" s="48"/>
      <c r="F1296" s="48">
        <v>14565.300000000001</v>
      </c>
      <c r="G1296" s="43"/>
      <c r="H1296" s="43"/>
      <c r="I1296" s="43"/>
    </row>
    <row r="1297" ht="12.75" customHeight="1">
      <c r="A1297" s="48" t="s">
        <v>44</v>
      </c>
      <c r="B1297" s="48" t="s">
        <v>28</v>
      </c>
      <c r="C1297" s="48" t="s">
        <v>48</v>
      </c>
      <c r="D1297" s="48" t="s">
        <v>50</v>
      </c>
      <c r="E1297" s="48"/>
      <c r="F1297" s="48">
        <v>4295.8</v>
      </c>
      <c r="G1297" s="43"/>
      <c r="H1297" s="43"/>
      <c r="I1297" s="43"/>
    </row>
    <row r="1298" ht="12.75" customHeight="1">
      <c r="A1298" s="48" t="s">
        <v>44</v>
      </c>
      <c r="B1298" s="48" t="s">
        <v>28</v>
      </c>
      <c r="C1298" s="48" t="s">
        <v>48</v>
      </c>
      <c r="D1298" s="48" t="s">
        <v>50</v>
      </c>
      <c r="E1298" s="48"/>
      <c r="F1298" s="48">
        <v>6988.900000000001</v>
      </c>
      <c r="G1298" s="43"/>
      <c r="H1298" s="43"/>
      <c r="I1298" s="43"/>
    </row>
    <row r="1299" ht="12.75" customHeight="1">
      <c r="A1299" s="48" t="s">
        <v>44</v>
      </c>
      <c r="B1299" s="48" t="s">
        <v>28</v>
      </c>
      <c r="C1299" s="48" t="s">
        <v>48</v>
      </c>
      <c r="D1299" s="48" t="s">
        <v>50</v>
      </c>
      <c r="E1299" s="48"/>
      <c r="F1299" s="48">
        <v>5278.1</v>
      </c>
      <c r="G1299" s="43"/>
      <c r="H1299" s="43"/>
      <c r="I1299" s="43"/>
    </row>
    <row r="1300" ht="12.75" customHeight="1">
      <c r="A1300" s="48" t="s">
        <v>44</v>
      </c>
      <c r="B1300" s="48" t="s">
        <v>28</v>
      </c>
      <c r="C1300" s="48" t="s">
        <v>48</v>
      </c>
      <c r="D1300" s="48" t="s">
        <v>50</v>
      </c>
      <c r="E1300" s="48"/>
      <c r="F1300" s="48">
        <v>10335.300000000001</v>
      </c>
      <c r="G1300" s="43"/>
      <c r="H1300" s="43"/>
      <c r="I1300" s="43"/>
    </row>
    <row r="1301" ht="12.75" customHeight="1">
      <c r="A1301" s="48" t="s">
        <v>44</v>
      </c>
      <c r="B1301" s="48" t="s">
        <v>28</v>
      </c>
      <c r="C1301" s="48" t="s">
        <v>48</v>
      </c>
      <c r="D1301" s="48" t="s">
        <v>50</v>
      </c>
      <c r="E1301" s="48"/>
      <c r="F1301" s="48">
        <v>7026.5</v>
      </c>
      <c r="G1301" s="43"/>
      <c r="H1301" s="43"/>
      <c r="I1301" s="43"/>
    </row>
    <row r="1302" ht="12.75" customHeight="1">
      <c r="A1302" s="48" t="s">
        <v>44</v>
      </c>
      <c r="B1302" s="48" t="s">
        <v>28</v>
      </c>
      <c r="C1302" s="48" t="s">
        <v>48</v>
      </c>
      <c r="D1302" s="48" t="s">
        <v>50</v>
      </c>
      <c r="E1302" s="48"/>
      <c r="F1302" s="48">
        <v>0.0</v>
      </c>
      <c r="G1302" s="43"/>
      <c r="H1302" s="43"/>
      <c r="I1302" s="43"/>
    </row>
    <row r="1303" ht="12.75" customHeight="1">
      <c r="A1303" s="48" t="s">
        <v>44</v>
      </c>
      <c r="B1303" s="48" t="s">
        <v>28</v>
      </c>
      <c r="C1303" s="48" t="s">
        <v>48</v>
      </c>
      <c r="D1303" s="48" t="s">
        <v>50</v>
      </c>
      <c r="E1303" s="48"/>
      <c r="F1303" s="48">
        <v>8629.2</v>
      </c>
      <c r="G1303" s="43"/>
      <c r="H1303" s="43"/>
      <c r="I1303" s="43"/>
    </row>
    <row r="1304" ht="12.75" customHeight="1">
      <c r="A1304" s="48" t="s">
        <v>44</v>
      </c>
      <c r="B1304" s="48" t="s">
        <v>28</v>
      </c>
      <c r="C1304" s="48" t="s">
        <v>48</v>
      </c>
      <c r="D1304" s="48" t="s">
        <v>50</v>
      </c>
      <c r="E1304" s="48"/>
      <c r="F1304" s="48">
        <v>125424.20000000001</v>
      </c>
      <c r="G1304" s="43"/>
      <c r="H1304" s="43"/>
      <c r="I1304" s="43"/>
    </row>
    <row r="1305" ht="12.75" customHeight="1">
      <c r="A1305" s="48" t="s">
        <v>44</v>
      </c>
      <c r="B1305" s="48" t="s">
        <v>28</v>
      </c>
      <c r="C1305" s="48" t="s">
        <v>48</v>
      </c>
      <c r="D1305" s="48" t="s">
        <v>50</v>
      </c>
      <c r="E1305" s="48"/>
      <c r="F1305" s="48">
        <v>6880.8</v>
      </c>
      <c r="G1305" s="43"/>
      <c r="H1305" s="43"/>
      <c r="I1305" s="43"/>
    </row>
    <row r="1306" ht="12.75" customHeight="1">
      <c r="A1306" s="48" t="s">
        <v>44</v>
      </c>
      <c r="B1306" s="48" t="s">
        <v>28</v>
      </c>
      <c r="C1306" s="48" t="s">
        <v>48</v>
      </c>
      <c r="D1306" s="48" t="s">
        <v>50</v>
      </c>
      <c r="E1306" s="48"/>
      <c r="F1306" s="48">
        <v>12755.800000000001</v>
      </c>
      <c r="G1306" s="43"/>
      <c r="H1306" s="43"/>
      <c r="I1306" s="43"/>
    </row>
    <row r="1307" ht="12.75" customHeight="1">
      <c r="A1307" s="48" t="s">
        <v>44</v>
      </c>
      <c r="B1307" s="48" t="s">
        <v>28</v>
      </c>
      <c r="C1307" s="48" t="s">
        <v>48</v>
      </c>
      <c r="D1307" s="48" t="s">
        <v>50</v>
      </c>
      <c r="E1307" s="48"/>
      <c r="F1307" s="48">
        <v>4803.400000000001</v>
      </c>
      <c r="G1307" s="43"/>
      <c r="H1307" s="43"/>
      <c r="I1307" s="43"/>
    </row>
    <row r="1308" ht="12.75" customHeight="1">
      <c r="A1308" s="48" t="s">
        <v>44</v>
      </c>
      <c r="B1308" s="48" t="s">
        <v>28</v>
      </c>
      <c r="C1308" s="48" t="s">
        <v>48</v>
      </c>
      <c r="D1308" s="48" t="s">
        <v>50</v>
      </c>
      <c r="E1308" s="48"/>
      <c r="F1308" s="48">
        <v>8469.4</v>
      </c>
      <c r="G1308" s="43"/>
      <c r="H1308" s="43"/>
      <c r="I1308" s="43"/>
    </row>
    <row r="1309" ht="12.75" customHeight="1">
      <c r="A1309" s="48" t="s">
        <v>44</v>
      </c>
      <c r="B1309" s="48" t="s">
        <v>28</v>
      </c>
      <c r="C1309" s="48" t="s">
        <v>48</v>
      </c>
      <c r="D1309" s="48" t="s">
        <v>50</v>
      </c>
      <c r="E1309" s="48"/>
      <c r="F1309" s="48">
        <v>0.0</v>
      </c>
      <c r="G1309" s="43"/>
      <c r="H1309" s="43"/>
      <c r="I1309" s="43"/>
    </row>
    <row r="1310" ht="12.75" customHeight="1">
      <c r="A1310" s="48" t="s">
        <v>44</v>
      </c>
      <c r="B1310" s="48" t="s">
        <v>28</v>
      </c>
      <c r="C1310" s="48" t="s">
        <v>48</v>
      </c>
      <c r="D1310" s="48" t="s">
        <v>47</v>
      </c>
      <c r="E1310" s="48"/>
      <c r="F1310" s="48">
        <v>846.0</v>
      </c>
      <c r="G1310" s="43"/>
      <c r="H1310" s="43"/>
      <c r="I1310" s="43"/>
    </row>
    <row r="1311" ht="12.75" customHeight="1">
      <c r="A1311" s="48" t="s">
        <v>44</v>
      </c>
      <c r="B1311" s="48" t="s">
        <v>28</v>
      </c>
      <c r="C1311" s="48" t="s">
        <v>48</v>
      </c>
      <c r="D1311" s="48" t="s">
        <v>47</v>
      </c>
      <c r="E1311" s="48"/>
      <c r="F1311" s="48">
        <v>-2082.1</v>
      </c>
      <c r="G1311" s="43"/>
      <c r="H1311" s="43"/>
      <c r="I1311" s="43"/>
    </row>
    <row r="1312" ht="12.75" customHeight="1">
      <c r="A1312" s="48" t="s">
        <v>44</v>
      </c>
      <c r="B1312" s="48" t="s">
        <v>28</v>
      </c>
      <c r="C1312" s="48" t="s">
        <v>48</v>
      </c>
      <c r="D1312" s="48" t="s">
        <v>47</v>
      </c>
      <c r="E1312" s="48"/>
      <c r="F1312" s="48">
        <v>2044.5</v>
      </c>
      <c r="G1312" s="43"/>
      <c r="H1312" s="43"/>
      <c r="I1312" s="43"/>
    </row>
    <row r="1313" ht="12.75" customHeight="1">
      <c r="A1313" s="48" t="s">
        <v>44</v>
      </c>
      <c r="B1313" s="48" t="s">
        <v>28</v>
      </c>
      <c r="C1313" s="48" t="s">
        <v>48</v>
      </c>
      <c r="D1313" s="48" t="s">
        <v>47</v>
      </c>
      <c r="E1313" s="48"/>
      <c r="F1313" s="48">
        <v>-2044.5</v>
      </c>
      <c r="G1313" s="43"/>
      <c r="H1313" s="43"/>
      <c r="I1313" s="43"/>
    </row>
    <row r="1314" ht="12.75" customHeight="1">
      <c r="A1314" s="48" t="s">
        <v>44</v>
      </c>
      <c r="B1314" s="48" t="s">
        <v>28</v>
      </c>
      <c r="C1314" s="48" t="s">
        <v>48</v>
      </c>
      <c r="D1314" s="48" t="s">
        <v>47</v>
      </c>
      <c r="E1314" s="48"/>
      <c r="F1314" s="48">
        <v>80398.2</v>
      </c>
      <c r="G1314" s="43"/>
      <c r="H1314" s="43"/>
      <c r="I1314" s="43"/>
    </row>
    <row r="1315" ht="12.75" customHeight="1">
      <c r="A1315" s="48" t="s">
        <v>44</v>
      </c>
      <c r="B1315" s="48" t="s">
        <v>28</v>
      </c>
      <c r="C1315" s="48" t="s">
        <v>48</v>
      </c>
      <c r="D1315" s="48" t="s">
        <v>47</v>
      </c>
      <c r="E1315" s="48"/>
      <c r="F1315" s="48">
        <v>6429.6</v>
      </c>
      <c r="G1315" s="43"/>
      <c r="H1315" s="43"/>
      <c r="I1315" s="43"/>
    </row>
    <row r="1316" ht="12.75" customHeight="1">
      <c r="A1316" s="48" t="s">
        <v>44</v>
      </c>
      <c r="B1316" s="48" t="s">
        <v>28</v>
      </c>
      <c r="C1316" s="48" t="s">
        <v>48</v>
      </c>
      <c r="D1316" s="48" t="s">
        <v>47</v>
      </c>
      <c r="E1316" s="48"/>
      <c r="F1316" s="48">
        <v>12516.1</v>
      </c>
      <c r="G1316" s="43"/>
      <c r="H1316" s="43"/>
      <c r="I1316" s="43"/>
    </row>
    <row r="1317" ht="12.75" customHeight="1">
      <c r="A1317" s="48" t="s">
        <v>44</v>
      </c>
      <c r="B1317" s="48" t="s">
        <v>28</v>
      </c>
      <c r="C1317" s="48" t="s">
        <v>48</v>
      </c>
      <c r="D1317" s="48" t="s">
        <v>47</v>
      </c>
      <c r="E1317" s="48"/>
      <c r="F1317" s="48">
        <v>239.70000000000002</v>
      </c>
      <c r="G1317" s="43"/>
      <c r="H1317" s="43"/>
      <c r="I1317" s="43"/>
    </row>
    <row r="1318" ht="12.75" customHeight="1">
      <c r="A1318" s="48" t="s">
        <v>44</v>
      </c>
      <c r="B1318" s="48" t="s">
        <v>28</v>
      </c>
      <c r="C1318" s="48" t="s">
        <v>48</v>
      </c>
      <c r="D1318" s="48" t="s">
        <v>47</v>
      </c>
      <c r="E1318" s="48"/>
      <c r="F1318" s="48">
        <v>1057.5</v>
      </c>
      <c r="G1318" s="43"/>
      <c r="H1318" s="43"/>
      <c r="I1318" s="43"/>
    </row>
    <row r="1319" ht="12.75" customHeight="1">
      <c r="A1319" s="48" t="s">
        <v>44</v>
      </c>
      <c r="B1319" s="48" t="s">
        <v>28</v>
      </c>
      <c r="C1319" s="48" t="s">
        <v>48</v>
      </c>
      <c r="D1319" s="48" t="s">
        <v>47</v>
      </c>
      <c r="E1319" s="48"/>
      <c r="F1319" s="48">
        <v>705.0</v>
      </c>
      <c r="G1319" s="43"/>
      <c r="H1319" s="43"/>
      <c r="I1319" s="43"/>
    </row>
    <row r="1320" ht="12.75" customHeight="1">
      <c r="A1320" s="48" t="s">
        <v>44</v>
      </c>
      <c r="B1320" s="48" t="s">
        <v>28</v>
      </c>
      <c r="C1320" s="48" t="s">
        <v>48</v>
      </c>
      <c r="D1320" s="48" t="s">
        <v>47</v>
      </c>
      <c r="E1320" s="48"/>
      <c r="F1320" s="48">
        <v>-401760.7</v>
      </c>
      <c r="G1320" s="43"/>
      <c r="H1320" s="43"/>
      <c r="I1320" s="43"/>
    </row>
    <row r="1321" ht="12.75" customHeight="1">
      <c r="A1321" s="48" t="s">
        <v>44</v>
      </c>
      <c r="B1321" s="48" t="s">
        <v>28</v>
      </c>
      <c r="C1321" s="48" t="s">
        <v>48</v>
      </c>
      <c r="D1321" s="48" t="s">
        <v>47</v>
      </c>
      <c r="E1321" s="48"/>
      <c r="F1321" s="48">
        <v>-1880.0</v>
      </c>
      <c r="G1321" s="43"/>
      <c r="H1321" s="43"/>
      <c r="I1321" s="43"/>
    </row>
    <row r="1322" ht="12.75" customHeight="1">
      <c r="A1322" s="48" t="s">
        <v>44</v>
      </c>
      <c r="B1322" s="48" t="s">
        <v>28</v>
      </c>
      <c r="C1322" s="48" t="s">
        <v>48</v>
      </c>
      <c r="D1322" s="48" t="s">
        <v>47</v>
      </c>
      <c r="E1322" s="48"/>
      <c r="F1322" s="48">
        <v>-1945.8000000000002</v>
      </c>
      <c r="G1322" s="43"/>
      <c r="H1322" s="43"/>
      <c r="I1322" s="43"/>
    </row>
    <row r="1323" ht="12.75" customHeight="1">
      <c r="A1323" s="48" t="s">
        <v>44</v>
      </c>
      <c r="B1323" s="48" t="s">
        <v>28</v>
      </c>
      <c r="C1323" s="48" t="s">
        <v>48</v>
      </c>
      <c r="D1323" s="48" t="s">
        <v>47</v>
      </c>
      <c r="E1323" s="48"/>
      <c r="F1323" s="48">
        <v>4474.400000000001</v>
      </c>
      <c r="G1323" s="43"/>
      <c r="H1323" s="43"/>
      <c r="I1323" s="43"/>
    </row>
    <row r="1324" ht="12.75" customHeight="1">
      <c r="A1324" s="48" t="s">
        <v>44</v>
      </c>
      <c r="B1324" s="48" t="s">
        <v>28</v>
      </c>
      <c r="C1324" s="48" t="s">
        <v>48</v>
      </c>
      <c r="D1324" s="48" t="s">
        <v>47</v>
      </c>
      <c r="E1324" s="48"/>
      <c r="F1324" s="48">
        <v>540.5</v>
      </c>
      <c r="G1324" s="43"/>
      <c r="H1324" s="43"/>
      <c r="I1324" s="43"/>
    </row>
    <row r="1325" ht="12.75" customHeight="1">
      <c r="A1325" s="48" t="s">
        <v>44</v>
      </c>
      <c r="B1325" s="48" t="s">
        <v>28</v>
      </c>
      <c r="C1325" s="48" t="s">
        <v>28</v>
      </c>
      <c r="D1325" s="48" t="s">
        <v>54</v>
      </c>
      <c r="E1325" s="48"/>
      <c r="F1325" s="48">
        <v>2674.3</v>
      </c>
      <c r="G1325" s="43"/>
      <c r="H1325" s="43"/>
      <c r="I1325" s="43"/>
    </row>
    <row r="1326" ht="12.75" customHeight="1">
      <c r="A1326" s="48" t="s">
        <v>44</v>
      </c>
      <c r="B1326" s="48" t="s">
        <v>28</v>
      </c>
      <c r="C1326" s="48" t="s">
        <v>28</v>
      </c>
      <c r="D1326" s="48" t="s">
        <v>54</v>
      </c>
      <c r="E1326" s="48"/>
      <c r="F1326" s="48">
        <v>723.8000000000001</v>
      </c>
      <c r="G1326" s="43"/>
      <c r="H1326" s="43"/>
      <c r="I1326" s="43"/>
    </row>
    <row r="1327" ht="12.75" customHeight="1">
      <c r="A1327" s="48" t="s">
        <v>44</v>
      </c>
      <c r="B1327" s="48" t="s">
        <v>28</v>
      </c>
      <c r="C1327" s="48" t="s">
        <v>28</v>
      </c>
      <c r="D1327" s="48" t="s">
        <v>54</v>
      </c>
      <c r="E1327" s="48"/>
      <c r="F1327" s="48">
        <v>-51.7</v>
      </c>
      <c r="G1327" s="43"/>
      <c r="H1327" s="43"/>
      <c r="I1327" s="43"/>
    </row>
    <row r="1328" ht="12.75" customHeight="1">
      <c r="A1328" s="48" t="s">
        <v>44</v>
      </c>
      <c r="B1328" s="48" t="s">
        <v>28</v>
      </c>
      <c r="C1328" s="48" t="s">
        <v>28</v>
      </c>
      <c r="D1328" s="48" t="s">
        <v>54</v>
      </c>
      <c r="E1328" s="48"/>
      <c r="F1328" s="48">
        <v>-3402.8</v>
      </c>
      <c r="G1328" s="43"/>
      <c r="H1328" s="43"/>
      <c r="I1328" s="43"/>
    </row>
    <row r="1329" ht="12.75" customHeight="1">
      <c r="A1329" s="48" t="s">
        <v>44</v>
      </c>
      <c r="B1329" s="48" t="s">
        <v>28</v>
      </c>
      <c r="C1329" s="48" t="s">
        <v>28</v>
      </c>
      <c r="D1329" s="48" t="s">
        <v>50</v>
      </c>
      <c r="E1329" s="48"/>
      <c r="F1329" s="48">
        <v>940.0</v>
      </c>
      <c r="G1329" s="43"/>
      <c r="H1329" s="43"/>
      <c r="I1329" s="43"/>
    </row>
    <row r="1330" ht="12.75" customHeight="1">
      <c r="A1330" s="48" t="s">
        <v>44</v>
      </c>
      <c r="B1330" s="48" t="s">
        <v>28</v>
      </c>
      <c r="C1330" s="48" t="s">
        <v>28</v>
      </c>
      <c r="D1330" s="48" t="s">
        <v>50</v>
      </c>
      <c r="E1330" s="48"/>
      <c r="F1330" s="48">
        <v>596.9</v>
      </c>
      <c r="G1330" s="43"/>
      <c r="H1330" s="43"/>
      <c r="I1330" s="43"/>
    </row>
    <row r="1331" ht="12.75" customHeight="1">
      <c r="A1331" s="48" t="s">
        <v>44</v>
      </c>
      <c r="B1331" s="48" t="s">
        <v>28</v>
      </c>
      <c r="C1331" s="48" t="s">
        <v>28</v>
      </c>
      <c r="D1331" s="48" t="s">
        <v>50</v>
      </c>
      <c r="E1331" s="48"/>
      <c r="F1331" s="48">
        <v>-1536.9</v>
      </c>
      <c r="G1331" s="43"/>
      <c r="H1331" s="43"/>
      <c r="I1331" s="43"/>
    </row>
    <row r="1332" ht="12.75" customHeight="1">
      <c r="A1332" s="48" t="s">
        <v>44</v>
      </c>
      <c r="B1332" s="48" t="s">
        <v>28</v>
      </c>
      <c r="C1332" s="48" t="s">
        <v>28</v>
      </c>
      <c r="D1332" s="48" t="s">
        <v>47</v>
      </c>
      <c r="E1332" s="48"/>
      <c r="F1332" s="48">
        <v>-14400.800000000001</v>
      </c>
      <c r="G1332" s="43"/>
      <c r="H1332" s="43"/>
      <c r="I1332" s="43"/>
    </row>
    <row r="1333" ht="12.75" customHeight="1">
      <c r="A1333" s="48" t="s">
        <v>44</v>
      </c>
      <c r="B1333" s="48" t="s">
        <v>28</v>
      </c>
      <c r="C1333" s="48" t="s">
        <v>28</v>
      </c>
      <c r="D1333" s="48" t="s">
        <v>47</v>
      </c>
      <c r="E1333" s="48"/>
      <c r="F1333" s="48">
        <v>5757.5</v>
      </c>
      <c r="G1333" s="43"/>
      <c r="H1333" s="43"/>
      <c r="I1333" s="43"/>
    </row>
    <row r="1334" ht="12.75" customHeight="1">
      <c r="A1334" s="48" t="s">
        <v>44</v>
      </c>
      <c r="B1334" s="48" t="s">
        <v>28</v>
      </c>
      <c r="C1334" s="48" t="s">
        <v>28</v>
      </c>
      <c r="D1334" s="48" t="s">
        <v>47</v>
      </c>
      <c r="E1334" s="48"/>
      <c r="F1334" s="48">
        <v>6128.8</v>
      </c>
      <c r="G1334" s="43"/>
      <c r="H1334" s="43"/>
      <c r="I1334" s="43"/>
    </row>
    <row r="1335" ht="12.75" customHeight="1">
      <c r="A1335" s="48" t="s">
        <v>44</v>
      </c>
      <c r="B1335" s="48" t="s">
        <v>28</v>
      </c>
      <c r="C1335" s="48" t="s">
        <v>28</v>
      </c>
      <c r="D1335" s="48" t="s">
        <v>47</v>
      </c>
      <c r="E1335" s="48"/>
      <c r="F1335" s="48">
        <v>47775.5</v>
      </c>
      <c r="G1335" s="43"/>
      <c r="H1335" s="43"/>
      <c r="I1335" s="43"/>
    </row>
    <row r="1336" ht="12.75" customHeight="1">
      <c r="A1336" s="48" t="s">
        <v>44</v>
      </c>
      <c r="B1336" s="48" t="s">
        <v>28</v>
      </c>
      <c r="C1336" s="48" t="s">
        <v>28</v>
      </c>
      <c r="D1336" s="48" t="s">
        <v>47</v>
      </c>
      <c r="E1336" s="48"/>
      <c r="F1336" s="48">
        <v>521.7</v>
      </c>
      <c r="G1336" s="43"/>
      <c r="H1336" s="43"/>
      <c r="I1336" s="43"/>
    </row>
    <row r="1337" ht="12.75" customHeight="1">
      <c r="A1337" s="48" t="s">
        <v>44</v>
      </c>
      <c r="B1337" s="48" t="s">
        <v>28</v>
      </c>
      <c r="C1337" s="48" t="s">
        <v>28</v>
      </c>
      <c r="D1337" s="48" t="s">
        <v>47</v>
      </c>
      <c r="E1337" s="48"/>
      <c r="F1337" s="48">
        <v>-11787.6</v>
      </c>
      <c r="G1337" s="43"/>
      <c r="H1337" s="43"/>
      <c r="I1337" s="43"/>
    </row>
    <row r="1338" ht="12.75" customHeight="1">
      <c r="A1338" s="48" t="s">
        <v>44</v>
      </c>
      <c r="B1338" s="48" t="s">
        <v>28</v>
      </c>
      <c r="C1338" s="48" t="s">
        <v>28</v>
      </c>
      <c r="D1338" s="48" t="s">
        <v>47</v>
      </c>
      <c r="E1338" s="48"/>
      <c r="F1338" s="48">
        <v>4620.1</v>
      </c>
      <c r="G1338" s="43"/>
      <c r="H1338" s="43"/>
      <c r="I1338" s="43"/>
    </row>
    <row r="1339" ht="12.75" customHeight="1">
      <c r="A1339" s="48" t="s">
        <v>44</v>
      </c>
      <c r="B1339" s="48" t="s">
        <v>28</v>
      </c>
      <c r="C1339" s="48" t="s">
        <v>28</v>
      </c>
      <c r="D1339" s="48" t="s">
        <v>47</v>
      </c>
      <c r="E1339" s="48"/>
      <c r="F1339" s="48">
        <v>-6909.0</v>
      </c>
      <c r="G1339" s="43"/>
      <c r="H1339" s="43"/>
      <c r="I1339" s="43"/>
    </row>
    <row r="1340" ht="12.75" customHeight="1">
      <c r="A1340" s="48" t="s">
        <v>44</v>
      </c>
      <c r="B1340" s="48" t="s">
        <v>28</v>
      </c>
      <c r="C1340" s="48" t="s">
        <v>28</v>
      </c>
      <c r="D1340" s="48" t="s">
        <v>47</v>
      </c>
      <c r="E1340" s="48"/>
      <c r="F1340" s="48">
        <v>676.8000000000001</v>
      </c>
      <c r="G1340" s="43"/>
      <c r="H1340" s="43"/>
      <c r="I1340" s="43"/>
    </row>
    <row r="1341" ht="12.75" customHeight="1">
      <c r="A1341" s="48" t="s">
        <v>44</v>
      </c>
      <c r="B1341" s="48" t="s">
        <v>28</v>
      </c>
      <c r="C1341" s="48" t="s">
        <v>28</v>
      </c>
      <c r="D1341" s="48" t="s">
        <v>47</v>
      </c>
      <c r="E1341" s="48"/>
      <c r="F1341" s="48">
        <v>-30526.5</v>
      </c>
      <c r="G1341" s="43"/>
      <c r="H1341" s="43"/>
      <c r="I1341" s="43"/>
    </row>
    <row r="1342" ht="12.75" customHeight="1">
      <c r="A1342" s="48" t="s">
        <v>44</v>
      </c>
      <c r="B1342" s="48" t="s">
        <v>28</v>
      </c>
      <c r="C1342" s="48" t="s">
        <v>28</v>
      </c>
      <c r="D1342" s="48" t="s">
        <v>47</v>
      </c>
      <c r="E1342" s="48"/>
      <c r="F1342" s="48">
        <v>-66528.5</v>
      </c>
      <c r="G1342" s="43"/>
      <c r="H1342" s="43"/>
      <c r="I1342" s="43"/>
    </row>
    <row r="1343" ht="12.75" customHeight="1">
      <c r="A1343" s="48" t="s">
        <v>44</v>
      </c>
      <c r="B1343" s="48" t="s">
        <v>28</v>
      </c>
      <c r="C1343" s="48" t="s">
        <v>51</v>
      </c>
      <c r="D1343" s="48" t="s">
        <v>53</v>
      </c>
      <c r="E1343" s="48"/>
      <c r="F1343" s="48">
        <v>2321.8</v>
      </c>
      <c r="G1343" s="43"/>
      <c r="H1343" s="43"/>
      <c r="I1343" s="43"/>
    </row>
    <row r="1344" ht="12.75" customHeight="1">
      <c r="A1344" s="48" t="s">
        <v>44</v>
      </c>
      <c r="B1344" s="48" t="s">
        <v>28</v>
      </c>
      <c r="C1344" s="48" t="s">
        <v>51</v>
      </c>
      <c r="D1344" s="48" t="s">
        <v>54</v>
      </c>
      <c r="E1344" s="48"/>
      <c r="F1344" s="48">
        <v>3026.8</v>
      </c>
      <c r="G1344" s="43"/>
      <c r="H1344" s="43"/>
      <c r="I1344" s="43"/>
    </row>
    <row r="1345" ht="12.75" customHeight="1">
      <c r="A1345" s="48" t="s">
        <v>44</v>
      </c>
      <c r="B1345" s="48" t="s">
        <v>28</v>
      </c>
      <c r="C1345" s="48" t="s">
        <v>51</v>
      </c>
      <c r="D1345" s="48" t="s">
        <v>54</v>
      </c>
      <c r="E1345" s="48"/>
      <c r="F1345" s="48">
        <v>117.5</v>
      </c>
      <c r="G1345" s="43"/>
      <c r="H1345" s="43"/>
      <c r="I1345" s="43"/>
    </row>
    <row r="1346" ht="12.75" customHeight="1">
      <c r="A1346" s="48" t="s">
        <v>44</v>
      </c>
      <c r="B1346" s="48" t="s">
        <v>28</v>
      </c>
      <c r="C1346" s="48" t="s">
        <v>51</v>
      </c>
      <c r="D1346" s="48" t="s">
        <v>54</v>
      </c>
      <c r="E1346" s="48"/>
      <c r="F1346" s="48">
        <v>22400.2</v>
      </c>
      <c r="G1346" s="43"/>
      <c r="H1346" s="43"/>
      <c r="I1346" s="43"/>
    </row>
    <row r="1347" ht="12.75" customHeight="1">
      <c r="A1347" s="48" t="s">
        <v>44</v>
      </c>
      <c r="B1347" s="48" t="s">
        <v>28</v>
      </c>
      <c r="C1347" s="48" t="s">
        <v>51</v>
      </c>
      <c r="D1347" s="48" t="s">
        <v>54</v>
      </c>
      <c r="E1347" s="48"/>
      <c r="F1347" s="48">
        <v>37.6</v>
      </c>
      <c r="G1347" s="43"/>
      <c r="H1347" s="43"/>
      <c r="I1347" s="43"/>
    </row>
    <row r="1348" ht="12.75" customHeight="1">
      <c r="A1348" s="48" t="s">
        <v>44</v>
      </c>
      <c r="B1348" s="48" t="s">
        <v>28</v>
      </c>
      <c r="C1348" s="48" t="s">
        <v>51</v>
      </c>
      <c r="D1348" s="48" t="s">
        <v>54</v>
      </c>
      <c r="E1348" s="48"/>
      <c r="F1348" s="48">
        <v>455.90000000000003</v>
      </c>
      <c r="G1348" s="43"/>
      <c r="H1348" s="43"/>
      <c r="I1348" s="43"/>
    </row>
    <row r="1349" ht="12.75" customHeight="1">
      <c r="A1349" s="48" t="s">
        <v>44</v>
      </c>
      <c r="B1349" s="48" t="s">
        <v>28</v>
      </c>
      <c r="C1349" s="48" t="s">
        <v>51</v>
      </c>
      <c r="D1349" s="48" t="s">
        <v>54</v>
      </c>
      <c r="E1349" s="48"/>
      <c r="F1349" s="48">
        <v>47.0</v>
      </c>
      <c r="G1349" s="43"/>
      <c r="H1349" s="43"/>
      <c r="I1349" s="43"/>
    </row>
    <row r="1350" ht="12.75" customHeight="1">
      <c r="A1350" s="48" t="s">
        <v>44</v>
      </c>
      <c r="B1350" s="48" t="s">
        <v>28</v>
      </c>
      <c r="C1350" s="48" t="s">
        <v>51</v>
      </c>
      <c r="D1350" s="48" t="s">
        <v>49</v>
      </c>
      <c r="E1350" s="48"/>
      <c r="F1350" s="48">
        <v>0.0</v>
      </c>
      <c r="G1350" s="43"/>
      <c r="H1350" s="43"/>
      <c r="I1350" s="43"/>
    </row>
    <row r="1351" ht="12.75" customHeight="1">
      <c r="A1351" s="48" t="s">
        <v>44</v>
      </c>
      <c r="B1351" s="48" t="s">
        <v>28</v>
      </c>
      <c r="C1351" s="48" t="s">
        <v>51</v>
      </c>
      <c r="D1351" s="48" t="s">
        <v>49</v>
      </c>
      <c r="E1351" s="48"/>
      <c r="F1351" s="48">
        <v>1508.7</v>
      </c>
      <c r="G1351" s="43"/>
      <c r="H1351" s="43"/>
      <c r="I1351" s="43"/>
    </row>
    <row r="1352" ht="12.75" customHeight="1">
      <c r="A1352" s="48" t="s">
        <v>44</v>
      </c>
      <c r="B1352" s="48" t="s">
        <v>28</v>
      </c>
      <c r="C1352" s="48" t="s">
        <v>51</v>
      </c>
      <c r="D1352" s="48" t="s">
        <v>50</v>
      </c>
      <c r="E1352" s="48"/>
      <c r="F1352" s="48">
        <v>484.1</v>
      </c>
      <c r="G1352" s="43"/>
      <c r="H1352" s="43"/>
      <c r="I1352" s="43"/>
    </row>
    <row r="1353" ht="12.75" customHeight="1">
      <c r="A1353" s="48" t="s">
        <v>44</v>
      </c>
      <c r="B1353" s="48" t="s">
        <v>28</v>
      </c>
      <c r="C1353" s="48" t="s">
        <v>51</v>
      </c>
      <c r="D1353" s="48" t="s">
        <v>50</v>
      </c>
      <c r="E1353" s="48"/>
      <c r="F1353" s="48">
        <v>2307.7000000000003</v>
      </c>
      <c r="G1353" s="43"/>
      <c r="H1353" s="43"/>
      <c r="I1353" s="43"/>
    </row>
    <row r="1354" ht="12.75" customHeight="1">
      <c r="A1354" s="48" t="s">
        <v>44</v>
      </c>
      <c r="B1354" s="48" t="s">
        <v>28</v>
      </c>
      <c r="C1354" s="48" t="s">
        <v>51</v>
      </c>
      <c r="D1354" s="48" t="s">
        <v>50</v>
      </c>
      <c r="E1354" s="48"/>
      <c r="F1354" s="48">
        <v>10932.2</v>
      </c>
      <c r="G1354" s="43"/>
      <c r="H1354" s="43"/>
      <c r="I1354" s="43"/>
    </row>
    <row r="1355" ht="12.75" customHeight="1">
      <c r="A1355" s="48" t="s">
        <v>44</v>
      </c>
      <c r="B1355" s="48" t="s">
        <v>28</v>
      </c>
      <c r="C1355" s="48" t="s">
        <v>51</v>
      </c>
      <c r="D1355" s="48" t="s">
        <v>50</v>
      </c>
      <c r="E1355" s="48"/>
      <c r="F1355" s="48">
        <v>1175.0</v>
      </c>
      <c r="G1355" s="43"/>
      <c r="H1355" s="43"/>
      <c r="I1355" s="43"/>
    </row>
    <row r="1356" ht="12.75" customHeight="1">
      <c r="A1356" s="48" t="s">
        <v>44</v>
      </c>
      <c r="B1356" s="48" t="s">
        <v>28</v>
      </c>
      <c r="C1356" s="48" t="s">
        <v>51</v>
      </c>
      <c r="D1356" s="48" t="s">
        <v>50</v>
      </c>
      <c r="E1356" s="48"/>
      <c r="F1356" s="48">
        <v>4530.8</v>
      </c>
      <c r="G1356" s="43"/>
      <c r="H1356" s="43"/>
      <c r="I1356" s="43"/>
    </row>
    <row r="1357" ht="12.75" customHeight="1">
      <c r="A1357" s="48" t="s">
        <v>44</v>
      </c>
      <c r="B1357" s="48" t="s">
        <v>28</v>
      </c>
      <c r="C1357" s="48" t="s">
        <v>51</v>
      </c>
      <c r="D1357" s="48" t="s">
        <v>50</v>
      </c>
      <c r="E1357" s="48"/>
      <c r="F1357" s="48">
        <v>460.6</v>
      </c>
      <c r="G1357" s="43"/>
      <c r="H1357" s="43"/>
      <c r="I1357" s="43"/>
    </row>
    <row r="1358" ht="12.75" customHeight="1">
      <c r="A1358" s="48" t="s">
        <v>44</v>
      </c>
      <c r="B1358" s="48" t="s">
        <v>28</v>
      </c>
      <c r="C1358" s="48" t="s">
        <v>51</v>
      </c>
      <c r="D1358" s="48" t="s">
        <v>50</v>
      </c>
      <c r="E1358" s="48"/>
      <c r="F1358" s="48">
        <v>5264.0</v>
      </c>
      <c r="G1358" s="43"/>
      <c r="H1358" s="43"/>
      <c r="I1358" s="43"/>
    </row>
    <row r="1359" ht="12.75" customHeight="1">
      <c r="A1359" s="48" t="s">
        <v>44</v>
      </c>
      <c r="B1359" s="48" t="s">
        <v>28</v>
      </c>
      <c r="C1359" s="48" t="s">
        <v>51</v>
      </c>
      <c r="D1359" s="48" t="s">
        <v>50</v>
      </c>
      <c r="E1359" s="48"/>
      <c r="F1359" s="48">
        <v>0.0</v>
      </c>
      <c r="G1359" s="43"/>
      <c r="H1359" s="43"/>
      <c r="I1359" s="43"/>
    </row>
    <row r="1360" ht="12.75" customHeight="1">
      <c r="A1360" s="48" t="s">
        <v>44</v>
      </c>
      <c r="B1360" s="48" t="s">
        <v>28</v>
      </c>
      <c r="C1360" s="48" t="s">
        <v>51</v>
      </c>
      <c r="D1360" s="48" t="s">
        <v>47</v>
      </c>
      <c r="E1360" s="48"/>
      <c r="F1360" s="48">
        <v>0.0</v>
      </c>
      <c r="G1360" s="43"/>
      <c r="H1360" s="43"/>
      <c r="I1360" s="43"/>
    </row>
    <row r="1361" ht="12.75" customHeight="1">
      <c r="A1361" s="48" t="s">
        <v>44</v>
      </c>
      <c r="B1361" s="48" t="s">
        <v>28</v>
      </c>
      <c r="C1361" s="48" t="s">
        <v>51</v>
      </c>
      <c r="D1361" s="48" t="s">
        <v>47</v>
      </c>
      <c r="E1361" s="48"/>
      <c r="F1361" s="48">
        <v>-1593.3</v>
      </c>
      <c r="G1361" s="43"/>
      <c r="H1361" s="43"/>
      <c r="I1361" s="43"/>
    </row>
    <row r="1362" ht="12.75" customHeight="1">
      <c r="A1362" s="48" t="s">
        <v>44</v>
      </c>
      <c r="B1362" s="48" t="s">
        <v>28</v>
      </c>
      <c r="C1362" s="48" t="s">
        <v>51</v>
      </c>
      <c r="D1362" s="48" t="s">
        <v>47</v>
      </c>
      <c r="E1362" s="48"/>
      <c r="F1362" s="48">
        <v>404.2</v>
      </c>
      <c r="G1362" s="43"/>
      <c r="H1362" s="43"/>
      <c r="I1362" s="43"/>
    </row>
    <row r="1363" ht="12.75" customHeight="1">
      <c r="A1363" s="48" t="s">
        <v>44</v>
      </c>
      <c r="B1363" s="48" t="s">
        <v>28</v>
      </c>
      <c r="C1363" s="48" t="s">
        <v>51</v>
      </c>
      <c r="D1363" s="48" t="s">
        <v>47</v>
      </c>
      <c r="E1363" s="48"/>
      <c r="F1363" s="48">
        <v>104640.8</v>
      </c>
      <c r="G1363" s="43"/>
      <c r="H1363" s="43"/>
      <c r="I1363" s="43"/>
    </row>
    <row r="1364" ht="12.75" customHeight="1">
      <c r="A1364" s="48" t="s">
        <v>44</v>
      </c>
      <c r="B1364" s="48" t="s">
        <v>28</v>
      </c>
      <c r="C1364" s="48" t="s">
        <v>62</v>
      </c>
      <c r="D1364" s="48" t="s">
        <v>53</v>
      </c>
      <c r="E1364" s="48"/>
      <c r="F1364" s="48">
        <v>-3205.4</v>
      </c>
      <c r="G1364" s="43"/>
      <c r="H1364" s="43"/>
      <c r="I1364" s="43"/>
    </row>
    <row r="1365" ht="12.75" customHeight="1">
      <c r="A1365" s="48" t="s">
        <v>44</v>
      </c>
      <c r="B1365" s="48" t="s">
        <v>28</v>
      </c>
      <c r="C1365" s="48" t="s">
        <v>62</v>
      </c>
      <c r="D1365" s="48" t="s">
        <v>58</v>
      </c>
      <c r="E1365" s="48"/>
      <c r="F1365" s="48">
        <v>47000.0</v>
      </c>
      <c r="G1365" s="43"/>
      <c r="H1365" s="43"/>
      <c r="I1365" s="43"/>
    </row>
    <row r="1366" ht="12.75" customHeight="1">
      <c r="A1366" s="48" t="s">
        <v>44</v>
      </c>
      <c r="B1366" s="48" t="s">
        <v>28</v>
      </c>
      <c r="C1366" s="48" t="s">
        <v>62</v>
      </c>
      <c r="D1366" s="48" t="s">
        <v>8</v>
      </c>
      <c r="E1366" s="48"/>
      <c r="F1366" s="48">
        <v>96429.90000000001</v>
      </c>
      <c r="G1366" s="43"/>
      <c r="H1366" s="43"/>
      <c r="I1366" s="43"/>
    </row>
    <row r="1367" ht="12.75" customHeight="1">
      <c r="A1367" s="48" t="s">
        <v>44</v>
      </c>
      <c r="B1367" s="48" t="s">
        <v>28</v>
      </c>
      <c r="C1367" s="48" t="s">
        <v>62</v>
      </c>
      <c r="D1367" s="48" t="s">
        <v>54</v>
      </c>
      <c r="E1367" s="48"/>
      <c r="F1367" s="48">
        <v>10575.0</v>
      </c>
      <c r="G1367" s="43"/>
      <c r="H1367" s="43"/>
      <c r="I1367" s="43"/>
    </row>
    <row r="1368" ht="12.75" customHeight="1">
      <c r="A1368" s="48" t="s">
        <v>44</v>
      </c>
      <c r="B1368" s="48" t="s">
        <v>28</v>
      </c>
      <c r="C1368" s="48" t="s">
        <v>62</v>
      </c>
      <c r="D1368" s="48" t="s">
        <v>54</v>
      </c>
      <c r="E1368" s="48"/>
      <c r="F1368" s="48">
        <v>51.7</v>
      </c>
      <c r="G1368" s="43"/>
      <c r="H1368" s="43"/>
      <c r="I1368" s="43"/>
    </row>
    <row r="1369" ht="12.75" customHeight="1">
      <c r="A1369" s="48" t="s">
        <v>44</v>
      </c>
      <c r="B1369" s="48" t="s">
        <v>28</v>
      </c>
      <c r="C1369" s="48" t="s">
        <v>62</v>
      </c>
      <c r="D1369" s="48" t="s">
        <v>54</v>
      </c>
      <c r="E1369" s="48"/>
      <c r="F1369" s="48">
        <v>40514.0</v>
      </c>
      <c r="G1369" s="43"/>
      <c r="H1369" s="43"/>
      <c r="I1369" s="43"/>
    </row>
    <row r="1370" ht="12.75" customHeight="1">
      <c r="A1370" s="48" t="s">
        <v>44</v>
      </c>
      <c r="B1370" s="48" t="s">
        <v>28</v>
      </c>
      <c r="C1370" s="48" t="s">
        <v>62</v>
      </c>
      <c r="D1370" s="48" t="s">
        <v>49</v>
      </c>
      <c r="E1370" s="48"/>
      <c r="F1370" s="48">
        <v>0.0</v>
      </c>
      <c r="G1370" s="43"/>
      <c r="H1370" s="43"/>
      <c r="I1370" s="43"/>
    </row>
    <row r="1371" ht="12.75" customHeight="1">
      <c r="A1371" s="48" t="s">
        <v>44</v>
      </c>
      <c r="B1371" s="48" t="s">
        <v>28</v>
      </c>
      <c r="C1371" s="48" t="s">
        <v>62</v>
      </c>
      <c r="D1371" s="48" t="s">
        <v>49</v>
      </c>
      <c r="E1371" s="48"/>
      <c r="F1371" s="48">
        <v>-17413.5</v>
      </c>
      <c r="G1371" s="43"/>
      <c r="H1371" s="43"/>
      <c r="I1371" s="43"/>
    </row>
    <row r="1372" ht="12.75" customHeight="1">
      <c r="A1372" s="48" t="s">
        <v>44</v>
      </c>
      <c r="B1372" s="48" t="s">
        <v>28</v>
      </c>
      <c r="C1372" s="48" t="s">
        <v>62</v>
      </c>
      <c r="D1372" s="48" t="s">
        <v>49</v>
      </c>
      <c r="E1372" s="48"/>
      <c r="F1372" s="48">
        <v>29149.4</v>
      </c>
      <c r="G1372" s="43"/>
      <c r="H1372" s="43"/>
      <c r="I1372" s="43"/>
    </row>
    <row r="1373" ht="12.75" customHeight="1">
      <c r="A1373" s="48" t="s">
        <v>44</v>
      </c>
      <c r="B1373" s="48" t="s">
        <v>28</v>
      </c>
      <c r="C1373" s="48" t="s">
        <v>62</v>
      </c>
      <c r="D1373" s="48" t="s">
        <v>49</v>
      </c>
      <c r="E1373" s="48"/>
      <c r="F1373" s="48">
        <v>33609.700000000004</v>
      </c>
      <c r="G1373" s="43"/>
      <c r="H1373" s="43"/>
      <c r="I1373" s="43"/>
    </row>
    <row r="1374" ht="12.75" customHeight="1">
      <c r="A1374" s="48" t="s">
        <v>44</v>
      </c>
      <c r="B1374" s="48" t="s">
        <v>28</v>
      </c>
      <c r="C1374" s="48" t="s">
        <v>62</v>
      </c>
      <c r="D1374" s="48" t="s">
        <v>49</v>
      </c>
      <c r="E1374" s="48"/>
      <c r="F1374" s="48">
        <v>0.0</v>
      </c>
      <c r="G1374" s="43"/>
      <c r="H1374" s="43"/>
      <c r="I1374" s="43"/>
    </row>
    <row r="1375" ht="12.75" customHeight="1">
      <c r="A1375" s="48" t="s">
        <v>44</v>
      </c>
      <c r="B1375" s="48" t="s">
        <v>28</v>
      </c>
      <c r="C1375" s="48" t="s">
        <v>62</v>
      </c>
      <c r="D1375" s="48" t="s">
        <v>49</v>
      </c>
      <c r="E1375" s="48"/>
      <c r="F1375" s="48">
        <v>180339.0</v>
      </c>
      <c r="G1375" s="43"/>
      <c r="H1375" s="43"/>
      <c r="I1375" s="43"/>
    </row>
    <row r="1376" ht="12.75" customHeight="1">
      <c r="A1376" s="48" t="s">
        <v>44</v>
      </c>
      <c r="B1376" s="48" t="s">
        <v>28</v>
      </c>
      <c r="C1376" s="48" t="s">
        <v>62</v>
      </c>
      <c r="D1376" s="48" t="s">
        <v>49</v>
      </c>
      <c r="E1376" s="48"/>
      <c r="F1376" s="48">
        <v>0.0</v>
      </c>
      <c r="G1376" s="43"/>
      <c r="H1376" s="43"/>
      <c r="I1376" s="43"/>
    </row>
    <row r="1377" ht="12.75" customHeight="1">
      <c r="A1377" s="48" t="s">
        <v>44</v>
      </c>
      <c r="B1377" s="48" t="s">
        <v>28</v>
      </c>
      <c r="C1377" s="48" t="s">
        <v>62</v>
      </c>
      <c r="D1377" s="48" t="s">
        <v>49</v>
      </c>
      <c r="E1377" s="48"/>
      <c r="F1377" s="48">
        <v>0.0</v>
      </c>
      <c r="G1377" s="43"/>
      <c r="H1377" s="43"/>
      <c r="I1377" s="43"/>
    </row>
    <row r="1378" ht="12.75" customHeight="1">
      <c r="A1378" s="48" t="s">
        <v>44</v>
      </c>
      <c r="B1378" s="48" t="s">
        <v>28</v>
      </c>
      <c r="C1378" s="48" t="s">
        <v>62</v>
      </c>
      <c r="D1378" s="48" t="s">
        <v>49</v>
      </c>
      <c r="E1378" s="48"/>
      <c r="F1378" s="48">
        <v>0.0</v>
      </c>
      <c r="G1378" s="43"/>
      <c r="H1378" s="43"/>
      <c r="I1378" s="43"/>
    </row>
    <row r="1379" ht="12.75" customHeight="1">
      <c r="A1379" s="48" t="s">
        <v>44</v>
      </c>
      <c r="B1379" s="48" t="s">
        <v>28</v>
      </c>
      <c r="C1379" s="48" t="s">
        <v>62</v>
      </c>
      <c r="D1379" s="48" t="s">
        <v>49</v>
      </c>
      <c r="E1379" s="48"/>
      <c r="F1379" s="48">
        <v>19627.2</v>
      </c>
      <c r="G1379" s="43"/>
      <c r="H1379" s="43"/>
      <c r="I1379" s="43"/>
    </row>
    <row r="1380" ht="12.75" customHeight="1">
      <c r="A1380" s="48" t="s">
        <v>44</v>
      </c>
      <c r="B1380" s="48" t="s">
        <v>28</v>
      </c>
      <c r="C1380" s="48" t="s">
        <v>62</v>
      </c>
      <c r="D1380" s="48" t="s">
        <v>49</v>
      </c>
      <c r="E1380" s="48"/>
      <c r="F1380" s="48">
        <v>41491.6</v>
      </c>
      <c r="G1380" s="43"/>
      <c r="H1380" s="43"/>
      <c r="I1380" s="43"/>
    </row>
    <row r="1381" ht="12.75" customHeight="1">
      <c r="A1381" s="48" t="s">
        <v>44</v>
      </c>
      <c r="B1381" s="48" t="s">
        <v>28</v>
      </c>
      <c r="C1381" s="48" t="s">
        <v>62</v>
      </c>
      <c r="D1381" s="48" t="s">
        <v>49</v>
      </c>
      <c r="E1381" s="48"/>
      <c r="F1381" s="48">
        <v>5184.1</v>
      </c>
      <c r="G1381" s="43"/>
      <c r="H1381" s="43"/>
      <c r="I1381" s="43"/>
    </row>
    <row r="1382" ht="12.75" customHeight="1">
      <c r="A1382" s="48" t="s">
        <v>44</v>
      </c>
      <c r="B1382" s="48" t="s">
        <v>28</v>
      </c>
      <c r="C1382" s="48" t="s">
        <v>62</v>
      </c>
      <c r="D1382" s="48" t="s">
        <v>49</v>
      </c>
      <c r="E1382" s="48"/>
      <c r="F1382" s="48">
        <v>0.0</v>
      </c>
      <c r="G1382" s="43"/>
      <c r="H1382" s="43"/>
      <c r="I1382" s="43"/>
    </row>
    <row r="1383" ht="12.75" customHeight="1">
      <c r="A1383" s="48" t="s">
        <v>44</v>
      </c>
      <c r="B1383" s="48" t="s">
        <v>28</v>
      </c>
      <c r="C1383" s="48" t="s">
        <v>62</v>
      </c>
      <c r="D1383" s="48" t="s">
        <v>50</v>
      </c>
      <c r="E1383" s="48"/>
      <c r="F1383" s="48">
        <v>5155.900000000001</v>
      </c>
      <c r="G1383" s="43"/>
      <c r="H1383" s="43"/>
      <c r="I1383" s="43"/>
    </row>
    <row r="1384" ht="12.75" customHeight="1">
      <c r="A1384" s="48" t="s">
        <v>44</v>
      </c>
      <c r="B1384" s="48" t="s">
        <v>28</v>
      </c>
      <c r="C1384" s="48" t="s">
        <v>62</v>
      </c>
      <c r="D1384" s="48" t="s">
        <v>50</v>
      </c>
      <c r="E1384" s="48"/>
      <c r="F1384" s="48">
        <v>16534.600000000002</v>
      </c>
      <c r="G1384" s="43"/>
      <c r="H1384" s="43"/>
      <c r="I1384" s="43"/>
    </row>
    <row r="1385" ht="12.75" customHeight="1">
      <c r="A1385" s="48" t="s">
        <v>44</v>
      </c>
      <c r="B1385" s="48" t="s">
        <v>28</v>
      </c>
      <c r="C1385" s="48" t="s">
        <v>62</v>
      </c>
      <c r="D1385" s="48" t="s">
        <v>50</v>
      </c>
      <c r="E1385" s="48"/>
      <c r="F1385" s="48">
        <v>21859.7</v>
      </c>
      <c r="G1385" s="43"/>
      <c r="H1385" s="43"/>
      <c r="I1385" s="43"/>
    </row>
    <row r="1386" ht="12.75" customHeight="1">
      <c r="A1386" s="48" t="s">
        <v>44</v>
      </c>
      <c r="B1386" s="48" t="s">
        <v>28</v>
      </c>
      <c r="C1386" s="48" t="s">
        <v>62</v>
      </c>
      <c r="D1386" s="48" t="s">
        <v>50</v>
      </c>
      <c r="E1386" s="48"/>
      <c r="F1386" s="48">
        <v>5390.900000000001</v>
      </c>
      <c r="G1386" s="43"/>
      <c r="H1386" s="43"/>
      <c r="I1386" s="43"/>
    </row>
    <row r="1387" ht="12.75" customHeight="1">
      <c r="A1387" s="48" t="s">
        <v>44</v>
      </c>
      <c r="B1387" s="48" t="s">
        <v>28</v>
      </c>
      <c r="C1387" s="48" t="s">
        <v>62</v>
      </c>
      <c r="D1387" s="48" t="s">
        <v>50</v>
      </c>
      <c r="E1387" s="48"/>
      <c r="F1387" s="48">
        <v>10025.1</v>
      </c>
      <c r="G1387" s="43"/>
      <c r="H1387" s="43"/>
      <c r="I1387" s="43"/>
    </row>
    <row r="1388" ht="12.75" customHeight="1">
      <c r="A1388" s="48" t="s">
        <v>44</v>
      </c>
      <c r="B1388" s="48" t="s">
        <v>28</v>
      </c>
      <c r="C1388" s="48" t="s">
        <v>62</v>
      </c>
      <c r="D1388" s="48" t="s">
        <v>50</v>
      </c>
      <c r="E1388" s="48"/>
      <c r="F1388" s="48">
        <v>0.0</v>
      </c>
      <c r="G1388" s="43"/>
      <c r="H1388" s="43"/>
      <c r="I1388" s="43"/>
    </row>
    <row r="1389" ht="12.75" customHeight="1">
      <c r="A1389" s="48" t="s">
        <v>44</v>
      </c>
      <c r="B1389" s="48" t="s">
        <v>28</v>
      </c>
      <c r="C1389" s="48" t="s">
        <v>62</v>
      </c>
      <c r="D1389" s="48" t="s">
        <v>47</v>
      </c>
      <c r="E1389" s="48"/>
      <c r="F1389" s="48">
        <v>35250.0</v>
      </c>
      <c r="G1389" s="43"/>
      <c r="H1389" s="43"/>
      <c r="I1389" s="43"/>
    </row>
    <row r="1390" ht="12.75" customHeight="1">
      <c r="A1390" s="48" t="s">
        <v>44</v>
      </c>
      <c r="B1390" s="48" t="s">
        <v>28</v>
      </c>
      <c r="C1390" s="48" t="s">
        <v>62</v>
      </c>
      <c r="D1390" s="48" t="s">
        <v>47</v>
      </c>
      <c r="E1390" s="48"/>
      <c r="F1390" s="48">
        <v>0.0</v>
      </c>
      <c r="G1390" s="43"/>
      <c r="H1390" s="43"/>
      <c r="I1390" s="43"/>
    </row>
    <row r="1391" ht="12.75" customHeight="1">
      <c r="A1391" s="48" t="s">
        <v>44</v>
      </c>
      <c r="B1391" s="48" t="s">
        <v>28</v>
      </c>
      <c r="C1391" s="48" t="s">
        <v>62</v>
      </c>
      <c r="D1391" s="48" t="s">
        <v>47</v>
      </c>
      <c r="E1391" s="48"/>
      <c r="F1391" s="48">
        <v>131.6</v>
      </c>
      <c r="G1391" s="43"/>
      <c r="H1391" s="43"/>
      <c r="I1391" s="43"/>
    </row>
    <row r="1392" ht="12.75" customHeight="1">
      <c r="A1392" s="48" t="s">
        <v>44</v>
      </c>
      <c r="B1392" s="48" t="s">
        <v>28</v>
      </c>
      <c r="C1392" s="48" t="s">
        <v>62</v>
      </c>
      <c r="D1392" s="48" t="s">
        <v>47</v>
      </c>
      <c r="E1392" s="48"/>
      <c r="F1392" s="48">
        <v>9602.1</v>
      </c>
      <c r="G1392" s="43"/>
      <c r="H1392" s="43"/>
      <c r="I1392" s="43"/>
    </row>
    <row r="1393" ht="12.75" customHeight="1">
      <c r="A1393" s="48" t="s">
        <v>44</v>
      </c>
      <c r="B1393" s="48" t="s">
        <v>28</v>
      </c>
      <c r="C1393" s="48" t="s">
        <v>62</v>
      </c>
      <c r="D1393" s="48" t="s">
        <v>47</v>
      </c>
      <c r="E1393" s="48"/>
      <c r="F1393" s="48">
        <v>1146.8</v>
      </c>
      <c r="G1393" s="43"/>
      <c r="H1393" s="43"/>
      <c r="I1393" s="43"/>
    </row>
    <row r="1394" ht="12.75" customHeight="1">
      <c r="A1394" s="48" t="s">
        <v>44</v>
      </c>
      <c r="B1394" s="48" t="s">
        <v>28</v>
      </c>
      <c r="C1394" s="48" t="s">
        <v>62</v>
      </c>
      <c r="D1394" s="48" t="s">
        <v>47</v>
      </c>
      <c r="E1394" s="48"/>
      <c r="F1394" s="48">
        <v>9244.9</v>
      </c>
      <c r="G1394" s="43"/>
      <c r="H1394" s="43"/>
      <c r="I1394" s="43"/>
    </row>
    <row r="1395" ht="12.75" customHeight="1">
      <c r="A1395" s="48" t="s">
        <v>44</v>
      </c>
      <c r="B1395" s="48" t="s">
        <v>28</v>
      </c>
      <c r="C1395" s="48" t="s">
        <v>70</v>
      </c>
      <c r="D1395" s="48" t="s">
        <v>54</v>
      </c>
      <c r="E1395" s="48"/>
      <c r="F1395" s="48">
        <v>10669.0</v>
      </c>
      <c r="G1395" s="43"/>
      <c r="H1395" s="43"/>
      <c r="I1395" s="43"/>
    </row>
    <row r="1396" ht="12.75" customHeight="1">
      <c r="A1396" s="48" t="s">
        <v>44</v>
      </c>
      <c r="B1396" s="48" t="s">
        <v>28</v>
      </c>
      <c r="C1396" s="48" t="s">
        <v>70</v>
      </c>
      <c r="D1396" s="48" t="s">
        <v>54</v>
      </c>
      <c r="E1396" s="48"/>
      <c r="F1396" s="48">
        <v>498.20000000000005</v>
      </c>
      <c r="G1396" s="43"/>
      <c r="H1396" s="43"/>
      <c r="I1396" s="43"/>
    </row>
    <row r="1397" ht="12.75" customHeight="1">
      <c r="A1397" s="48" t="s">
        <v>44</v>
      </c>
      <c r="B1397" s="48" t="s">
        <v>28</v>
      </c>
      <c r="C1397" s="48" t="s">
        <v>70</v>
      </c>
      <c r="D1397" s="48" t="s">
        <v>54</v>
      </c>
      <c r="E1397" s="48"/>
      <c r="F1397" s="48">
        <v>20257.0</v>
      </c>
      <c r="G1397" s="43"/>
      <c r="H1397" s="43"/>
      <c r="I1397" s="43"/>
    </row>
    <row r="1398" ht="12.75" customHeight="1">
      <c r="A1398" s="48" t="s">
        <v>44</v>
      </c>
      <c r="B1398" s="48" t="s">
        <v>28</v>
      </c>
      <c r="C1398" s="48" t="s">
        <v>70</v>
      </c>
      <c r="D1398" s="48" t="s">
        <v>54</v>
      </c>
      <c r="E1398" s="48"/>
      <c r="F1398" s="48">
        <v>0.0</v>
      </c>
      <c r="G1398" s="43"/>
      <c r="H1398" s="43"/>
      <c r="I1398" s="43"/>
    </row>
    <row r="1399" ht="12.75" customHeight="1">
      <c r="A1399" s="48" t="s">
        <v>44</v>
      </c>
      <c r="B1399" s="48" t="s">
        <v>28</v>
      </c>
      <c r="C1399" s="48" t="s">
        <v>70</v>
      </c>
      <c r="D1399" s="48" t="s">
        <v>49</v>
      </c>
      <c r="E1399" s="48"/>
      <c r="F1399" s="48">
        <v>3999.7000000000003</v>
      </c>
      <c r="G1399" s="43"/>
      <c r="H1399" s="43"/>
      <c r="I1399" s="43"/>
    </row>
    <row r="1400" ht="12.75" customHeight="1">
      <c r="A1400" s="48" t="s">
        <v>44</v>
      </c>
      <c r="B1400" s="48" t="s">
        <v>28</v>
      </c>
      <c r="C1400" s="48" t="s">
        <v>70</v>
      </c>
      <c r="D1400" s="48" t="s">
        <v>49</v>
      </c>
      <c r="E1400" s="48"/>
      <c r="F1400" s="48">
        <v>1034.0</v>
      </c>
      <c r="G1400" s="43"/>
      <c r="H1400" s="43"/>
      <c r="I1400" s="43"/>
    </row>
    <row r="1401" ht="12.75" customHeight="1">
      <c r="A1401" s="48" t="s">
        <v>44</v>
      </c>
      <c r="B1401" s="48" t="s">
        <v>28</v>
      </c>
      <c r="C1401" s="48" t="s">
        <v>70</v>
      </c>
      <c r="D1401" s="48" t="s">
        <v>49</v>
      </c>
      <c r="E1401" s="48"/>
      <c r="F1401" s="48">
        <v>0.0</v>
      </c>
      <c r="G1401" s="43"/>
      <c r="H1401" s="43"/>
      <c r="I1401" s="43"/>
    </row>
    <row r="1402" ht="12.75" customHeight="1">
      <c r="A1402" s="48" t="s">
        <v>44</v>
      </c>
      <c r="B1402" s="48" t="s">
        <v>28</v>
      </c>
      <c r="C1402" s="48" t="s">
        <v>70</v>
      </c>
      <c r="D1402" s="48" t="s">
        <v>49</v>
      </c>
      <c r="E1402" s="48"/>
      <c r="F1402" s="48">
        <v>4230.0</v>
      </c>
      <c r="G1402" s="43"/>
      <c r="H1402" s="43"/>
      <c r="I1402" s="43"/>
    </row>
    <row r="1403" ht="12.75" customHeight="1">
      <c r="A1403" s="48" t="s">
        <v>44</v>
      </c>
      <c r="B1403" s="48" t="s">
        <v>28</v>
      </c>
      <c r="C1403" s="48" t="s">
        <v>70</v>
      </c>
      <c r="D1403" s="48" t="s">
        <v>49</v>
      </c>
      <c r="E1403" s="48"/>
      <c r="F1403" s="48">
        <v>208257.0</v>
      </c>
      <c r="G1403" s="43"/>
      <c r="H1403" s="43"/>
      <c r="I1403" s="43"/>
    </row>
    <row r="1404" ht="12.75" customHeight="1">
      <c r="A1404" s="48" t="s">
        <v>44</v>
      </c>
      <c r="B1404" s="48" t="s">
        <v>28</v>
      </c>
      <c r="C1404" s="48" t="s">
        <v>70</v>
      </c>
      <c r="D1404" s="48" t="s">
        <v>49</v>
      </c>
      <c r="E1404" s="48"/>
      <c r="F1404" s="48">
        <v>21131.2</v>
      </c>
      <c r="G1404" s="43"/>
      <c r="H1404" s="43"/>
      <c r="I1404" s="43"/>
    </row>
    <row r="1405" ht="12.75" customHeight="1">
      <c r="A1405" s="48" t="s">
        <v>44</v>
      </c>
      <c r="B1405" s="48" t="s">
        <v>28</v>
      </c>
      <c r="C1405" s="48" t="s">
        <v>70</v>
      </c>
      <c r="D1405" s="48" t="s">
        <v>49</v>
      </c>
      <c r="E1405" s="48"/>
      <c r="F1405" s="48">
        <v>62115.200000000004</v>
      </c>
      <c r="G1405" s="43"/>
      <c r="H1405" s="43"/>
      <c r="I1405" s="43"/>
    </row>
    <row r="1406" ht="12.75" customHeight="1">
      <c r="A1406" s="48" t="s">
        <v>44</v>
      </c>
      <c r="B1406" s="48" t="s">
        <v>28</v>
      </c>
      <c r="C1406" s="48" t="s">
        <v>70</v>
      </c>
      <c r="D1406" s="48" t="s">
        <v>49</v>
      </c>
      <c r="E1406" s="48"/>
      <c r="F1406" s="48">
        <v>312221.0</v>
      </c>
      <c r="G1406" s="43"/>
      <c r="H1406" s="43"/>
      <c r="I1406" s="43"/>
    </row>
    <row r="1407" ht="12.75" customHeight="1">
      <c r="A1407" s="48" t="s">
        <v>44</v>
      </c>
      <c r="B1407" s="48" t="s">
        <v>28</v>
      </c>
      <c r="C1407" s="48" t="s">
        <v>70</v>
      </c>
      <c r="D1407" s="48" t="s">
        <v>49</v>
      </c>
      <c r="E1407" s="48"/>
      <c r="F1407" s="48">
        <v>0.0</v>
      </c>
      <c r="G1407" s="43"/>
      <c r="H1407" s="43"/>
      <c r="I1407" s="43"/>
    </row>
    <row r="1408" ht="12.75" customHeight="1">
      <c r="A1408" s="48" t="s">
        <v>44</v>
      </c>
      <c r="B1408" s="48" t="s">
        <v>28</v>
      </c>
      <c r="C1408" s="48" t="s">
        <v>70</v>
      </c>
      <c r="D1408" s="48" t="s">
        <v>49</v>
      </c>
      <c r="E1408" s="48"/>
      <c r="F1408" s="48">
        <v>1438.2</v>
      </c>
      <c r="G1408" s="43"/>
      <c r="H1408" s="43"/>
      <c r="I1408" s="43"/>
    </row>
    <row r="1409" ht="12.75" customHeight="1">
      <c r="A1409" s="48" t="s">
        <v>44</v>
      </c>
      <c r="B1409" s="48" t="s">
        <v>28</v>
      </c>
      <c r="C1409" s="48" t="s">
        <v>70</v>
      </c>
      <c r="D1409" s="48" t="s">
        <v>49</v>
      </c>
      <c r="E1409" s="48"/>
      <c r="F1409" s="48">
        <v>58750.0</v>
      </c>
      <c r="G1409" s="43"/>
      <c r="H1409" s="43"/>
      <c r="I1409" s="43"/>
    </row>
    <row r="1410" ht="12.75" customHeight="1">
      <c r="A1410" s="48" t="s">
        <v>44</v>
      </c>
      <c r="B1410" s="48" t="s">
        <v>28</v>
      </c>
      <c r="C1410" s="48" t="s">
        <v>70</v>
      </c>
      <c r="D1410" s="48" t="s">
        <v>49</v>
      </c>
      <c r="E1410" s="48"/>
      <c r="F1410" s="48">
        <v>46219.8</v>
      </c>
      <c r="G1410" s="43"/>
      <c r="H1410" s="43"/>
      <c r="I1410" s="43"/>
    </row>
    <row r="1411" ht="12.75" customHeight="1">
      <c r="A1411" s="48" t="s">
        <v>44</v>
      </c>
      <c r="B1411" s="48" t="s">
        <v>28</v>
      </c>
      <c r="C1411" s="48" t="s">
        <v>70</v>
      </c>
      <c r="D1411" s="48" t="s">
        <v>49</v>
      </c>
      <c r="E1411" s="48"/>
      <c r="F1411" s="48">
        <v>0.0</v>
      </c>
      <c r="G1411" s="43"/>
      <c r="H1411" s="43"/>
      <c r="I1411" s="43"/>
    </row>
    <row r="1412" ht="12.75" customHeight="1">
      <c r="A1412" s="48" t="s">
        <v>44</v>
      </c>
      <c r="B1412" s="48" t="s">
        <v>28</v>
      </c>
      <c r="C1412" s="48" t="s">
        <v>70</v>
      </c>
      <c r="D1412" s="48" t="s">
        <v>50</v>
      </c>
      <c r="E1412" s="48"/>
      <c r="F1412" s="48">
        <v>17164.4</v>
      </c>
      <c r="G1412" s="43"/>
      <c r="H1412" s="43"/>
      <c r="I1412" s="43"/>
    </row>
    <row r="1413" ht="12.75" customHeight="1">
      <c r="A1413" s="48" t="s">
        <v>44</v>
      </c>
      <c r="B1413" s="48" t="s">
        <v>28</v>
      </c>
      <c r="C1413" s="48" t="s">
        <v>70</v>
      </c>
      <c r="D1413" s="48" t="s">
        <v>50</v>
      </c>
      <c r="E1413" s="48"/>
      <c r="F1413" s="48">
        <v>10932.2</v>
      </c>
      <c r="G1413" s="43"/>
      <c r="H1413" s="43"/>
      <c r="I1413" s="43"/>
    </row>
    <row r="1414" ht="12.75" customHeight="1">
      <c r="A1414" s="48" t="s">
        <v>44</v>
      </c>
      <c r="B1414" s="48" t="s">
        <v>28</v>
      </c>
      <c r="C1414" s="48" t="s">
        <v>70</v>
      </c>
      <c r="D1414" s="48" t="s">
        <v>47</v>
      </c>
      <c r="E1414" s="48"/>
      <c r="F1414" s="48">
        <v>15129.300000000001</v>
      </c>
      <c r="G1414" s="43"/>
      <c r="H1414" s="43"/>
      <c r="I1414" s="43"/>
    </row>
    <row r="1415" ht="12.75" customHeight="1">
      <c r="A1415" s="48" t="s">
        <v>44</v>
      </c>
      <c r="B1415" s="48" t="s">
        <v>28</v>
      </c>
      <c r="C1415" s="48" t="s">
        <v>70</v>
      </c>
      <c r="D1415" s="48" t="s">
        <v>47</v>
      </c>
      <c r="E1415" s="48"/>
      <c r="F1415" s="48">
        <v>0.0</v>
      </c>
      <c r="G1415" s="43"/>
      <c r="H1415" s="43"/>
      <c r="I1415" s="43"/>
    </row>
    <row r="1416" ht="12.75" customHeight="1">
      <c r="A1416" s="48" t="s">
        <v>44</v>
      </c>
      <c r="B1416" s="48" t="s">
        <v>28</v>
      </c>
      <c r="C1416" s="48" t="s">
        <v>54</v>
      </c>
      <c r="D1416" s="48" t="s">
        <v>58</v>
      </c>
      <c r="E1416" s="48"/>
      <c r="F1416" s="48">
        <v>20271.100000000002</v>
      </c>
      <c r="G1416" s="43"/>
      <c r="H1416" s="43"/>
      <c r="I1416" s="43"/>
    </row>
    <row r="1417" ht="12.75" customHeight="1">
      <c r="A1417" s="48" t="s">
        <v>44</v>
      </c>
      <c r="B1417" s="48" t="s">
        <v>28</v>
      </c>
      <c r="C1417" s="48" t="s">
        <v>54</v>
      </c>
      <c r="D1417" s="48" t="s">
        <v>8</v>
      </c>
      <c r="E1417" s="48"/>
      <c r="F1417" s="48">
        <v>1457.0</v>
      </c>
      <c r="G1417" s="43"/>
      <c r="H1417" s="43"/>
      <c r="I1417" s="43"/>
    </row>
    <row r="1418" ht="12.75" customHeight="1">
      <c r="A1418" s="48" t="s">
        <v>44</v>
      </c>
      <c r="B1418" s="48" t="s">
        <v>28</v>
      </c>
      <c r="C1418" s="48" t="s">
        <v>54</v>
      </c>
      <c r="D1418" s="48" t="s">
        <v>8</v>
      </c>
      <c r="E1418" s="48"/>
      <c r="F1418" s="48">
        <v>1259.6000000000001</v>
      </c>
      <c r="G1418" s="43"/>
      <c r="H1418" s="43"/>
      <c r="I1418" s="43"/>
    </row>
    <row r="1419" ht="12.75" customHeight="1">
      <c r="A1419" s="48" t="s">
        <v>44</v>
      </c>
      <c r="B1419" s="48" t="s">
        <v>28</v>
      </c>
      <c r="C1419" s="48" t="s">
        <v>54</v>
      </c>
      <c r="D1419" s="48" t="s">
        <v>8</v>
      </c>
      <c r="E1419" s="48"/>
      <c r="F1419" s="48">
        <v>130979.6</v>
      </c>
      <c r="G1419" s="43"/>
      <c r="H1419" s="43"/>
      <c r="I1419" s="43"/>
    </row>
    <row r="1420" ht="12.75" customHeight="1">
      <c r="A1420" s="48" t="s">
        <v>44</v>
      </c>
      <c r="B1420" s="48" t="s">
        <v>28</v>
      </c>
      <c r="C1420" s="48" t="s">
        <v>54</v>
      </c>
      <c r="D1420" s="48" t="s">
        <v>8</v>
      </c>
      <c r="E1420" s="48"/>
      <c r="F1420" s="48">
        <v>230.3</v>
      </c>
      <c r="G1420" s="43"/>
      <c r="H1420" s="43"/>
      <c r="I1420" s="43"/>
    </row>
    <row r="1421" ht="12.75" customHeight="1">
      <c r="A1421" s="48" t="s">
        <v>44</v>
      </c>
      <c r="B1421" s="48" t="s">
        <v>28</v>
      </c>
      <c r="C1421" s="48" t="s">
        <v>54</v>
      </c>
      <c r="D1421" s="48" t="s">
        <v>6</v>
      </c>
      <c r="E1421" s="48"/>
      <c r="F1421" s="48">
        <v>178.6</v>
      </c>
      <c r="G1421" s="43"/>
      <c r="H1421" s="43"/>
      <c r="I1421" s="43"/>
    </row>
    <row r="1422" ht="12.75" customHeight="1">
      <c r="A1422" s="48" t="s">
        <v>44</v>
      </c>
      <c r="B1422" s="48" t="s">
        <v>28</v>
      </c>
      <c r="C1422" s="48" t="s">
        <v>54</v>
      </c>
      <c r="D1422" s="48" t="s">
        <v>54</v>
      </c>
      <c r="E1422" s="48"/>
      <c r="F1422" s="48">
        <v>1175.0</v>
      </c>
      <c r="G1422" s="43"/>
      <c r="H1422" s="43"/>
      <c r="I1422" s="43"/>
    </row>
    <row r="1423" ht="12.75" customHeight="1">
      <c r="A1423" s="48" t="s">
        <v>44</v>
      </c>
      <c r="B1423" s="48" t="s">
        <v>28</v>
      </c>
      <c r="C1423" s="48" t="s">
        <v>54</v>
      </c>
      <c r="D1423" s="48" t="s">
        <v>54</v>
      </c>
      <c r="E1423" s="48"/>
      <c r="F1423" s="48">
        <v>6030.1</v>
      </c>
      <c r="G1423" s="43"/>
      <c r="H1423" s="43"/>
      <c r="I1423" s="43"/>
    </row>
    <row r="1424" ht="12.75" customHeight="1">
      <c r="A1424" s="48" t="s">
        <v>44</v>
      </c>
      <c r="B1424" s="48" t="s">
        <v>28</v>
      </c>
      <c r="C1424" s="48" t="s">
        <v>54</v>
      </c>
      <c r="D1424" s="48" t="s">
        <v>54</v>
      </c>
      <c r="E1424" s="48"/>
      <c r="F1424" s="48">
        <v>0.0</v>
      </c>
      <c r="G1424" s="43"/>
      <c r="H1424" s="43"/>
      <c r="I1424" s="43"/>
    </row>
    <row r="1425" ht="12.75" customHeight="1">
      <c r="A1425" s="48" t="s">
        <v>44</v>
      </c>
      <c r="B1425" s="48" t="s">
        <v>28</v>
      </c>
      <c r="C1425" s="48" t="s">
        <v>54</v>
      </c>
      <c r="D1425" s="48" t="s">
        <v>54</v>
      </c>
      <c r="E1425" s="48"/>
      <c r="F1425" s="48">
        <v>9545.7</v>
      </c>
      <c r="G1425" s="43"/>
      <c r="H1425" s="43"/>
      <c r="I1425" s="43"/>
    </row>
    <row r="1426" ht="12.75" customHeight="1">
      <c r="A1426" s="48" t="s">
        <v>44</v>
      </c>
      <c r="B1426" s="48" t="s">
        <v>28</v>
      </c>
      <c r="C1426" s="48" t="s">
        <v>54</v>
      </c>
      <c r="D1426" s="48" t="s">
        <v>54</v>
      </c>
      <c r="E1426" s="48"/>
      <c r="F1426" s="48">
        <v>0.0</v>
      </c>
      <c r="G1426" s="43"/>
      <c r="H1426" s="43"/>
      <c r="I1426" s="43"/>
    </row>
    <row r="1427" ht="12.75" customHeight="1">
      <c r="A1427" s="48" t="s">
        <v>44</v>
      </c>
      <c r="B1427" s="48" t="s">
        <v>28</v>
      </c>
      <c r="C1427" s="48" t="s">
        <v>54</v>
      </c>
      <c r="D1427" s="48" t="s">
        <v>54</v>
      </c>
      <c r="E1427" s="48"/>
      <c r="F1427" s="48">
        <v>3421.6</v>
      </c>
      <c r="G1427" s="43"/>
      <c r="H1427" s="43"/>
      <c r="I1427" s="43"/>
    </row>
    <row r="1428" ht="12.75" customHeight="1">
      <c r="A1428" s="48" t="s">
        <v>44</v>
      </c>
      <c r="B1428" s="48" t="s">
        <v>28</v>
      </c>
      <c r="C1428" s="48" t="s">
        <v>54</v>
      </c>
      <c r="D1428" s="48" t="s">
        <v>54</v>
      </c>
      <c r="E1428" s="48"/>
      <c r="F1428" s="48">
        <v>634.5</v>
      </c>
      <c r="G1428" s="43"/>
      <c r="H1428" s="43"/>
      <c r="I1428" s="43"/>
    </row>
    <row r="1429" ht="12.75" customHeight="1">
      <c r="A1429" s="48" t="s">
        <v>44</v>
      </c>
      <c r="B1429" s="48" t="s">
        <v>28</v>
      </c>
      <c r="C1429" s="48" t="s">
        <v>54</v>
      </c>
      <c r="D1429" s="48" t="s">
        <v>54</v>
      </c>
      <c r="E1429" s="48"/>
      <c r="F1429" s="48">
        <v>13277.5</v>
      </c>
      <c r="G1429" s="43"/>
      <c r="H1429" s="43"/>
      <c r="I1429" s="43"/>
    </row>
    <row r="1430" ht="12.75" customHeight="1">
      <c r="A1430" s="48" t="s">
        <v>44</v>
      </c>
      <c r="B1430" s="48" t="s">
        <v>28</v>
      </c>
      <c r="C1430" s="48" t="s">
        <v>54</v>
      </c>
      <c r="D1430" s="48" t="s">
        <v>54</v>
      </c>
      <c r="E1430" s="48"/>
      <c r="F1430" s="48">
        <v>404.2</v>
      </c>
      <c r="G1430" s="43"/>
      <c r="H1430" s="43"/>
      <c r="I1430" s="43"/>
    </row>
    <row r="1431" ht="12.75" customHeight="1">
      <c r="A1431" s="48" t="s">
        <v>44</v>
      </c>
      <c r="B1431" s="48" t="s">
        <v>28</v>
      </c>
      <c r="C1431" s="48" t="s">
        <v>54</v>
      </c>
      <c r="D1431" s="48" t="s">
        <v>54</v>
      </c>
      <c r="E1431" s="48"/>
      <c r="F1431" s="48">
        <v>0.0</v>
      </c>
      <c r="G1431" s="43"/>
      <c r="H1431" s="43"/>
      <c r="I1431" s="43"/>
    </row>
    <row r="1432" ht="12.75" customHeight="1">
      <c r="A1432" s="48" t="s">
        <v>44</v>
      </c>
      <c r="B1432" s="48" t="s">
        <v>28</v>
      </c>
      <c r="C1432" s="48" t="s">
        <v>54</v>
      </c>
      <c r="D1432" s="48" t="s">
        <v>54</v>
      </c>
      <c r="E1432" s="48"/>
      <c r="F1432" s="48">
        <v>11801.7</v>
      </c>
      <c r="G1432" s="43"/>
      <c r="H1432" s="43"/>
      <c r="I1432" s="43"/>
    </row>
    <row r="1433" ht="12.75" customHeight="1">
      <c r="A1433" s="48" t="s">
        <v>44</v>
      </c>
      <c r="B1433" s="48" t="s">
        <v>28</v>
      </c>
      <c r="C1433" s="48" t="s">
        <v>54</v>
      </c>
      <c r="D1433" s="48" t="s">
        <v>54</v>
      </c>
      <c r="E1433" s="48"/>
      <c r="F1433" s="48">
        <v>-946683.4</v>
      </c>
      <c r="G1433" s="43"/>
      <c r="H1433" s="43"/>
      <c r="I1433" s="43"/>
    </row>
    <row r="1434" ht="12.75" customHeight="1">
      <c r="A1434" s="48" t="s">
        <v>44</v>
      </c>
      <c r="B1434" s="48" t="s">
        <v>28</v>
      </c>
      <c r="C1434" s="48" t="s">
        <v>54</v>
      </c>
      <c r="D1434" s="48" t="s">
        <v>54</v>
      </c>
      <c r="E1434" s="48"/>
      <c r="F1434" s="48">
        <v>0.0</v>
      </c>
      <c r="G1434" s="43"/>
      <c r="H1434" s="43"/>
      <c r="I1434" s="43"/>
    </row>
    <row r="1435" ht="12.75" customHeight="1">
      <c r="A1435" s="48" t="s">
        <v>44</v>
      </c>
      <c r="B1435" s="48" t="s">
        <v>28</v>
      </c>
      <c r="C1435" s="48" t="s">
        <v>54</v>
      </c>
      <c r="D1435" s="48" t="s">
        <v>54</v>
      </c>
      <c r="E1435" s="48"/>
      <c r="F1435" s="48">
        <v>0.0</v>
      </c>
      <c r="G1435" s="43"/>
      <c r="H1435" s="43"/>
      <c r="I1435" s="43"/>
    </row>
    <row r="1436" ht="12.75" customHeight="1">
      <c r="A1436" s="48" t="s">
        <v>44</v>
      </c>
      <c r="B1436" s="48" t="s">
        <v>28</v>
      </c>
      <c r="C1436" s="48" t="s">
        <v>54</v>
      </c>
      <c r="D1436" s="48" t="s">
        <v>54</v>
      </c>
      <c r="E1436" s="48"/>
      <c r="F1436" s="48">
        <v>1151.5</v>
      </c>
      <c r="G1436" s="43"/>
      <c r="H1436" s="43"/>
      <c r="I1436" s="43"/>
    </row>
    <row r="1437" ht="12.75" customHeight="1">
      <c r="A1437" s="48" t="s">
        <v>44</v>
      </c>
      <c r="B1437" s="48" t="s">
        <v>28</v>
      </c>
      <c r="C1437" s="48" t="s">
        <v>54</v>
      </c>
      <c r="D1437" s="48" t="s">
        <v>54</v>
      </c>
      <c r="E1437" s="48"/>
      <c r="F1437" s="48">
        <v>2152.6</v>
      </c>
      <c r="G1437" s="43"/>
      <c r="H1437" s="43"/>
      <c r="I1437" s="43"/>
    </row>
    <row r="1438" ht="12.75" customHeight="1">
      <c r="A1438" s="48" t="s">
        <v>44</v>
      </c>
      <c r="B1438" s="48" t="s">
        <v>28</v>
      </c>
      <c r="C1438" s="48" t="s">
        <v>54</v>
      </c>
      <c r="D1438" s="48" t="s">
        <v>54</v>
      </c>
      <c r="E1438" s="48"/>
      <c r="F1438" s="48">
        <v>0.0</v>
      </c>
      <c r="G1438" s="43"/>
      <c r="H1438" s="43"/>
      <c r="I1438" s="43"/>
    </row>
    <row r="1439" ht="12.75" customHeight="1">
      <c r="A1439" s="48" t="s">
        <v>44</v>
      </c>
      <c r="B1439" s="48" t="s">
        <v>28</v>
      </c>
      <c r="C1439" s="48" t="s">
        <v>54</v>
      </c>
      <c r="D1439" s="48" t="s">
        <v>54</v>
      </c>
      <c r="E1439" s="48"/>
      <c r="F1439" s="48">
        <v>625814.4</v>
      </c>
      <c r="G1439" s="43"/>
      <c r="H1439" s="43"/>
      <c r="I1439" s="43"/>
    </row>
    <row r="1440" ht="12.75" customHeight="1">
      <c r="A1440" s="48" t="s">
        <v>44</v>
      </c>
      <c r="B1440" s="48" t="s">
        <v>28</v>
      </c>
      <c r="C1440" s="48" t="s">
        <v>54</v>
      </c>
      <c r="D1440" s="48" t="s">
        <v>54</v>
      </c>
      <c r="E1440" s="48"/>
      <c r="F1440" s="48">
        <v>1226.7</v>
      </c>
      <c r="G1440" s="43"/>
      <c r="H1440" s="43"/>
      <c r="I1440" s="43"/>
    </row>
    <row r="1441" ht="12.75" customHeight="1">
      <c r="A1441" s="48" t="s">
        <v>44</v>
      </c>
      <c r="B1441" s="48" t="s">
        <v>28</v>
      </c>
      <c r="C1441" s="48" t="s">
        <v>54</v>
      </c>
      <c r="D1441" s="48" t="s">
        <v>54</v>
      </c>
      <c r="E1441" s="48"/>
      <c r="F1441" s="48">
        <v>451.20000000000005</v>
      </c>
      <c r="G1441" s="43"/>
      <c r="H1441" s="43"/>
      <c r="I1441" s="43"/>
    </row>
    <row r="1442" ht="12.75" customHeight="1">
      <c r="A1442" s="48" t="s">
        <v>44</v>
      </c>
      <c r="B1442" s="48" t="s">
        <v>28</v>
      </c>
      <c r="C1442" s="48" t="s">
        <v>54</v>
      </c>
      <c r="D1442" s="48" t="s">
        <v>54</v>
      </c>
      <c r="E1442" s="48"/>
      <c r="F1442" s="48">
        <v>2115.0</v>
      </c>
      <c r="G1442" s="43"/>
      <c r="H1442" s="43"/>
      <c r="I1442" s="43"/>
    </row>
    <row r="1443" ht="12.75" customHeight="1">
      <c r="A1443" s="48" t="s">
        <v>44</v>
      </c>
      <c r="B1443" s="48" t="s">
        <v>28</v>
      </c>
      <c r="C1443" s="48" t="s">
        <v>54</v>
      </c>
      <c r="D1443" s="48" t="s">
        <v>54</v>
      </c>
      <c r="E1443" s="48"/>
      <c r="F1443" s="48">
        <v>0.0</v>
      </c>
      <c r="G1443" s="43"/>
      <c r="H1443" s="43"/>
      <c r="I1443" s="43"/>
    </row>
    <row r="1444" ht="12.75" customHeight="1">
      <c r="A1444" s="48" t="s">
        <v>44</v>
      </c>
      <c r="B1444" s="48" t="s">
        <v>28</v>
      </c>
      <c r="C1444" s="48" t="s">
        <v>54</v>
      </c>
      <c r="D1444" s="48" t="s">
        <v>54</v>
      </c>
      <c r="E1444" s="48"/>
      <c r="F1444" s="48">
        <v>0.0</v>
      </c>
      <c r="G1444" s="43"/>
      <c r="H1444" s="43"/>
      <c r="I1444" s="43"/>
    </row>
    <row r="1445" ht="12.75" customHeight="1">
      <c r="A1445" s="48" t="s">
        <v>44</v>
      </c>
      <c r="B1445" s="48" t="s">
        <v>28</v>
      </c>
      <c r="C1445" s="48" t="s">
        <v>54</v>
      </c>
      <c r="D1445" s="48" t="s">
        <v>54</v>
      </c>
      <c r="E1445" s="48"/>
      <c r="F1445" s="48">
        <v>25032.2</v>
      </c>
      <c r="G1445" s="43"/>
      <c r="H1445" s="43"/>
      <c r="I1445" s="43"/>
    </row>
    <row r="1446" ht="12.75" customHeight="1">
      <c r="A1446" s="48" t="s">
        <v>44</v>
      </c>
      <c r="B1446" s="48" t="s">
        <v>28</v>
      </c>
      <c r="C1446" s="48" t="s">
        <v>54</v>
      </c>
      <c r="D1446" s="48" t="s">
        <v>49</v>
      </c>
      <c r="E1446" s="48"/>
      <c r="F1446" s="48">
        <v>141.0</v>
      </c>
      <c r="G1446" s="43"/>
      <c r="H1446" s="43"/>
      <c r="I1446" s="43"/>
    </row>
    <row r="1447" ht="12.75" customHeight="1">
      <c r="A1447" s="48" t="s">
        <v>44</v>
      </c>
      <c r="B1447" s="48" t="s">
        <v>28</v>
      </c>
      <c r="C1447" s="48" t="s">
        <v>54</v>
      </c>
      <c r="D1447" s="48" t="s">
        <v>49</v>
      </c>
      <c r="E1447" s="48"/>
      <c r="F1447" s="48">
        <v>0.0</v>
      </c>
      <c r="G1447" s="43"/>
      <c r="H1447" s="43"/>
      <c r="I1447" s="43"/>
    </row>
    <row r="1448" ht="12.75" customHeight="1">
      <c r="A1448" s="48" t="s">
        <v>44</v>
      </c>
      <c r="B1448" s="48" t="s">
        <v>28</v>
      </c>
      <c r="C1448" s="48" t="s">
        <v>54</v>
      </c>
      <c r="D1448" s="48" t="s">
        <v>47</v>
      </c>
      <c r="E1448" s="48"/>
      <c r="F1448" s="48">
        <v>10330.6</v>
      </c>
      <c r="G1448" s="43"/>
      <c r="H1448" s="43"/>
      <c r="I1448" s="43"/>
    </row>
    <row r="1449" ht="12.75" customHeight="1">
      <c r="A1449" s="48" t="s">
        <v>44</v>
      </c>
      <c r="B1449" s="48" t="s">
        <v>28</v>
      </c>
      <c r="C1449" s="48" t="s">
        <v>54</v>
      </c>
      <c r="D1449" s="48" t="s">
        <v>47</v>
      </c>
      <c r="E1449" s="48"/>
      <c r="F1449" s="48">
        <v>23500.0</v>
      </c>
      <c r="G1449" s="43"/>
      <c r="H1449" s="43"/>
      <c r="I1449" s="43"/>
    </row>
    <row r="1450" ht="12.75" customHeight="1">
      <c r="A1450" s="48" t="s">
        <v>44</v>
      </c>
      <c r="B1450" s="48" t="s">
        <v>28</v>
      </c>
      <c r="C1450" s="48" t="s">
        <v>54</v>
      </c>
      <c r="D1450" s="48" t="s">
        <v>47</v>
      </c>
      <c r="E1450" s="48"/>
      <c r="F1450" s="48">
        <v>0.0</v>
      </c>
      <c r="G1450" s="43"/>
      <c r="H1450" s="43"/>
      <c r="I1450" s="43"/>
    </row>
    <row r="1451" ht="12.75" customHeight="1">
      <c r="A1451" s="48" t="s">
        <v>44</v>
      </c>
      <c r="B1451" s="48" t="s">
        <v>28</v>
      </c>
      <c r="C1451" s="48" t="s">
        <v>54</v>
      </c>
      <c r="D1451" s="48" t="s">
        <v>47</v>
      </c>
      <c r="E1451" s="48"/>
      <c r="F1451" s="48">
        <v>3257.1</v>
      </c>
      <c r="G1451" s="43"/>
      <c r="H1451" s="43"/>
      <c r="I1451" s="43"/>
    </row>
    <row r="1452" ht="12.75" customHeight="1">
      <c r="A1452" s="48" t="s">
        <v>44</v>
      </c>
      <c r="B1452" s="48" t="s">
        <v>28</v>
      </c>
      <c r="C1452" s="48" t="s">
        <v>54</v>
      </c>
      <c r="D1452" s="48" t="s">
        <v>47</v>
      </c>
      <c r="E1452" s="48"/>
      <c r="F1452" s="48">
        <v>37590.6</v>
      </c>
      <c r="G1452" s="43"/>
      <c r="H1452" s="43"/>
      <c r="I1452" s="43"/>
    </row>
    <row r="1453" ht="12.75" customHeight="1">
      <c r="A1453" s="48" t="s">
        <v>44</v>
      </c>
      <c r="B1453" s="48" t="s">
        <v>28</v>
      </c>
      <c r="C1453" s="48" t="s">
        <v>54</v>
      </c>
      <c r="D1453" s="48" t="s">
        <v>47</v>
      </c>
      <c r="E1453" s="48"/>
      <c r="F1453" s="48">
        <v>347.8</v>
      </c>
      <c r="G1453" s="43"/>
      <c r="H1453" s="43"/>
      <c r="I1453" s="43"/>
    </row>
    <row r="1454" ht="12.75" customHeight="1">
      <c r="A1454" s="48" t="s">
        <v>44</v>
      </c>
      <c r="B1454" s="48" t="s">
        <v>28</v>
      </c>
      <c r="C1454" s="48" t="s">
        <v>54</v>
      </c>
      <c r="D1454" s="48" t="s">
        <v>47</v>
      </c>
      <c r="E1454" s="48"/>
      <c r="F1454" s="48">
        <v>38093.5</v>
      </c>
      <c r="G1454" s="43"/>
      <c r="H1454" s="43"/>
      <c r="I1454" s="43"/>
    </row>
    <row r="1455" ht="12.75" customHeight="1">
      <c r="A1455" s="48" t="s">
        <v>44</v>
      </c>
      <c r="B1455" s="48" t="s">
        <v>28</v>
      </c>
      <c r="C1455" s="48" t="s">
        <v>54</v>
      </c>
      <c r="D1455" s="48" t="s">
        <v>47</v>
      </c>
      <c r="E1455" s="48"/>
      <c r="F1455" s="48">
        <v>0.0</v>
      </c>
      <c r="G1455" s="43"/>
      <c r="H1455" s="43"/>
      <c r="I1455" s="43"/>
    </row>
    <row r="1456" ht="12.75" customHeight="1">
      <c r="A1456" s="48" t="s">
        <v>44</v>
      </c>
      <c r="B1456" s="48" t="s">
        <v>28</v>
      </c>
      <c r="C1456" s="48" t="s">
        <v>65</v>
      </c>
      <c r="D1456" s="48" t="s">
        <v>54</v>
      </c>
      <c r="E1456" s="48"/>
      <c r="F1456" s="48">
        <v>60775.700000000004</v>
      </c>
      <c r="G1456" s="43"/>
      <c r="H1456" s="43"/>
      <c r="I1456" s="43"/>
    </row>
    <row r="1457" ht="12.75" customHeight="1">
      <c r="A1457" s="48" t="s">
        <v>44</v>
      </c>
      <c r="B1457" s="48" t="s">
        <v>28</v>
      </c>
      <c r="C1457" s="48" t="s">
        <v>65</v>
      </c>
      <c r="D1457" s="48" t="s">
        <v>50</v>
      </c>
      <c r="E1457" s="48"/>
      <c r="F1457" s="48">
        <v>8333.1</v>
      </c>
      <c r="G1457" s="43"/>
      <c r="H1457" s="43"/>
      <c r="I1457" s="43"/>
    </row>
    <row r="1458" ht="12.75" customHeight="1">
      <c r="A1458" s="48" t="s">
        <v>44</v>
      </c>
      <c r="B1458" s="48" t="s">
        <v>28</v>
      </c>
      <c r="C1458" s="48" t="s">
        <v>65</v>
      </c>
      <c r="D1458" s="48" t="s">
        <v>50</v>
      </c>
      <c r="E1458" s="48"/>
      <c r="F1458" s="48">
        <v>18095.0</v>
      </c>
      <c r="G1458" s="43"/>
      <c r="H1458" s="43"/>
      <c r="I1458" s="43"/>
    </row>
    <row r="1459" ht="12.75" customHeight="1">
      <c r="A1459" s="48" t="s">
        <v>44</v>
      </c>
      <c r="B1459" s="48" t="s">
        <v>28</v>
      </c>
      <c r="C1459" s="48" t="s">
        <v>65</v>
      </c>
      <c r="D1459" s="48" t="s">
        <v>50</v>
      </c>
      <c r="E1459" s="48"/>
      <c r="F1459" s="48">
        <v>36899.700000000004</v>
      </c>
      <c r="G1459" s="43"/>
      <c r="H1459" s="43"/>
      <c r="I1459" s="43"/>
    </row>
    <row r="1460" ht="12.75" customHeight="1">
      <c r="A1460" s="48" t="s">
        <v>44</v>
      </c>
      <c r="B1460" s="48" t="s">
        <v>28</v>
      </c>
      <c r="C1460" s="48" t="s">
        <v>65</v>
      </c>
      <c r="D1460" s="48" t="s">
        <v>50</v>
      </c>
      <c r="E1460" s="48"/>
      <c r="F1460" s="48">
        <v>32791.9</v>
      </c>
      <c r="G1460" s="43"/>
      <c r="H1460" s="43"/>
      <c r="I1460" s="43"/>
    </row>
    <row r="1461" ht="12.75" customHeight="1">
      <c r="A1461" s="48" t="s">
        <v>44</v>
      </c>
      <c r="B1461" s="48" t="s">
        <v>28</v>
      </c>
      <c r="C1461" s="48" t="s">
        <v>65</v>
      </c>
      <c r="D1461" s="48" t="s">
        <v>50</v>
      </c>
      <c r="E1461" s="48"/>
      <c r="F1461" s="48">
        <v>7501.200000000001</v>
      </c>
      <c r="G1461" s="43"/>
      <c r="H1461" s="43"/>
      <c r="I1461" s="43"/>
    </row>
    <row r="1462" ht="12.75" customHeight="1">
      <c r="A1462" s="48" t="s">
        <v>44</v>
      </c>
      <c r="B1462" s="48" t="s">
        <v>28</v>
      </c>
      <c r="C1462" s="48" t="s">
        <v>65</v>
      </c>
      <c r="D1462" s="48" t="s">
        <v>47</v>
      </c>
      <c r="E1462" s="48"/>
      <c r="F1462" s="48">
        <v>0.0</v>
      </c>
      <c r="G1462" s="43"/>
      <c r="H1462" s="43"/>
      <c r="I1462" s="43"/>
    </row>
    <row r="1463" ht="12.75" customHeight="1">
      <c r="A1463" s="48" t="s">
        <v>44</v>
      </c>
      <c r="B1463" s="48" t="s">
        <v>29</v>
      </c>
      <c r="C1463" s="48" t="s">
        <v>56</v>
      </c>
      <c r="D1463" s="48" t="s">
        <v>53</v>
      </c>
      <c r="E1463" s="48"/>
      <c r="F1463" s="48">
        <v>324.3</v>
      </c>
      <c r="G1463" s="43"/>
      <c r="H1463" s="43"/>
      <c r="I1463" s="43"/>
    </row>
    <row r="1464" ht="12.75" customHeight="1">
      <c r="A1464" s="48" t="s">
        <v>44</v>
      </c>
      <c r="B1464" s="48" t="s">
        <v>29</v>
      </c>
      <c r="C1464" s="48" t="s">
        <v>56</v>
      </c>
      <c r="D1464" s="48" t="s">
        <v>8</v>
      </c>
      <c r="E1464" s="48"/>
      <c r="F1464" s="48">
        <v>202.1</v>
      </c>
      <c r="G1464" s="43"/>
      <c r="H1464" s="43"/>
      <c r="I1464" s="43"/>
    </row>
    <row r="1465" ht="12.75" customHeight="1">
      <c r="A1465" s="48" t="s">
        <v>44</v>
      </c>
      <c r="B1465" s="48" t="s">
        <v>29</v>
      </c>
      <c r="C1465" s="48" t="s">
        <v>56</v>
      </c>
      <c r="D1465" s="48" t="s">
        <v>8</v>
      </c>
      <c r="E1465" s="48"/>
      <c r="F1465" s="48">
        <v>24101.600000000002</v>
      </c>
      <c r="G1465" s="43"/>
      <c r="H1465" s="43"/>
      <c r="I1465" s="43"/>
    </row>
    <row r="1466" ht="12.75" customHeight="1">
      <c r="A1466" s="48" t="s">
        <v>44</v>
      </c>
      <c r="B1466" s="48" t="s">
        <v>29</v>
      </c>
      <c r="C1466" s="48" t="s">
        <v>56</v>
      </c>
      <c r="D1466" s="48" t="s">
        <v>8</v>
      </c>
      <c r="E1466" s="48"/>
      <c r="F1466" s="48">
        <v>968.2</v>
      </c>
      <c r="G1466" s="43"/>
      <c r="H1466" s="43"/>
      <c r="I1466" s="43"/>
    </row>
    <row r="1467" ht="12.75" customHeight="1">
      <c r="A1467" s="48" t="s">
        <v>44</v>
      </c>
      <c r="B1467" s="48" t="s">
        <v>29</v>
      </c>
      <c r="C1467" s="48" t="s">
        <v>56</v>
      </c>
      <c r="D1467" s="48" t="s">
        <v>8</v>
      </c>
      <c r="E1467" s="48"/>
      <c r="F1467" s="48">
        <v>76375.0</v>
      </c>
      <c r="G1467" s="43"/>
      <c r="H1467" s="43"/>
      <c r="I1467" s="43"/>
    </row>
    <row r="1468" ht="12.75" customHeight="1">
      <c r="A1468" s="48" t="s">
        <v>44</v>
      </c>
      <c r="B1468" s="48" t="s">
        <v>29</v>
      </c>
      <c r="C1468" s="48" t="s">
        <v>56</v>
      </c>
      <c r="D1468" s="48" t="s">
        <v>8</v>
      </c>
      <c r="E1468" s="48"/>
      <c r="F1468" s="48">
        <v>-27415.100000000002</v>
      </c>
      <c r="G1468" s="43"/>
      <c r="H1468" s="43"/>
      <c r="I1468" s="43"/>
    </row>
    <row r="1469" ht="12.75" customHeight="1">
      <c r="A1469" s="48" t="s">
        <v>44</v>
      </c>
      <c r="B1469" s="48" t="s">
        <v>29</v>
      </c>
      <c r="C1469" s="48" t="s">
        <v>56</v>
      </c>
      <c r="D1469" s="48" t="s">
        <v>8</v>
      </c>
      <c r="E1469" s="48"/>
      <c r="F1469" s="48">
        <v>14057.7</v>
      </c>
      <c r="G1469" s="43"/>
      <c r="H1469" s="43"/>
      <c r="I1469" s="43"/>
    </row>
    <row r="1470" ht="12.75" customHeight="1">
      <c r="A1470" s="48" t="s">
        <v>44</v>
      </c>
      <c r="B1470" s="48" t="s">
        <v>29</v>
      </c>
      <c r="C1470" s="48" t="s">
        <v>56</v>
      </c>
      <c r="D1470" s="48" t="s">
        <v>54</v>
      </c>
      <c r="E1470" s="48"/>
      <c r="F1470" s="48">
        <v>0.0</v>
      </c>
      <c r="G1470" s="43"/>
      <c r="H1470" s="43"/>
      <c r="I1470" s="43"/>
    </row>
    <row r="1471" ht="12.75" customHeight="1">
      <c r="A1471" s="48" t="s">
        <v>44</v>
      </c>
      <c r="B1471" s="48" t="s">
        <v>29</v>
      </c>
      <c r="C1471" s="48" t="s">
        <v>56</v>
      </c>
      <c r="D1471" s="48" t="s">
        <v>54</v>
      </c>
      <c r="E1471" s="48"/>
      <c r="F1471" s="48">
        <v>3525.0</v>
      </c>
      <c r="G1471" s="43"/>
      <c r="H1471" s="43"/>
      <c r="I1471" s="43"/>
    </row>
    <row r="1472" ht="12.75" customHeight="1">
      <c r="A1472" s="48" t="s">
        <v>44</v>
      </c>
      <c r="B1472" s="48" t="s">
        <v>29</v>
      </c>
      <c r="C1472" s="48" t="s">
        <v>56</v>
      </c>
      <c r="D1472" s="48" t="s">
        <v>54</v>
      </c>
      <c r="E1472" s="48"/>
      <c r="F1472" s="48">
        <v>26780.600000000002</v>
      </c>
      <c r="G1472" s="43"/>
      <c r="H1472" s="43"/>
      <c r="I1472" s="43"/>
    </row>
    <row r="1473" ht="12.75" customHeight="1">
      <c r="A1473" s="48" t="s">
        <v>44</v>
      </c>
      <c r="B1473" s="48" t="s">
        <v>29</v>
      </c>
      <c r="C1473" s="48" t="s">
        <v>56</v>
      </c>
      <c r="D1473" s="48" t="s">
        <v>54</v>
      </c>
      <c r="E1473" s="48"/>
      <c r="F1473" s="48">
        <v>498.20000000000005</v>
      </c>
      <c r="G1473" s="43"/>
      <c r="H1473" s="43"/>
      <c r="I1473" s="43"/>
    </row>
    <row r="1474" ht="12.75" customHeight="1">
      <c r="A1474" s="48" t="s">
        <v>44</v>
      </c>
      <c r="B1474" s="48" t="s">
        <v>29</v>
      </c>
      <c r="C1474" s="48" t="s">
        <v>56</v>
      </c>
      <c r="D1474" s="48" t="s">
        <v>49</v>
      </c>
      <c r="E1474" s="48"/>
      <c r="F1474" s="48">
        <v>0.0</v>
      </c>
      <c r="G1474" s="43"/>
      <c r="H1474" s="43"/>
      <c r="I1474" s="43"/>
    </row>
    <row r="1475" ht="12.75" customHeight="1">
      <c r="A1475" s="48" t="s">
        <v>44</v>
      </c>
      <c r="B1475" s="48" t="s">
        <v>29</v>
      </c>
      <c r="C1475" s="48" t="s">
        <v>56</v>
      </c>
      <c r="D1475" s="48" t="s">
        <v>49</v>
      </c>
      <c r="E1475" s="48"/>
      <c r="F1475" s="48">
        <v>3369.9</v>
      </c>
      <c r="G1475" s="43"/>
      <c r="H1475" s="43"/>
      <c r="I1475" s="43"/>
    </row>
    <row r="1476" ht="12.75" customHeight="1">
      <c r="A1476" s="48" t="s">
        <v>44</v>
      </c>
      <c r="B1476" s="48" t="s">
        <v>29</v>
      </c>
      <c r="C1476" s="48" t="s">
        <v>56</v>
      </c>
      <c r="D1476" s="48" t="s">
        <v>50</v>
      </c>
      <c r="E1476" s="48"/>
      <c r="F1476" s="48">
        <v>155.1</v>
      </c>
      <c r="G1476" s="43"/>
      <c r="H1476" s="43"/>
      <c r="I1476" s="43"/>
    </row>
    <row r="1477" ht="12.75" customHeight="1">
      <c r="A1477" s="48" t="s">
        <v>44</v>
      </c>
      <c r="B1477" s="48" t="s">
        <v>29</v>
      </c>
      <c r="C1477" s="48" t="s">
        <v>56</v>
      </c>
      <c r="D1477" s="48" t="s">
        <v>50</v>
      </c>
      <c r="E1477" s="48"/>
      <c r="F1477" s="48">
        <v>1019.9000000000001</v>
      </c>
      <c r="G1477" s="43"/>
      <c r="H1477" s="43"/>
      <c r="I1477" s="43"/>
    </row>
    <row r="1478" ht="12.75" customHeight="1">
      <c r="A1478" s="48" t="s">
        <v>44</v>
      </c>
      <c r="B1478" s="48" t="s">
        <v>29</v>
      </c>
      <c r="C1478" s="48" t="s">
        <v>56</v>
      </c>
      <c r="D1478" s="48" t="s">
        <v>50</v>
      </c>
      <c r="E1478" s="48"/>
      <c r="F1478" s="48">
        <v>4723.5</v>
      </c>
      <c r="G1478" s="43"/>
      <c r="H1478" s="43"/>
      <c r="I1478" s="43"/>
    </row>
    <row r="1479" ht="12.75" customHeight="1">
      <c r="A1479" s="48" t="s">
        <v>44</v>
      </c>
      <c r="B1479" s="48" t="s">
        <v>29</v>
      </c>
      <c r="C1479" s="48" t="s">
        <v>56</v>
      </c>
      <c r="D1479" s="48" t="s">
        <v>50</v>
      </c>
      <c r="E1479" s="48"/>
      <c r="F1479" s="48">
        <v>12788.7</v>
      </c>
      <c r="G1479" s="43"/>
      <c r="H1479" s="43"/>
      <c r="I1479" s="43"/>
    </row>
    <row r="1480" ht="12.75" customHeight="1">
      <c r="A1480" s="48" t="s">
        <v>44</v>
      </c>
      <c r="B1480" s="48" t="s">
        <v>29</v>
      </c>
      <c r="C1480" s="48" t="s">
        <v>56</v>
      </c>
      <c r="D1480" s="48" t="s">
        <v>50</v>
      </c>
      <c r="E1480" s="48"/>
      <c r="F1480" s="48">
        <v>20416.8</v>
      </c>
      <c r="G1480" s="43"/>
      <c r="H1480" s="43"/>
      <c r="I1480" s="43"/>
    </row>
    <row r="1481" ht="12.75" customHeight="1">
      <c r="A1481" s="48" t="s">
        <v>44</v>
      </c>
      <c r="B1481" s="48" t="s">
        <v>29</v>
      </c>
      <c r="C1481" s="48" t="s">
        <v>56</v>
      </c>
      <c r="D1481" s="48" t="s">
        <v>47</v>
      </c>
      <c r="E1481" s="48"/>
      <c r="F1481" s="48">
        <v>0.0</v>
      </c>
      <c r="G1481" s="43"/>
      <c r="H1481" s="43"/>
      <c r="I1481" s="43"/>
    </row>
    <row r="1482" ht="12.75" customHeight="1">
      <c r="A1482" s="48" t="s">
        <v>44</v>
      </c>
      <c r="B1482" s="48" t="s">
        <v>29</v>
      </c>
      <c r="C1482" s="48" t="s">
        <v>56</v>
      </c>
      <c r="D1482" s="48" t="s">
        <v>47</v>
      </c>
      <c r="E1482" s="48"/>
      <c r="F1482" s="48">
        <v>3487.4</v>
      </c>
      <c r="G1482" s="43"/>
      <c r="H1482" s="43"/>
      <c r="I1482" s="43"/>
    </row>
    <row r="1483" ht="12.75" customHeight="1">
      <c r="A1483" s="48" t="s">
        <v>44</v>
      </c>
      <c r="B1483" s="48" t="s">
        <v>29</v>
      </c>
      <c r="C1483" s="48" t="s">
        <v>56</v>
      </c>
      <c r="D1483" s="48" t="s">
        <v>47</v>
      </c>
      <c r="E1483" s="48"/>
      <c r="F1483" s="48">
        <v>0.0</v>
      </c>
      <c r="G1483" s="43"/>
      <c r="H1483" s="43"/>
      <c r="I1483" s="43"/>
    </row>
    <row r="1484" ht="12.75" customHeight="1">
      <c r="A1484" s="48" t="s">
        <v>44</v>
      </c>
      <c r="B1484" s="48" t="s">
        <v>29</v>
      </c>
      <c r="C1484" s="48" t="s">
        <v>56</v>
      </c>
      <c r="D1484" s="48" t="s">
        <v>47</v>
      </c>
      <c r="E1484" s="48"/>
      <c r="F1484" s="48">
        <v>23321.4</v>
      </c>
      <c r="G1484" s="43"/>
      <c r="H1484" s="43"/>
      <c r="I1484" s="43"/>
    </row>
    <row r="1485" ht="12.75" customHeight="1">
      <c r="A1485" s="48" t="s">
        <v>44</v>
      </c>
      <c r="B1485" s="48" t="s">
        <v>29</v>
      </c>
      <c r="C1485" s="48" t="s">
        <v>56</v>
      </c>
      <c r="D1485" s="48" t="s">
        <v>47</v>
      </c>
      <c r="E1485" s="48"/>
      <c r="F1485" s="48">
        <v>62303.200000000004</v>
      </c>
      <c r="G1485" s="43"/>
      <c r="H1485" s="43"/>
      <c r="I1485" s="43"/>
    </row>
    <row r="1486" ht="12.75" customHeight="1">
      <c r="A1486" s="48" t="s">
        <v>44</v>
      </c>
      <c r="B1486" s="48" t="s">
        <v>29</v>
      </c>
      <c r="C1486" s="48" t="s">
        <v>56</v>
      </c>
      <c r="D1486" s="48" t="s">
        <v>47</v>
      </c>
      <c r="E1486" s="48"/>
      <c r="F1486" s="48">
        <v>0.0</v>
      </c>
      <c r="G1486" s="43"/>
      <c r="H1486" s="43"/>
      <c r="I1486" s="43"/>
    </row>
    <row r="1487" ht="12.75" customHeight="1">
      <c r="A1487" s="48" t="s">
        <v>44</v>
      </c>
      <c r="B1487" s="48" t="s">
        <v>29</v>
      </c>
      <c r="C1487" s="48" t="s">
        <v>56</v>
      </c>
      <c r="D1487" s="48" t="s">
        <v>47</v>
      </c>
      <c r="E1487" s="48"/>
      <c r="F1487" s="48">
        <v>8149.8</v>
      </c>
      <c r="G1487" s="43"/>
      <c r="H1487" s="43"/>
      <c r="I1487" s="43"/>
    </row>
    <row r="1488" ht="12.75" customHeight="1">
      <c r="A1488" s="48" t="s">
        <v>44</v>
      </c>
      <c r="B1488" s="48" t="s">
        <v>29</v>
      </c>
      <c r="C1488" s="48" t="s">
        <v>66</v>
      </c>
      <c r="D1488" s="48" t="s">
        <v>8</v>
      </c>
      <c r="E1488" s="48"/>
      <c r="F1488" s="48">
        <v>0.0</v>
      </c>
      <c r="G1488" s="43"/>
      <c r="H1488" s="43"/>
      <c r="I1488" s="43"/>
    </row>
    <row r="1489" ht="12.75" customHeight="1">
      <c r="A1489" s="48" t="s">
        <v>44</v>
      </c>
      <c r="B1489" s="48" t="s">
        <v>29</v>
      </c>
      <c r="C1489" s="48" t="s">
        <v>66</v>
      </c>
      <c r="D1489" s="48" t="s">
        <v>8</v>
      </c>
      <c r="E1489" s="48"/>
      <c r="F1489" s="48">
        <v>455.90000000000003</v>
      </c>
      <c r="G1489" s="43"/>
      <c r="H1489" s="43"/>
      <c r="I1489" s="43"/>
    </row>
    <row r="1490" ht="12.75" customHeight="1">
      <c r="A1490" s="48" t="s">
        <v>44</v>
      </c>
      <c r="B1490" s="48" t="s">
        <v>29</v>
      </c>
      <c r="C1490" s="48" t="s">
        <v>66</v>
      </c>
      <c r="D1490" s="48" t="s">
        <v>54</v>
      </c>
      <c r="E1490" s="48"/>
      <c r="F1490" s="48">
        <v>20257.0</v>
      </c>
      <c r="G1490" s="43"/>
      <c r="H1490" s="43"/>
      <c r="I1490" s="43"/>
    </row>
    <row r="1491" ht="12.75" customHeight="1">
      <c r="A1491" s="48" t="s">
        <v>44</v>
      </c>
      <c r="B1491" s="48" t="s">
        <v>29</v>
      </c>
      <c r="C1491" s="48" t="s">
        <v>66</v>
      </c>
      <c r="D1491" s="48" t="s">
        <v>54</v>
      </c>
      <c r="E1491" s="48"/>
      <c r="F1491" s="48">
        <v>1687.3</v>
      </c>
      <c r="G1491" s="43"/>
      <c r="H1491" s="43"/>
      <c r="I1491" s="43"/>
    </row>
    <row r="1492" ht="12.75" customHeight="1">
      <c r="A1492" s="48" t="s">
        <v>44</v>
      </c>
      <c r="B1492" s="48" t="s">
        <v>29</v>
      </c>
      <c r="C1492" s="48" t="s">
        <v>66</v>
      </c>
      <c r="D1492" s="48" t="s">
        <v>50</v>
      </c>
      <c r="E1492" s="48"/>
      <c r="F1492" s="48">
        <v>5358.0</v>
      </c>
      <c r="G1492" s="43"/>
      <c r="H1492" s="43"/>
      <c r="I1492" s="43"/>
    </row>
    <row r="1493" ht="12.75" customHeight="1">
      <c r="A1493" s="48" t="s">
        <v>44</v>
      </c>
      <c r="B1493" s="48" t="s">
        <v>29</v>
      </c>
      <c r="C1493" s="48" t="s">
        <v>66</v>
      </c>
      <c r="D1493" s="48" t="s">
        <v>50</v>
      </c>
      <c r="E1493" s="48"/>
      <c r="F1493" s="48">
        <v>10932.2</v>
      </c>
      <c r="G1493" s="43"/>
      <c r="H1493" s="43"/>
      <c r="I1493" s="43"/>
    </row>
    <row r="1494" ht="12.75" customHeight="1">
      <c r="A1494" s="48" t="s">
        <v>44</v>
      </c>
      <c r="B1494" s="48" t="s">
        <v>29</v>
      </c>
      <c r="C1494" s="48" t="s">
        <v>66</v>
      </c>
      <c r="D1494" s="48" t="s">
        <v>50</v>
      </c>
      <c r="E1494" s="48"/>
      <c r="F1494" s="48">
        <v>7802.0</v>
      </c>
      <c r="G1494" s="43"/>
      <c r="H1494" s="43"/>
      <c r="I1494" s="43"/>
    </row>
    <row r="1495" ht="12.75" customHeight="1">
      <c r="A1495" s="48" t="s">
        <v>44</v>
      </c>
      <c r="B1495" s="48" t="s">
        <v>29</v>
      </c>
      <c r="C1495" s="48" t="s">
        <v>66</v>
      </c>
      <c r="D1495" s="48" t="s">
        <v>47</v>
      </c>
      <c r="E1495" s="48"/>
      <c r="F1495" s="48">
        <v>178.6</v>
      </c>
      <c r="G1495" s="43"/>
      <c r="H1495" s="43"/>
      <c r="I1495" s="43"/>
    </row>
    <row r="1496" ht="12.75" customHeight="1">
      <c r="A1496" s="48" t="s">
        <v>44</v>
      </c>
      <c r="B1496" s="48" t="s">
        <v>29</v>
      </c>
      <c r="C1496" s="48" t="s">
        <v>59</v>
      </c>
      <c r="D1496" s="48" t="s">
        <v>8</v>
      </c>
      <c r="E1496" s="48"/>
      <c r="F1496" s="48">
        <v>11999.1</v>
      </c>
      <c r="G1496" s="43"/>
      <c r="H1496" s="43"/>
      <c r="I1496" s="43"/>
    </row>
    <row r="1497" ht="12.75" customHeight="1">
      <c r="A1497" s="48" t="s">
        <v>44</v>
      </c>
      <c r="B1497" s="48" t="s">
        <v>29</v>
      </c>
      <c r="C1497" s="48" t="s">
        <v>59</v>
      </c>
      <c r="D1497" s="48" t="s">
        <v>54</v>
      </c>
      <c r="E1497" s="48"/>
      <c r="F1497" s="48">
        <v>20257.0</v>
      </c>
      <c r="G1497" s="43"/>
      <c r="H1497" s="43"/>
      <c r="I1497" s="43"/>
    </row>
    <row r="1498" ht="12.75" customHeight="1">
      <c r="A1498" s="48" t="s">
        <v>44</v>
      </c>
      <c r="B1498" s="48" t="s">
        <v>29</v>
      </c>
      <c r="C1498" s="48" t="s">
        <v>59</v>
      </c>
      <c r="D1498" s="48" t="s">
        <v>50</v>
      </c>
      <c r="E1498" s="48"/>
      <c r="F1498" s="48">
        <v>13869.7</v>
      </c>
      <c r="G1498" s="43"/>
      <c r="H1498" s="43"/>
      <c r="I1498" s="43"/>
    </row>
    <row r="1499" ht="12.75" customHeight="1">
      <c r="A1499" s="48" t="s">
        <v>44</v>
      </c>
      <c r="B1499" s="48" t="s">
        <v>29</v>
      </c>
      <c r="C1499" s="48" t="s">
        <v>59</v>
      </c>
      <c r="D1499" s="48" t="s">
        <v>50</v>
      </c>
      <c r="E1499" s="48"/>
      <c r="F1499" s="48">
        <v>10932.2</v>
      </c>
      <c r="G1499" s="43"/>
      <c r="H1499" s="43"/>
      <c r="I1499" s="43"/>
    </row>
    <row r="1500" ht="12.75" customHeight="1">
      <c r="A1500" s="48" t="s">
        <v>44</v>
      </c>
      <c r="B1500" s="48" t="s">
        <v>29</v>
      </c>
      <c r="C1500" s="48" t="s">
        <v>59</v>
      </c>
      <c r="D1500" s="48" t="s">
        <v>47</v>
      </c>
      <c r="E1500" s="48"/>
      <c r="F1500" s="48">
        <v>16210.300000000001</v>
      </c>
      <c r="G1500" s="43"/>
      <c r="H1500" s="43"/>
      <c r="I1500" s="43"/>
    </row>
    <row r="1501" ht="12.75" customHeight="1">
      <c r="A1501" s="48" t="s">
        <v>44</v>
      </c>
      <c r="B1501" s="48" t="s">
        <v>29</v>
      </c>
      <c r="C1501" s="48" t="s">
        <v>59</v>
      </c>
      <c r="D1501" s="48" t="s">
        <v>47</v>
      </c>
      <c r="E1501" s="48"/>
      <c r="F1501" s="48">
        <v>4831.6</v>
      </c>
      <c r="G1501" s="43"/>
      <c r="H1501" s="43"/>
      <c r="I1501" s="43"/>
    </row>
    <row r="1502" ht="12.75" customHeight="1">
      <c r="A1502" s="48" t="s">
        <v>44</v>
      </c>
      <c r="B1502" s="48" t="s">
        <v>29</v>
      </c>
      <c r="C1502" s="48" t="s">
        <v>59</v>
      </c>
      <c r="D1502" s="48" t="s">
        <v>47</v>
      </c>
      <c r="E1502" s="48"/>
      <c r="F1502" s="48">
        <v>0.0</v>
      </c>
      <c r="G1502" s="43"/>
      <c r="H1502" s="43"/>
      <c r="I1502" s="43"/>
    </row>
    <row r="1503" ht="12.75" customHeight="1">
      <c r="A1503" s="48" t="s">
        <v>44</v>
      </c>
      <c r="B1503" s="48" t="s">
        <v>30</v>
      </c>
      <c r="C1503" s="48" t="s">
        <v>6</v>
      </c>
      <c r="D1503" s="48" t="s">
        <v>53</v>
      </c>
      <c r="E1503" s="48"/>
      <c r="F1503" s="48">
        <v>888.3000000000001</v>
      </c>
      <c r="G1503" s="43"/>
      <c r="H1503" s="43"/>
      <c r="I1503" s="43"/>
    </row>
    <row r="1504" ht="12.75" customHeight="1">
      <c r="A1504" s="48" t="s">
        <v>44</v>
      </c>
      <c r="B1504" s="48" t="s">
        <v>30</v>
      </c>
      <c r="C1504" s="48" t="s">
        <v>6</v>
      </c>
      <c r="D1504" s="48" t="s">
        <v>53</v>
      </c>
      <c r="E1504" s="48"/>
      <c r="F1504" s="48">
        <v>-6645.8</v>
      </c>
      <c r="G1504" s="43"/>
      <c r="H1504" s="43"/>
      <c r="I1504" s="43"/>
    </row>
    <row r="1505" ht="12.75" customHeight="1">
      <c r="A1505" s="48" t="s">
        <v>44</v>
      </c>
      <c r="B1505" s="48" t="s">
        <v>30</v>
      </c>
      <c r="C1505" s="48" t="s">
        <v>6</v>
      </c>
      <c r="D1505" s="48" t="s">
        <v>58</v>
      </c>
      <c r="E1505" s="48"/>
      <c r="F1505" s="48">
        <v>35250.0</v>
      </c>
      <c r="G1505" s="43"/>
      <c r="H1505" s="43"/>
      <c r="I1505" s="43"/>
    </row>
    <row r="1506" ht="12.75" customHeight="1">
      <c r="A1506" s="48" t="s">
        <v>44</v>
      </c>
      <c r="B1506" s="48" t="s">
        <v>30</v>
      </c>
      <c r="C1506" s="48" t="s">
        <v>6</v>
      </c>
      <c r="D1506" s="48" t="s">
        <v>8</v>
      </c>
      <c r="E1506" s="48"/>
      <c r="F1506" s="48">
        <v>253.8</v>
      </c>
      <c r="G1506" s="43"/>
      <c r="H1506" s="43"/>
      <c r="I1506" s="43"/>
    </row>
    <row r="1507" ht="12.75" customHeight="1">
      <c r="A1507" s="48" t="s">
        <v>44</v>
      </c>
      <c r="B1507" s="48" t="s">
        <v>30</v>
      </c>
      <c r="C1507" s="48" t="s">
        <v>6</v>
      </c>
      <c r="D1507" s="48" t="s">
        <v>8</v>
      </c>
      <c r="E1507" s="48"/>
      <c r="F1507" s="48">
        <v>0.0</v>
      </c>
      <c r="G1507" s="43"/>
      <c r="H1507" s="43"/>
      <c r="I1507" s="43"/>
    </row>
    <row r="1508" ht="12.75" customHeight="1">
      <c r="A1508" s="48" t="s">
        <v>44</v>
      </c>
      <c r="B1508" s="48" t="s">
        <v>30</v>
      </c>
      <c r="C1508" s="48" t="s">
        <v>6</v>
      </c>
      <c r="D1508" s="48" t="s">
        <v>8</v>
      </c>
      <c r="E1508" s="48"/>
      <c r="F1508" s="48">
        <v>81122.0</v>
      </c>
      <c r="G1508" s="43"/>
      <c r="H1508" s="43"/>
      <c r="I1508" s="43"/>
    </row>
    <row r="1509" ht="12.75" customHeight="1">
      <c r="A1509" s="48" t="s">
        <v>44</v>
      </c>
      <c r="B1509" s="48" t="s">
        <v>30</v>
      </c>
      <c r="C1509" s="48" t="s">
        <v>6</v>
      </c>
      <c r="D1509" s="48" t="s">
        <v>8</v>
      </c>
      <c r="E1509" s="48"/>
      <c r="F1509" s="48">
        <v>17136.2</v>
      </c>
      <c r="G1509" s="43"/>
      <c r="H1509" s="43"/>
      <c r="I1509" s="43"/>
    </row>
    <row r="1510" ht="12.75" customHeight="1">
      <c r="A1510" s="48" t="s">
        <v>44</v>
      </c>
      <c r="B1510" s="48" t="s">
        <v>30</v>
      </c>
      <c r="C1510" s="48" t="s">
        <v>6</v>
      </c>
      <c r="D1510" s="48" t="s">
        <v>8</v>
      </c>
      <c r="E1510" s="48"/>
      <c r="F1510" s="48">
        <v>23744.4</v>
      </c>
      <c r="G1510" s="43"/>
      <c r="H1510" s="43"/>
      <c r="I1510" s="43"/>
    </row>
    <row r="1511" ht="12.75" customHeight="1">
      <c r="A1511" s="48" t="s">
        <v>44</v>
      </c>
      <c r="B1511" s="48" t="s">
        <v>30</v>
      </c>
      <c r="C1511" s="48" t="s">
        <v>6</v>
      </c>
      <c r="D1511" s="48" t="s">
        <v>8</v>
      </c>
      <c r="E1511" s="48"/>
      <c r="F1511" s="48">
        <v>0.0</v>
      </c>
      <c r="G1511" s="43"/>
      <c r="H1511" s="43"/>
      <c r="I1511" s="43"/>
    </row>
    <row r="1512" ht="12.75" customHeight="1">
      <c r="A1512" s="48" t="s">
        <v>44</v>
      </c>
      <c r="B1512" s="48" t="s">
        <v>30</v>
      </c>
      <c r="C1512" s="48" t="s">
        <v>6</v>
      </c>
      <c r="D1512" s="48" t="s">
        <v>8</v>
      </c>
      <c r="E1512" s="48"/>
      <c r="F1512" s="48">
        <v>3543.8</v>
      </c>
      <c r="G1512" s="43"/>
      <c r="H1512" s="43"/>
      <c r="I1512" s="43"/>
    </row>
    <row r="1513" ht="12.75" customHeight="1">
      <c r="A1513" s="48" t="s">
        <v>44</v>
      </c>
      <c r="B1513" s="48" t="s">
        <v>30</v>
      </c>
      <c r="C1513" s="48" t="s">
        <v>6</v>
      </c>
      <c r="D1513" s="48" t="s">
        <v>8</v>
      </c>
      <c r="E1513" s="48"/>
      <c r="F1513" s="48">
        <v>5875.0</v>
      </c>
      <c r="G1513" s="43"/>
      <c r="H1513" s="43"/>
      <c r="I1513" s="43"/>
    </row>
    <row r="1514" ht="12.75" customHeight="1">
      <c r="A1514" s="48" t="s">
        <v>44</v>
      </c>
      <c r="B1514" s="48" t="s">
        <v>30</v>
      </c>
      <c r="C1514" s="48" t="s">
        <v>6</v>
      </c>
      <c r="D1514" s="48" t="s">
        <v>6</v>
      </c>
      <c r="E1514" s="48"/>
      <c r="F1514" s="48">
        <v>0.0</v>
      </c>
      <c r="G1514" s="43"/>
      <c r="H1514" s="43"/>
      <c r="I1514" s="43"/>
    </row>
    <row r="1515" ht="12.75" customHeight="1">
      <c r="A1515" s="48" t="s">
        <v>44</v>
      </c>
      <c r="B1515" s="48" t="s">
        <v>30</v>
      </c>
      <c r="C1515" s="48" t="s">
        <v>6</v>
      </c>
      <c r="D1515" s="48" t="s">
        <v>6</v>
      </c>
      <c r="E1515" s="48"/>
      <c r="F1515" s="48">
        <v>0.0</v>
      </c>
      <c r="G1515" s="43"/>
      <c r="H1515" s="43"/>
      <c r="I1515" s="43"/>
    </row>
    <row r="1516" ht="12.75" customHeight="1">
      <c r="A1516" s="48" t="s">
        <v>44</v>
      </c>
      <c r="B1516" s="48" t="s">
        <v>30</v>
      </c>
      <c r="C1516" s="48" t="s">
        <v>6</v>
      </c>
      <c r="D1516" s="48" t="s">
        <v>6</v>
      </c>
      <c r="E1516" s="48"/>
      <c r="F1516" s="48">
        <v>74025.0</v>
      </c>
      <c r="G1516" s="43"/>
      <c r="H1516" s="43"/>
      <c r="I1516" s="43"/>
    </row>
    <row r="1517" ht="12.75" customHeight="1">
      <c r="A1517" s="48" t="s">
        <v>44</v>
      </c>
      <c r="B1517" s="48" t="s">
        <v>30</v>
      </c>
      <c r="C1517" s="48" t="s">
        <v>6</v>
      </c>
      <c r="D1517" s="48" t="s">
        <v>6</v>
      </c>
      <c r="E1517" s="48"/>
      <c r="F1517" s="48">
        <v>83946.7</v>
      </c>
      <c r="G1517" s="43"/>
      <c r="H1517" s="43"/>
      <c r="I1517" s="43"/>
    </row>
    <row r="1518" ht="12.75" customHeight="1">
      <c r="A1518" s="48" t="s">
        <v>44</v>
      </c>
      <c r="B1518" s="48" t="s">
        <v>30</v>
      </c>
      <c r="C1518" s="48" t="s">
        <v>6</v>
      </c>
      <c r="D1518" s="48" t="s">
        <v>6</v>
      </c>
      <c r="E1518" s="48"/>
      <c r="F1518" s="48">
        <v>972.9000000000001</v>
      </c>
      <c r="G1518" s="43"/>
      <c r="H1518" s="43"/>
      <c r="I1518" s="43"/>
    </row>
    <row r="1519" ht="12.75" customHeight="1">
      <c r="A1519" s="48" t="s">
        <v>44</v>
      </c>
      <c r="B1519" s="48" t="s">
        <v>30</v>
      </c>
      <c r="C1519" s="48" t="s">
        <v>6</v>
      </c>
      <c r="D1519" s="48" t="s">
        <v>6</v>
      </c>
      <c r="E1519" s="48"/>
      <c r="F1519" s="48">
        <v>47484.1</v>
      </c>
      <c r="G1519" s="43"/>
      <c r="H1519" s="43"/>
      <c r="I1519" s="43"/>
    </row>
    <row r="1520" ht="12.75" customHeight="1">
      <c r="A1520" s="48" t="s">
        <v>44</v>
      </c>
      <c r="B1520" s="48" t="s">
        <v>30</v>
      </c>
      <c r="C1520" s="48" t="s">
        <v>6</v>
      </c>
      <c r="D1520" s="48" t="s">
        <v>6</v>
      </c>
      <c r="E1520" s="48"/>
      <c r="F1520" s="48">
        <v>6157.0</v>
      </c>
      <c r="G1520" s="43"/>
      <c r="H1520" s="43"/>
      <c r="I1520" s="43"/>
    </row>
    <row r="1521" ht="12.75" customHeight="1">
      <c r="A1521" s="48" t="s">
        <v>44</v>
      </c>
      <c r="B1521" s="48" t="s">
        <v>30</v>
      </c>
      <c r="C1521" s="48" t="s">
        <v>6</v>
      </c>
      <c r="D1521" s="48" t="s">
        <v>6</v>
      </c>
      <c r="E1521" s="48"/>
      <c r="F1521" s="48">
        <v>23302.600000000002</v>
      </c>
      <c r="G1521" s="43"/>
      <c r="H1521" s="43"/>
      <c r="I1521" s="43"/>
    </row>
    <row r="1522" ht="12.75" customHeight="1">
      <c r="A1522" s="48" t="s">
        <v>44</v>
      </c>
      <c r="B1522" s="48" t="s">
        <v>30</v>
      </c>
      <c r="C1522" s="48" t="s">
        <v>6</v>
      </c>
      <c r="D1522" s="48" t="s">
        <v>6</v>
      </c>
      <c r="E1522" s="48"/>
      <c r="F1522" s="48">
        <v>19852.8</v>
      </c>
      <c r="G1522" s="43"/>
      <c r="H1522" s="43"/>
      <c r="I1522" s="43"/>
    </row>
    <row r="1523" ht="12.75" customHeight="1">
      <c r="A1523" s="48" t="s">
        <v>44</v>
      </c>
      <c r="B1523" s="48" t="s">
        <v>30</v>
      </c>
      <c r="C1523" s="48" t="s">
        <v>6</v>
      </c>
      <c r="D1523" s="48" t="s">
        <v>6</v>
      </c>
      <c r="E1523" s="48"/>
      <c r="F1523" s="48">
        <v>0.0</v>
      </c>
      <c r="G1523" s="43"/>
      <c r="H1523" s="43"/>
      <c r="I1523" s="43"/>
    </row>
    <row r="1524" ht="12.75" customHeight="1">
      <c r="A1524" s="48" t="s">
        <v>44</v>
      </c>
      <c r="B1524" s="48" t="s">
        <v>30</v>
      </c>
      <c r="C1524" s="48" t="s">
        <v>6</v>
      </c>
      <c r="D1524" s="48" t="s">
        <v>54</v>
      </c>
      <c r="E1524" s="48"/>
      <c r="F1524" s="48">
        <v>780.2</v>
      </c>
      <c r="G1524" s="43"/>
      <c r="H1524" s="43"/>
      <c r="I1524" s="43"/>
    </row>
    <row r="1525" ht="12.75" customHeight="1">
      <c r="A1525" s="48" t="s">
        <v>44</v>
      </c>
      <c r="B1525" s="48" t="s">
        <v>30</v>
      </c>
      <c r="C1525" s="48" t="s">
        <v>6</v>
      </c>
      <c r="D1525" s="48" t="s">
        <v>54</v>
      </c>
      <c r="E1525" s="48"/>
      <c r="F1525" s="48">
        <v>63332.5</v>
      </c>
      <c r="G1525" s="43"/>
      <c r="H1525" s="43"/>
      <c r="I1525" s="43"/>
    </row>
    <row r="1526" ht="12.75" customHeight="1">
      <c r="A1526" s="48" t="s">
        <v>44</v>
      </c>
      <c r="B1526" s="48" t="s">
        <v>30</v>
      </c>
      <c r="C1526" s="48" t="s">
        <v>6</v>
      </c>
      <c r="D1526" s="48" t="s">
        <v>54</v>
      </c>
      <c r="E1526" s="48"/>
      <c r="F1526" s="48">
        <v>2467.5</v>
      </c>
      <c r="G1526" s="43"/>
      <c r="H1526" s="43"/>
      <c r="I1526" s="43"/>
    </row>
    <row r="1527" ht="12.75" customHeight="1">
      <c r="A1527" s="48" t="s">
        <v>44</v>
      </c>
      <c r="B1527" s="48" t="s">
        <v>30</v>
      </c>
      <c r="C1527" s="48" t="s">
        <v>6</v>
      </c>
      <c r="D1527" s="48" t="s">
        <v>49</v>
      </c>
      <c r="E1527" s="48"/>
      <c r="F1527" s="48">
        <v>152867.5</v>
      </c>
      <c r="G1527" s="43"/>
      <c r="H1527" s="43"/>
      <c r="I1527" s="43"/>
    </row>
    <row r="1528" ht="12.75" customHeight="1">
      <c r="A1528" s="48" t="s">
        <v>44</v>
      </c>
      <c r="B1528" s="48" t="s">
        <v>30</v>
      </c>
      <c r="C1528" s="48" t="s">
        <v>6</v>
      </c>
      <c r="D1528" s="48" t="s">
        <v>49</v>
      </c>
      <c r="E1528" s="48"/>
      <c r="F1528" s="48">
        <v>35720.0</v>
      </c>
      <c r="G1528" s="43"/>
      <c r="H1528" s="43"/>
      <c r="I1528" s="43"/>
    </row>
    <row r="1529" ht="12.75" customHeight="1">
      <c r="A1529" s="48" t="s">
        <v>44</v>
      </c>
      <c r="B1529" s="48" t="s">
        <v>30</v>
      </c>
      <c r="C1529" s="48" t="s">
        <v>6</v>
      </c>
      <c r="D1529" s="48" t="s">
        <v>49</v>
      </c>
      <c r="E1529" s="48"/>
      <c r="F1529" s="48">
        <v>21573.0</v>
      </c>
      <c r="G1529" s="43"/>
      <c r="H1529" s="43"/>
      <c r="I1529" s="43"/>
    </row>
    <row r="1530" ht="12.75" customHeight="1">
      <c r="A1530" s="48" t="s">
        <v>44</v>
      </c>
      <c r="B1530" s="48" t="s">
        <v>30</v>
      </c>
      <c r="C1530" s="48" t="s">
        <v>6</v>
      </c>
      <c r="D1530" s="48" t="s">
        <v>50</v>
      </c>
      <c r="E1530" s="48"/>
      <c r="F1530" s="48">
        <v>10730.1</v>
      </c>
      <c r="G1530" s="43"/>
      <c r="H1530" s="43"/>
      <c r="I1530" s="43"/>
    </row>
    <row r="1531" ht="12.75" customHeight="1">
      <c r="A1531" s="48" t="s">
        <v>44</v>
      </c>
      <c r="B1531" s="48" t="s">
        <v>30</v>
      </c>
      <c r="C1531" s="48" t="s">
        <v>6</v>
      </c>
      <c r="D1531" s="48" t="s">
        <v>50</v>
      </c>
      <c r="E1531" s="48"/>
      <c r="F1531" s="48">
        <v>4920.900000000001</v>
      </c>
      <c r="G1531" s="43"/>
      <c r="H1531" s="43"/>
      <c r="I1531" s="43"/>
    </row>
    <row r="1532" ht="12.75" customHeight="1">
      <c r="A1532" s="48" t="s">
        <v>44</v>
      </c>
      <c r="B1532" s="48" t="s">
        <v>30</v>
      </c>
      <c r="C1532" s="48" t="s">
        <v>6</v>
      </c>
      <c r="D1532" s="48" t="s">
        <v>50</v>
      </c>
      <c r="E1532" s="48"/>
      <c r="F1532" s="48">
        <v>0.0</v>
      </c>
      <c r="G1532" s="43"/>
      <c r="H1532" s="43"/>
      <c r="I1532" s="43"/>
    </row>
    <row r="1533" ht="12.75" customHeight="1">
      <c r="A1533" s="48" t="s">
        <v>44</v>
      </c>
      <c r="B1533" s="48" t="s">
        <v>30</v>
      </c>
      <c r="C1533" s="48" t="s">
        <v>6</v>
      </c>
      <c r="D1533" s="48" t="s">
        <v>50</v>
      </c>
      <c r="E1533" s="48"/>
      <c r="F1533" s="48">
        <v>32791.9</v>
      </c>
      <c r="G1533" s="43"/>
      <c r="H1533" s="43"/>
      <c r="I1533" s="43"/>
    </row>
    <row r="1534" ht="12.75" customHeight="1">
      <c r="A1534" s="48" t="s">
        <v>44</v>
      </c>
      <c r="B1534" s="48" t="s">
        <v>30</v>
      </c>
      <c r="C1534" s="48" t="s">
        <v>6</v>
      </c>
      <c r="D1534" s="48" t="s">
        <v>50</v>
      </c>
      <c r="E1534" s="48"/>
      <c r="F1534" s="48">
        <v>12135.4</v>
      </c>
      <c r="G1534" s="43"/>
      <c r="H1534" s="43"/>
      <c r="I1534" s="43"/>
    </row>
    <row r="1535" ht="12.75" customHeight="1">
      <c r="A1535" s="48" t="s">
        <v>44</v>
      </c>
      <c r="B1535" s="48" t="s">
        <v>30</v>
      </c>
      <c r="C1535" s="48" t="s">
        <v>6</v>
      </c>
      <c r="D1535" s="48" t="s">
        <v>47</v>
      </c>
      <c r="E1535" s="48"/>
      <c r="F1535" s="48">
        <v>6918.400000000001</v>
      </c>
      <c r="G1535" s="43"/>
      <c r="H1535" s="43"/>
      <c r="I1535" s="43"/>
    </row>
    <row r="1536" ht="12.75" customHeight="1">
      <c r="A1536" s="48" t="s">
        <v>44</v>
      </c>
      <c r="B1536" s="48" t="s">
        <v>30</v>
      </c>
      <c r="C1536" s="48" t="s">
        <v>6</v>
      </c>
      <c r="D1536" s="48" t="s">
        <v>47</v>
      </c>
      <c r="E1536" s="48"/>
      <c r="F1536" s="48">
        <v>394.8</v>
      </c>
      <c r="G1536" s="43"/>
      <c r="H1536" s="43"/>
      <c r="I1536" s="43"/>
    </row>
    <row r="1537" ht="12.75" customHeight="1">
      <c r="A1537" s="48" t="s">
        <v>44</v>
      </c>
      <c r="B1537" s="48" t="s">
        <v>30</v>
      </c>
      <c r="C1537" s="48" t="s">
        <v>6</v>
      </c>
      <c r="D1537" s="48" t="s">
        <v>47</v>
      </c>
      <c r="E1537" s="48"/>
      <c r="F1537" s="48">
        <v>1024.6000000000001</v>
      </c>
      <c r="G1537" s="43"/>
      <c r="H1537" s="43"/>
      <c r="I1537" s="43"/>
    </row>
    <row r="1538" ht="12.75" customHeight="1">
      <c r="A1538" s="48" t="s">
        <v>44</v>
      </c>
      <c r="B1538" s="48" t="s">
        <v>30</v>
      </c>
      <c r="C1538" s="48" t="s">
        <v>6</v>
      </c>
      <c r="D1538" s="48" t="s">
        <v>47</v>
      </c>
      <c r="E1538" s="48"/>
      <c r="F1538" s="48">
        <v>1217.3</v>
      </c>
      <c r="G1538" s="43"/>
      <c r="H1538" s="43"/>
      <c r="I1538" s="43"/>
    </row>
    <row r="1539" ht="12.75" customHeight="1">
      <c r="A1539" s="48" t="s">
        <v>44</v>
      </c>
      <c r="B1539" s="48" t="s">
        <v>30</v>
      </c>
      <c r="C1539" s="48" t="s">
        <v>5</v>
      </c>
      <c r="D1539" s="48" t="s">
        <v>53</v>
      </c>
      <c r="E1539" s="48"/>
      <c r="F1539" s="48">
        <v>13559.5</v>
      </c>
      <c r="G1539" s="43"/>
      <c r="H1539" s="43"/>
      <c r="I1539" s="43"/>
    </row>
    <row r="1540" ht="12.75" customHeight="1">
      <c r="A1540" s="48" t="s">
        <v>44</v>
      </c>
      <c r="B1540" s="48" t="s">
        <v>30</v>
      </c>
      <c r="C1540" s="48" t="s">
        <v>5</v>
      </c>
      <c r="D1540" s="48" t="s">
        <v>53</v>
      </c>
      <c r="E1540" s="48"/>
      <c r="F1540" s="48">
        <v>-5019.6</v>
      </c>
      <c r="G1540" s="43"/>
      <c r="H1540" s="43"/>
      <c r="I1540" s="43"/>
    </row>
    <row r="1541" ht="12.75" customHeight="1">
      <c r="A1541" s="48" t="s">
        <v>44</v>
      </c>
      <c r="B1541" s="48" t="s">
        <v>30</v>
      </c>
      <c r="C1541" s="48" t="s">
        <v>5</v>
      </c>
      <c r="D1541" s="48" t="s">
        <v>8</v>
      </c>
      <c r="E1541" s="48"/>
      <c r="F1541" s="48">
        <v>9578.6</v>
      </c>
      <c r="G1541" s="43"/>
      <c r="H1541" s="43"/>
      <c r="I1541" s="43"/>
    </row>
    <row r="1542" ht="12.75" customHeight="1">
      <c r="A1542" s="48" t="s">
        <v>44</v>
      </c>
      <c r="B1542" s="48" t="s">
        <v>30</v>
      </c>
      <c r="C1542" s="48" t="s">
        <v>5</v>
      </c>
      <c r="D1542" s="48" t="s">
        <v>8</v>
      </c>
      <c r="E1542" s="48"/>
      <c r="F1542" s="48">
        <v>0.0</v>
      </c>
      <c r="G1542" s="43"/>
      <c r="H1542" s="43"/>
      <c r="I1542" s="43"/>
    </row>
    <row r="1543" ht="12.75" customHeight="1">
      <c r="A1543" s="48" t="s">
        <v>44</v>
      </c>
      <c r="B1543" s="48" t="s">
        <v>30</v>
      </c>
      <c r="C1543" s="48" t="s">
        <v>5</v>
      </c>
      <c r="D1543" s="48" t="s">
        <v>8</v>
      </c>
      <c r="E1543" s="48"/>
      <c r="F1543" s="48">
        <v>0.0</v>
      </c>
      <c r="G1543" s="43"/>
      <c r="H1543" s="43"/>
      <c r="I1543" s="43"/>
    </row>
    <row r="1544" ht="12.75" customHeight="1">
      <c r="A1544" s="48" t="s">
        <v>44</v>
      </c>
      <c r="B1544" s="48" t="s">
        <v>30</v>
      </c>
      <c r="C1544" s="48" t="s">
        <v>5</v>
      </c>
      <c r="D1544" s="48" t="s">
        <v>8</v>
      </c>
      <c r="E1544" s="48"/>
      <c r="F1544" s="48">
        <v>23810.2</v>
      </c>
      <c r="G1544" s="43"/>
      <c r="H1544" s="43"/>
      <c r="I1544" s="43"/>
    </row>
    <row r="1545" ht="12.75" customHeight="1">
      <c r="A1545" s="48" t="s">
        <v>44</v>
      </c>
      <c r="B1545" s="48" t="s">
        <v>30</v>
      </c>
      <c r="C1545" s="48" t="s">
        <v>5</v>
      </c>
      <c r="D1545" s="48" t="s">
        <v>8</v>
      </c>
      <c r="E1545" s="48"/>
      <c r="F1545" s="48">
        <v>0.0</v>
      </c>
      <c r="G1545" s="43"/>
      <c r="H1545" s="43"/>
      <c r="I1545" s="43"/>
    </row>
    <row r="1546" ht="12.75" customHeight="1">
      <c r="A1546" s="48" t="s">
        <v>44</v>
      </c>
      <c r="B1546" s="48" t="s">
        <v>30</v>
      </c>
      <c r="C1546" s="48" t="s">
        <v>5</v>
      </c>
      <c r="D1546" s="48" t="s">
        <v>8</v>
      </c>
      <c r="E1546" s="48"/>
      <c r="F1546" s="48">
        <v>27433.9</v>
      </c>
      <c r="G1546" s="43"/>
      <c r="H1546" s="43"/>
      <c r="I1546" s="43"/>
    </row>
    <row r="1547" ht="12.75" customHeight="1">
      <c r="A1547" s="48" t="s">
        <v>44</v>
      </c>
      <c r="B1547" s="48" t="s">
        <v>30</v>
      </c>
      <c r="C1547" s="48" t="s">
        <v>5</v>
      </c>
      <c r="D1547" s="48" t="s">
        <v>8</v>
      </c>
      <c r="E1547" s="48"/>
      <c r="F1547" s="48">
        <v>7515.3</v>
      </c>
      <c r="G1547" s="43"/>
      <c r="H1547" s="43"/>
      <c r="I1547" s="43"/>
    </row>
    <row r="1548" ht="12.75" customHeight="1">
      <c r="A1548" s="48" t="s">
        <v>44</v>
      </c>
      <c r="B1548" s="48" t="s">
        <v>30</v>
      </c>
      <c r="C1548" s="48" t="s">
        <v>5</v>
      </c>
      <c r="D1548" s="48" t="s">
        <v>8</v>
      </c>
      <c r="E1548" s="48"/>
      <c r="F1548" s="48">
        <v>0.0</v>
      </c>
      <c r="G1548" s="43"/>
      <c r="H1548" s="43"/>
      <c r="I1548" s="43"/>
    </row>
    <row r="1549" ht="12.75" customHeight="1">
      <c r="A1549" s="48" t="s">
        <v>44</v>
      </c>
      <c r="B1549" s="48" t="s">
        <v>30</v>
      </c>
      <c r="C1549" s="48" t="s">
        <v>5</v>
      </c>
      <c r="D1549" s="48" t="s">
        <v>8</v>
      </c>
      <c r="E1549" s="48"/>
      <c r="F1549" s="48">
        <v>348702.4</v>
      </c>
      <c r="G1549" s="43"/>
      <c r="H1549" s="43"/>
      <c r="I1549" s="43"/>
    </row>
    <row r="1550" ht="12.75" customHeight="1">
      <c r="A1550" s="48" t="s">
        <v>44</v>
      </c>
      <c r="B1550" s="48" t="s">
        <v>30</v>
      </c>
      <c r="C1550" s="48" t="s">
        <v>5</v>
      </c>
      <c r="D1550" s="48" t="s">
        <v>8</v>
      </c>
      <c r="E1550" s="48"/>
      <c r="F1550" s="48">
        <v>0.0</v>
      </c>
      <c r="G1550" s="43"/>
      <c r="H1550" s="43"/>
      <c r="I1550" s="43"/>
    </row>
    <row r="1551" ht="12.75" customHeight="1">
      <c r="A1551" s="48" t="s">
        <v>44</v>
      </c>
      <c r="B1551" s="48" t="s">
        <v>30</v>
      </c>
      <c r="C1551" s="48" t="s">
        <v>5</v>
      </c>
      <c r="D1551" s="48" t="s">
        <v>8</v>
      </c>
      <c r="E1551" s="48"/>
      <c r="F1551" s="48">
        <v>50938.6</v>
      </c>
      <c r="G1551" s="43"/>
      <c r="H1551" s="43"/>
      <c r="I1551" s="43"/>
    </row>
    <row r="1552" ht="12.75" customHeight="1">
      <c r="A1552" s="48" t="s">
        <v>44</v>
      </c>
      <c r="B1552" s="48" t="s">
        <v>30</v>
      </c>
      <c r="C1552" s="48" t="s">
        <v>5</v>
      </c>
      <c r="D1552" s="48" t="s">
        <v>8</v>
      </c>
      <c r="E1552" s="48"/>
      <c r="F1552" s="48">
        <v>27894.5</v>
      </c>
      <c r="G1552" s="43"/>
      <c r="H1552" s="43"/>
      <c r="I1552" s="43"/>
    </row>
    <row r="1553" ht="12.75" customHeight="1">
      <c r="A1553" s="48" t="s">
        <v>44</v>
      </c>
      <c r="B1553" s="48" t="s">
        <v>30</v>
      </c>
      <c r="C1553" s="48" t="s">
        <v>5</v>
      </c>
      <c r="D1553" s="48" t="s">
        <v>6</v>
      </c>
      <c r="E1553" s="48"/>
      <c r="F1553" s="48">
        <v>523988.9</v>
      </c>
      <c r="G1553" s="43"/>
      <c r="H1553" s="43"/>
      <c r="I1553" s="43"/>
    </row>
    <row r="1554" ht="12.75" customHeight="1">
      <c r="A1554" s="48" t="s">
        <v>44</v>
      </c>
      <c r="B1554" s="48" t="s">
        <v>30</v>
      </c>
      <c r="C1554" s="48" t="s">
        <v>5</v>
      </c>
      <c r="D1554" s="48" t="s">
        <v>54</v>
      </c>
      <c r="E1554" s="48"/>
      <c r="F1554" s="48">
        <v>878.9</v>
      </c>
      <c r="G1554" s="43"/>
      <c r="H1554" s="43"/>
      <c r="I1554" s="43"/>
    </row>
    <row r="1555" ht="12.75" customHeight="1">
      <c r="A1555" s="48" t="s">
        <v>44</v>
      </c>
      <c r="B1555" s="48" t="s">
        <v>30</v>
      </c>
      <c r="C1555" s="48" t="s">
        <v>5</v>
      </c>
      <c r="D1555" s="48" t="s">
        <v>54</v>
      </c>
      <c r="E1555" s="48"/>
      <c r="F1555" s="48">
        <v>28632.4</v>
      </c>
      <c r="G1555" s="43"/>
      <c r="H1555" s="43"/>
      <c r="I1555" s="43"/>
    </row>
    <row r="1556" ht="12.75" customHeight="1">
      <c r="A1556" s="48" t="s">
        <v>44</v>
      </c>
      <c r="B1556" s="48" t="s">
        <v>30</v>
      </c>
      <c r="C1556" s="48" t="s">
        <v>5</v>
      </c>
      <c r="D1556" s="48" t="s">
        <v>49</v>
      </c>
      <c r="E1556" s="48"/>
      <c r="F1556" s="48">
        <v>1621.5</v>
      </c>
      <c r="G1556" s="43"/>
      <c r="H1556" s="43"/>
      <c r="I1556" s="43"/>
    </row>
    <row r="1557" ht="12.75" customHeight="1">
      <c r="A1557" s="48" t="s">
        <v>44</v>
      </c>
      <c r="B1557" s="48" t="s">
        <v>30</v>
      </c>
      <c r="C1557" s="48" t="s">
        <v>5</v>
      </c>
      <c r="D1557" s="48" t="s">
        <v>49</v>
      </c>
      <c r="E1557" s="48"/>
      <c r="F1557" s="48">
        <v>940.0</v>
      </c>
      <c r="G1557" s="43"/>
      <c r="H1557" s="43"/>
      <c r="I1557" s="43"/>
    </row>
    <row r="1558" ht="12.75" customHeight="1">
      <c r="A1558" s="48" t="s">
        <v>44</v>
      </c>
      <c r="B1558" s="48" t="s">
        <v>30</v>
      </c>
      <c r="C1558" s="48" t="s">
        <v>5</v>
      </c>
      <c r="D1558" s="48" t="s">
        <v>49</v>
      </c>
      <c r="E1558" s="48"/>
      <c r="F1558" s="48">
        <v>0.0</v>
      </c>
      <c r="G1558" s="43"/>
      <c r="H1558" s="43"/>
      <c r="I1558" s="43"/>
    </row>
    <row r="1559" ht="12.75" customHeight="1">
      <c r="A1559" s="48" t="s">
        <v>44</v>
      </c>
      <c r="B1559" s="48" t="s">
        <v>30</v>
      </c>
      <c r="C1559" s="48" t="s">
        <v>5</v>
      </c>
      <c r="D1559" s="48" t="s">
        <v>49</v>
      </c>
      <c r="E1559" s="48"/>
      <c r="F1559" s="48">
        <v>940.0</v>
      </c>
      <c r="G1559" s="43"/>
      <c r="H1559" s="43"/>
      <c r="I1559" s="43"/>
    </row>
    <row r="1560" ht="12.75" customHeight="1">
      <c r="A1560" s="48" t="s">
        <v>44</v>
      </c>
      <c r="B1560" s="48" t="s">
        <v>30</v>
      </c>
      <c r="C1560" s="48" t="s">
        <v>5</v>
      </c>
      <c r="D1560" s="48" t="s">
        <v>49</v>
      </c>
      <c r="E1560" s="48"/>
      <c r="F1560" s="48">
        <v>-50586.1</v>
      </c>
      <c r="G1560" s="43"/>
      <c r="H1560" s="43"/>
      <c r="I1560" s="43"/>
    </row>
    <row r="1561" ht="12.75" customHeight="1">
      <c r="A1561" s="48" t="s">
        <v>44</v>
      </c>
      <c r="B1561" s="48" t="s">
        <v>30</v>
      </c>
      <c r="C1561" s="48" t="s">
        <v>5</v>
      </c>
      <c r="D1561" s="48" t="s">
        <v>50</v>
      </c>
      <c r="E1561" s="48"/>
      <c r="F1561" s="48">
        <v>9851.2</v>
      </c>
      <c r="G1561" s="43"/>
      <c r="H1561" s="43"/>
      <c r="I1561" s="43"/>
    </row>
    <row r="1562" ht="12.75" customHeight="1">
      <c r="A1562" s="48" t="s">
        <v>44</v>
      </c>
      <c r="B1562" s="48" t="s">
        <v>30</v>
      </c>
      <c r="C1562" s="48" t="s">
        <v>5</v>
      </c>
      <c r="D1562" s="48" t="s">
        <v>50</v>
      </c>
      <c r="E1562" s="48"/>
      <c r="F1562" s="48">
        <v>11411.6</v>
      </c>
      <c r="G1562" s="43"/>
      <c r="H1562" s="43"/>
      <c r="I1562" s="43"/>
    </row>
    <row r="1563" ht="12.75" customHeight="1">
      <c r="A1563" s="48" t="s">
        <v>44</v>
      </c>
      <c r="B1563" s="48" t="s">
        <v>30</v>
      </c>
      <c r="C1563" s="48" t="s">
        <v>5</v>
      </c>
      <c r="D1563" s="48" t="s">
        <v>50</v>
      </c>
      <c r="E1563" s="48"/>
      <c r="F1563" s="48">
        <v>6204.0</v>
      </c>
      <c r="G1563" s="43"/>
      <c r="H1563" s="43"/>
      <c r="I1563" s="43"/>
    </row>
    <row r="1564" ht="12.75" customHeight="1">
      <c r="A1564" s="48" t="s">
        <v>44</v>
      </c>
      <c r="B1564" s="48" t="s">
        <v>30</v>
      </c>
      <c r="C1564" s="48" t="s">
        <v>5</v>
      </c>
      <c r="D1564" s="48" t="s">
        <v>50</v>
      </c>
      <c r="E1564" s="48"/>
      <c r="F1564" s="48">
        <v>15467.7</v>
      </c>
      <c r="G1564" s="43"/>
      <c r="H1564" s="43"/>
      <c r="I1564" s="43"/>
    </row>
    <row r="1565" ht="12.75" customHeight="1">
      <c r="A1565" s="48" t="s">
        <v>44</v>
      </c>
      <c r="B1565" s="48" t="s">
        <v>30</v>
      </c>
      <c r="C1565" s="48" t="s">
        <v>5</v>
      </c>
      <c r="D1565" s="48" t="s">
        <v>50</v>
      </c>
      <c r="E1565" s="48"/>
      <c r="F1565" s="48">
        <v>2152.6</v>
      </c>
      <c r="G1565" s="43"/>
      <c r="H1565" s="43"/>
      <c r="I1565" s="43"/>
    </row>
    <row r="1566" ht="12.75" customHeight="1">
      <c r="A1566" s="48" t="s">
        <v>44</v>
      </c>
      <c r="B1566" s="48" t="s">
        <v>30</v>
      </c>
      <c r="C1566" s="48" t="s">
        <v>5</v>
      </c>
      <c r="D1566" s="48" t="s">
        <v>50</v>
      </c>
      <c r="E1566" s="48"/>
      <c r="F1566" s="48">
        <v>7322.6</v>
      </c>
      <c r="G1566" s="43"/>
      <c r="H1566" s="43"/>
      <c r="I1566" s="43"/>
    </row>
    <row r="1567" ht="12.75" customHeight="1">
      <c r="A1567" s="48" t="s">
        <v>44</v>
      </c>
      <c r="B1567" s="48" t="s">
        <v>30</v>
      </c>
      <c r="C1567" s="48" t="s">
        <v>5</v>
      </c>
      <c r="D1567" s="48" t="s">
        <v>50</v>
      </c>
      <c r="E1567" s="48"/>
      <c r="F1567" s="48">
        <v>0.0</v>
      </c>
      <c r="G1567" s="43"/>
      <c r="H1567" s="43"/>
      <c r="I1567" s="43"/>
    </row>
    <row r="1568" ht="12.75" customHeight="1">
      <c r="A1568" s="48" t="s">
        <v>44</v>
      </c>
      <c r="B1568" s="48" t="s">
        <v>30</v>
      </c>
      <c r="C1568" s="48" t="s">
        <v>5</v>
      </c>
      <c r="D1568" s="48" t="s">
        <v>47</v>
      </c>
      <c r="E1568" s="48"/>
      <c r="F1568" s="48">
        <v>6970.1</v>
      </c>
      <c r="G1568" s="43"/>
      <c r="H1568" s="43"/>
      <c r="I1568" s="43"/>
    </row>
    <row r="1569" ht="12.75" customHeight="1">
      <c r="A1569" s="48" t="s">
        <v>44</v>
      </c>
      <c r="B1569" s="48" t="s">
        <v>30</v>
      </c>
      <c r="C1569" s="48" t="s">
        <v>5</v>
      </c>
      <c r="D1569" s="48" t="s">
        <v>47</v>
      </c>
      <c r="E1569" s="48"/>
      <c r="F1569" s="48">
        <v>1870.6000000000001</v>
      </c>
      <c r="G1569" s="43"/>
      <c r="H1569" s="43"/>
      <c r="I1569" s="43"/>
    </row>
    <row r="1570" ht="12.75" customHeight="1">
      <c r="A1570" s="48" t="s">
        <v>44</v>
      </c>
      <c r="B1570" s="48" t="s">
        <v>30</v>
      </c>
      <c r="C1570" s="48" t="s">
        <v>5</v>
      </c>
      <c r="D1570" s="48" t="s">
        <v>47</v>
      </c>
      <c r="E1570" s="48"/>
      <c r="F1570" s="48">
        <v>12643.0</v>
      </c>
      <c r="G1570" s="43"/>
      <c r="H1570" s="43"/>
      <c r="I1570" s="43"/>
    </row>
    <row r="1571" ht="12.75" customHeight="1">
      <c r="A1571" s="48" t="s">
        <v>44</v>
      </c>
      <c r="B1571" s="48" t="s">
        <v>30</v>
      </c>
      <c r="C1571" s="48" t="s">
        <v>5</v>
      </c>
      <c r="D1571" s="48" t="s">
        <v>47</v>
      </c>
      <c r="E1571" s="48"/>
      <c r="F1571" s="48">
        <v>96566.2</v>
      </c>
      <c r="G1571" s="43"/>
      <c r="H1571" s="43"/>
      <c r="I1571" s="43"/>
    </row>
    <row r="1572" ht="12.75" customHeight="1">
      <c r="A1572" s="48" t="s">
        <v>44</v>
      </c>
      <c r="B1572" s="48" t="s">
        <v>30</v>
      </c>
      <c r="C1572" s="48" t="s">
        <v>5</v>
      </c>
      <c r="D1572" s="48" t="s">
        <v>47</v>
      </c>
      <c r="E1572" s="48"/>
      <c r="F1572" s="48">
        <v>20336.9</v>
      </c>
      <c r="G1572" s="43"/>
      <c r="H1572" s="43"/>
      <c r="I1572" s="43"/>
    </row>
    <row r="1573" ht="12.75" customHeight="1">
      <c r="A1573" s="48" t="s">
        <v>44</v>
      </c>
      <c r="B1573" s="48" t="s">
        <v>30</v>
      </c>
      <c r="C1573" s="48" t="s">
        <v>5</v>
      </c>
      <c r="D1573" s="48" t="s">
        <v>47</v>
      </c>
      <c r="E1573" s="48"/>
      <c r="F1573" s="48">
        <v>4700.0</v>
      </c>
      <c r="G1573" s="43"/>
      <c r="H1573" s="43"/>
      <c r="I1573" s="43"/>
    </row>
    <row r="1574" ht="12.75" customHeight="1">
      <c r="A1574" s="48" t="s">
        <v>44</v>
      </c>
      <c r="B1574" s="48" t="s">
        <v>30</v>
      </c>
      <c r="C1574" s="48" t="s">
        <v>5</v>
      </c>
      <c r="D1574" s="48" t="s">
        <v>47</v>
      </c>
      <c r="E1574" s="48"/>
      <c r="F1574" s="48">
        <v>310.2</v>
      </c>
      <c r="G1574" s="43"/>
      <c r="H1574" s="43"/>
      <c r="I1574" s="43"/>
    </row>
    <row r="1575" ht="12.75" customHeight="1">
      <c r="A1575" s="48" t="s">
        <v>44</v>
      </c>
      <c r="B1575" s="48" t="s">
        <v>30</v>
      </c>
      <c r="C1575" s="48" t="s">
        <v>61</v>
      </c>
      <c r="D1575" s="48" t="s">
        <v>53</v>
      </c>
      <c r="E1575" s="48"/>
      <c r="F1575" s="48">
        <v>1066.9</v>
      </c>
      <c r="G1575" s="43"/>
      <c r="H1575" s="43"/>
      <c r="I1575" s="43"/>
    </row>
    <row r="1576" ht="12.75" customHeight="1">
      <c r="A1576" s="48" t="s">
        <v>44</v>
      </c>
      <c r="B1576" s="48" t="s">
        <v>30</v>
      </c>
      <c r="C1576" s="48" t="s">
        <v>61</v>
      </c>
      <c r="D1576" s="48" t="s">
        <v>54</v>
      </c>
      <c r="E1576" s="48"/>
      <c r="F1576" s="48">
        <v>878.9</v>
      </c>
      <c r="G1576" s="43"/>
      <c r="H1576" s="43"/>
      <c r="I1576" s="43"/>
    </row>
    <row r="1577" ht="12.75" customHeight="1">
      <c r="A1577" s="48" t="s">
        <v>44</v>
      </c>
      <c r="B1577" s="48" t="s">
        <v>30</v>
      </c>
      <c r="C1577" s="48" t="s">
        <v>61</v>
      </c>
      <c r="D1577" s="48" t="s">
        <v>50</v>
      </c>
      <c r="E1577" s="48"/>
      <c r="F1577" s="48">
        <v>9851.2</v>
      </c>
      <c r="G1577" s="43"/>
      <c r="H1577" s="43"/>
      <c r="I1577" s="43"/>
    </row>
    <row r="1578" ht="12.75" customHeight="1">
      <c r="A1578" s="48" t="s">
        <v>44</v>
      </c>
      <c r="B1578" s="48" t="s">
        <v>30</v>
      </c>
      <c r="C1578" s="48" t="s">
        <v>61</v>
      </c>
      <c r="D1578" s="48" t="s">
        <v>50</v>
      </c>
      <c r="E1578" s="48"/>
      <c r="F1578" s="48">
        <v>0.0</v>
      </c>
      <c r="G1578" s="43"/>
      <c r="H1578" s="43"/>
      <c r="I1578" s="43"/>
    </row>
    <row r="1579" ht="12.75" customHeight="1">
      <c r="A1579" s="48" t="s">
        <v>44</v>
      </c>
      <c r="B1579" s="48" t="s">
        <v>30</v>
      </c>
      <c r="C1579" s="48" t="s">
        <v>61</v>
      </c>
      <c r="D1579" s="48" t="s">
        <v>47</v>
      </c>
      <c r="E1579" s="48"/>
      <c r="F1579" s="48">
        <v>0.0</v>
      </c>
      <c r="G1579" s="43"/>
      <c r="H1579" s="43"/>
      <c r="I1579" s="43"/>
    </row>
    <row r="1580" ht="12.75" customHeight="1">
      <c r="A1580" s="48" t="s">
        <v>44</v>
      </c>
      <c r="B1580" s="48" t="s">
        <v>30</v>
      </c>
      <c r="C1580" s="48" t="s">
        <v>61</v>
      </c>
      <c r="D1580" s="48" t="s">
        <v>47</v>
      </c>
      <c r="E1580" s="48"/>
      <c r="F1580" s="48">
        <v>6970.1</v>
      </c>
      <c r="G1580" s="43"/>
      <c r="H1580" s="43"/>
      <c r="I1580" s="43"/>
    </row>
    <row r="1581" ht="12.75" customHeight="1">
      <c r="A1581" s="48" t="s">
        <v>44</v>
      </c>
      <c r="B1581" s="48" t="s">
        <v>30</v>
      </c>
      <c r="C1581" s="48" t="s">
        <v>61</v>
      </c>
      <c r="D1581" s="48" t="s">
        <v>47</v>
      </c>
      <c r="E1581" s="48"/>
      <c r="F1581" s="48">
        <v>0.0</v>
      </c>
      <c r="G1581" s="43"/>
      <c r="H1581" s="43"/>
      <c r="I1581" s="43"/>
    </row>
    <row r="1582" ht="12.75" customHeight="1">
      <c r="A1582" s="48" t="s">
        <v>44</v>
      </c>
      <c r="B1582" s="48" t="s">
        <v>28</v>
      </c>
      <c r="C1582" s="48" t="s">
        <v>64</v>
      </c>
      <c r="D1582" s="48" t="s">
        <v>50</v>
      </c>
      <c r="E1582" s="48"/>
      <c r="F1582" s="48">
        <v>181932.30000000002</v>
      </c>
      <c r="G1582" s="43"/>
      <c r="H1582" s="43"/>
      <c r="I1582" s="43"/>
    </row>
    <row r="1583" ht="12.75" customHeight="1">
      <c r="A1583" s="48" t="s">
        <v>44</v>
      </c>
      <c r="B1583" s="48" t="s">
        <v>28</v>
      </c>
      <c r="C1583" s="48" t="s">
        <v>64</v>
      </c>
      <c r="D1583" s="48" t="s">
        <v>50</v>
      </c>
      <c r="E1583" s="48"/>
      <c r="F1583" s="48">
        <v>-181932.30000000002</v>
      </c>
      <c r="G1583" s="43"/>
      <c r="H1583" s="43"/>
      <c r="I1583" s="43"/>
    </row>
    <row r="1584" ht="12.75" customHeight="1">
      <c r="A1584" s="48" t="s">
        <v>44</v>
      </c>
      <c r="B1584" s="48" t="s">
        <v>28</v>
      </c>
      <c r="C1584" s="48" t="s">
        <v>69</v>
      </c>
      <c r="D1584" s="48" t="s">
        <v>49</v>
      </c>
      <c r="E1584" s="48"/>
      <c r="F1584" s="48">
        <v>6791.5</v>
      </c>
      <c r="G1584" s="43"/>
      <c r="H1584" s="43"/>
      <c r="I1584" s="43"/>
    </row>
    <row r="1585" ht="12.75" customHeight="1">
      <c r="A1585" s="48" t="s">
        <v>44</v>
      </c>
      <c r="B1585" s="48" t="s">
        <v>28</v>
      </c>
      <c r="C1585" s="48" t="s">
        <v>69</v>
      </c>
      <c r="D1585" s="48" t="s">
        <v>49</v>
      </c>
      <c r="E1585" s="48"/>
      <c r="F1585" s="48">
        <v>3365.2000000000003</v>
      </c>
      <c r="G1585" s="43"/>
      <c r="H1585" s="43"/>
      <c r="I1585" s="43"/>
    </row>
    <row r="1586" ht="12.75" customHeight="1">
      <c r="A1586" s="48" t="s">
        <v>44</v>
      </c>
      <c r="B1586" s="48" t="s">
        <v>28</v>
      </c>
      <c r="C1586" s="48" t="s">
        <v>46</v>
      </c>
      <c r="D1586" s="48" t="s">
        <v>8</v>
      </c>
      <c r="E1586" s="48"/>
      <c r="F1586" s="48">
        <v>0.0</v>
      </c>
      <c r="G1586" s="43"/>
      <c r="H1586" s="43"/>
      <c r="I1586" s="43"/>
    </row>
    <row r="1587" ht="12.75" customHeight="1">
      <c r="A1587" s="48" t="s">
        <v>44</v>
      </c>
      <c r="B1587" s="48" t="s">
        <v>28</v>
      </c>
      <c r="C1587" s="48" t="s">
        <v>46</v>
      </c>
      <c r="D1587" s="48" t="s">
        <v>8</v>
      </c>
      <c r="E1587" s="48"/>
      <c r="F1587" s="48">
        <v>2580.3</v>
      </c>
      <c r="G1587" s="43"/>
      <c r="H1587" s="43"/>
      <c r="I1587" s="43"/>
    </row>
    <row r="1588" ht="12.75" customHeight="1">
      <c r="A1588" s="48" t="s">
        <v>44</v>
      </c>
      <c r="B1588" s="48" t="s">
        <v>28</v>
      </c>
      <c r="C1588" s="48" t="s">
        <v>46</v>
      </c>
      <c r="D1588" s="48" t="s">
        <v>8</v>
      </c>
      <c r="E1588" s="48"/>
      <c r="F1588" s="48">
        <v>1170.3</v>
      </c>
      <c r="G1588" s="43"/>
      <c r="H1588" s="43"/>
      <c r="I1588" s="43"/>
    </row>
    <row r="1589" ht="12.75" customHeight="1">
      <c r="A1589" s="48" t="s">
        <v>44</v>
      </c>
      <c r="B1589" s="48" t="s">
        <v>28</v>
      </c>
      <c r="C1589" s="48" t="s">
        <v>46</v>
      </c>
      <c r="D1589" s="48" t="s">
        <v>8</v>
      </c>
      <c r="E1589" s="48"/>
      <c r="F1589" s="48">
        <v>-629.8000000000001</v>
      </c>
      <c r="G1589" s="43"/>
      <c r="H1589" s="43"/>
      <c r="I1589" s="43"/>
    </row>
    <row r="1590" ht="12.75" customHeight="1">
      <c r="A1590" s="48" t="s">
        <v>44</v>
      </c>
      <c r="B1590" s="48" t="s">
        <v>28</v>
      </c>
      <c r="C1590" s="48" t="s">
        <v>46</v>
      </c>
      <c r="D1590" s="48" t="s">
        <v>8</v>
      </c>
      <c r="E1590" s="48"/>
      <c r="F1590" s="48">
        <v>695.6</v>
      </c>
      <c r="G1590" s="43"/>
      <c r="H1590" s="43"/>
      <c r="I1590" s="43"/>
    </row>
    <row r="1591" ht="12.75" customHeight="1">
      <c r="A1591" s="48" t="s">
        <v>44</v>
      </c>
      <c r="B1591" s="48" t="s">
        <v>28</v>
      </c>
      <c r="C1591" s="48" t="s">
        <v>46</v>
      </c>
      <c r="D1591" s="48" t="s">
        <v>54</v>
      </c>
      <c r="E1591" s="48"/>
      <c r="F1591" s="48">
        <v>0.0</v>
      </c>
      <c r="G1591" s="43"/>
      <c r="H1591" s="43"/>
      <c r="I1591" s="43"/>
    </row>
    <row r="1592" ht="12.75" customHeight="1">
      <c r="A1592" s="48" t="s">
        <v>44</v>
      </c>
      <c r="B1592" s="48" t="s">
        <v>28</v>
      </c>
      <c r="C1592" s="48" t="s">
        <v>46</v>
      </c>
      <c r="D1592" s="48" t="s">
        <v>54</v>
      </c>
      <c r="E1592" s="48"/>
      <c r="F1592" s="48">
        <v>21676.4</v>
      </c>
      <c r="G1592" s="43"/>
      <c r="H1592" s="43"/>
      <c r="I1592" s="43"/>
    </row>
    <row r="1593" ht="12.75" customHeight="1">
      <c r="A1593" s="48" t="s">
        <v>44</v>
      </c>
      <c r="B1593" s="48" t="s">
        <v>28</v>
      </c>
      <c r="C1593" s="48" t="s">
        <v>46</v>
      </c>
      <c r="D1593" s="48" t="s">
        <v>54</v>
      </c>
      <c r="E1593" s="48"/>
      <c r="F1593" s="48">
        <v>0.0</v>
      </c>
      <c r="G1593" s="43"/>
      <c r="H1593" s="43"/>
      <c r="I1593" s="43"/>
    </row>
    <row r="1594" ht="12.75" customHeight="1">
      <c r="A1594" s="48" t="s">
        <v>44</v>
      </c>
      <c r="B1594" s="48" t="s">
        <v>28</v>
      </c>
      <c r="C1594" s="48" t="s">
        <v>46</v>
      </c>
      <c r="D1594" s="48" t="s">
        <v>50</v>
      </c>
      <c r="E1594" s="48"/>
      <c r="F1594" s="48">
        <v>4606.0</v>
      </c>
      <c r="G1594" s="43"/>
      <c r="H1594" s="43"/>
      <c r="I1594" s="43"/>
    </row>
    <row r="1595" ht="12.75" customHeight="1">
      <c r="A1595" s="48" t="s">
        <v>44</v>
      </c>
      <c r="B1595" s="48" t="s">
        <v>28</v>
      </c>
      <c r="C1595" s="48" t="s">
        <v>48</v>
      </c>
      <c r="D1595" s="48" t="s">
        <v>8</v>
      </c>
      <c r="E1595" s="48"/>
      <c r="F1595" s="48">
        <v>1104.5</v>
      </c>
      <c r="G1595" s="43"/>
      <c r="H1595" s="43"/>
      <c r="I1595" s="43"/>
    </row>
    <row r="1596" ht="12.75" customHeight="1">
      <c r="A1596" s="48" t="s">
        <v>44</v>
      </c>
      <c r="B1596" s="48" t="s">
        <v>28</v>
      </c>
      <c r="C1596" s="48" t="s">
        <v>48</v>
      </c>
      <c r="D1596" s="48" t="s">
        <v>54</v>
      </c>
      <c r="E1596" s="48"/>
      <c r="F1596" s="48">
        <v>1861.2</v>
      </c>
      <c r="G1596" s="43"/>
      <c r="H1596" s="43"/>
      <c r="I1596" s="43"/>
    </row>
    <row r="1597" ht="12.75" customHeight="1">
      <c r="A1597" s="48" t="s">
        <v>44</v>
      </c>
      <c r="B1597" s="48" t="s">
        <v>28</v>
      </c>
      <c r="C1597" s="48" t="s">
        <v>48</v>
      </c>
      <c r="D1597" s="48" t="s">
        <v>54</v>
      </c>
      <c r="E1597" s="48"/>
      <c r="F1597" s="48">
        <v>911.8000000000001</v>
      </c>
      <c r="G1597" s="43"/>
      <c r="H1597" s="43"/>
      <c r="I1597" s="43"/>
    </row>
    <row r="1598" ht="12.75" customHeight="1">
      <c r="A1598" s="48" t="s">
        <v>44</v>
      </c>
      <c r="B1598" s="48" t="s">
        <v>28</v>
      </c>
      <c r="C1598" s="48" t="s">
        <v>48</v>
      </c>
      <c r="D1598" s="48" t="s">
        <v>54</v>
      </c>
      <c r="E1598" s="48"/>
      <c r="F1598" s="48">
        <v>16774.3</v>
      </c>
      <c r="G1598" s="43"/>
      <c r="H1598" s="43"/>
      <c r="I1598" s="43"/>
    </row>
    <row r="1599" ht="12.75" customHeight="1">
      <c r="A1599" s="48" t="s">
        <v>44</v>
      </c>
      <c r="B1599" s="48" t="s">
        <v>28</v>
      </c>
      <c r="C1599" s="48" t="s">
        <v>48</v>
      </c>
      <c r="D1599" s="48" t="s">
        <v>54</v>
      </c>
      <c r="E1599" s="48"/>
      <c r="F1599" s="48">
        <v>319.6</v>
      </c>
      <c r="G1599" s="43"/>
      <c r="H1599" s="43"/>
      <c r="I1599" s="43"/>
    </row>
    <row r="1600" ht="12.75" customHeight="1">
      <c r="A1600" s="48" t="s">
        <v>44</v>
      </c>
      <c r="B1600" s="48" t="s">
        <v>28</v>
      </c>
      <c r="C1600" s="48" t="s">
        <v>48</v>
      </c>
      <c r="D1600" s="48" t="s">
        <v>49</v>
      </c>
      <c r="E1600" s="48"/>
      <c r="F1600" s="48">
        <v>117.5</v>
      </c>
      <c r="G1600" s="43"/>
      <c r="H1600" s="43"/>
      <c r="I1600" s="43"/>
    </row>
    <row r="1601" ht="12.75" customHeight="1">
      <c r="A1601" s="48" t="s">
        <v>44</v>
      </c>
      <c r="B1601" s="48" t="s">
        <v>28</v>
      </c>
      <c r="C1601" s="48" t="s">
        <v>48</v>
      </c>
      <c r="D1601" s="48" t="s">
        <v>49</v>
      </c>
      <c r="E1601" s="48"/>
      <c r="F1601" s="48">
        <v>141.0</v>
      </c>
      <c r="G1601" s="43"/>
      <c r="H1601" s="43"/>
      <c r="I1601" s="43"/>
    </row>
    <row r="1602" ht="12.75" customHeight="1">
      <c r="A1602" s="48" t="s">
        <v>44</v>
      </c>
      <c r="B1602" s="48" t="s">
        <v>28</v>
      </c>
      <c r="C1602" s="48" t="s">
        <v>48</v>
      </c>
      <c r="D1602" s="48" t="s">
        <v>49</v>
      </c>
      <c r="E1602" s="48"/>
      <c r="F1602" s="48">
        <v>117.5</v>
      </c>
      <c r="G1602" s="43"/>
      <c r="H1602" s="43"/>
      <c r="I1602" s="43"/>
    </row>
    <row r="1603" ht="12.75" customHeight="1">
      <c r="A1603" s="48" t="s">
        <v>44</v>
      </c>
      <c r="B1603" s="48" t="s">
        <v>28</v>
      </c>
      <c r="C1603" s="48" t="s">
        <v>48</v>
      </c>
      <c r="D1603" s="48" t="s">
        <v>49</v>
      </c>
      <c r="E1603" s="48"/>
      <c r="F1603" s="48">
        <v>80675.5</v>
      </c>
      <c r="G1603" s="43"/>
      <c r="H1603" s="43"/>
      <c r="I1603" s="43"/>
    </row>
    <row r="1604" ht="12.75" customHeight="1">
      <c r="A1604" s="48" t="s">
        <v>44</v>
      </c>
      <c r="B1604" s="48" t="s">
        <v>28</v>
      </c>
      <c r="C1604" s="48" t="s">
        <v>48</v>
      </c>
      <c r="D1604" s="48" t="s">
        <v>49</v>
      </c>
      <c r="E1604" s="48"/>
      <c r="F1604" s="48">
        <v>32505.2</v>
      </c>
      <c r="G1604" s="43"/>
      <c r="H1604" s="43"/>
      <c r="I1604" s="43"/>
    </row>
    <row r="1605" ht="12.75" customHeight="1">
      <c r="A1605" s="48" t="s">
        <v>44</v>
      </c>
      <c r="B1605" s="48" t="s">
        <v>28</v>
      </c>
      <c r="C1605" s="48" t="s">
        <v>48</v>
      </c>
      <c r="D1605" s="48" t="s">
        <v>49</v>
      </c>
      <c r="E1605" s="48"/>
      <c r="F1605" s="48">
        <v>117.5</v>
      </c>
      <c r="G1605" s="43"/>
      <c r="H1605" s="43"/>
      <c r="I1605" s="43"/>
    </row>
    <row r="1606" ht="12.75" customHeight="1">
      <c r="A1606" s="48" t="s">
        <v>44</v>
      </c>
      <c r="B1606" s="48" t="s">
        <v>28</v>
      </c>
      <c r="C1606" s="48" t="s">
        <v>48</v>
      </c>
      <c r="D1606" s="48" t="s">
        <v>49</v>
      </c>
      <c r="E1606" s="48"/>
      <c r="F1606" s="48">
        <v>206.8</v>
      </c>
      <c r="G1606" s="43"/>
      <c r="H1606" s="43"/>
      <c r="I1606" s="43"/>
    </row>
    <row r="1607" ht="12.75" customHeight="1">
      <c r="A1607" s="48" t="s">
        <v>44</v>
      </c>
      <c r="B1607" s="48" t="s">
        <v>28</v>
      </c>
      <c r="C1607" s="48" t="s">
        <v>48</v>
      </c>
      <c r="D1607" s="48" t="s">
        <v>50</v>
      </c>
      <c r="E1607" s="48"/>
      <c r="F1607" s="48">
        <v>272.6</v>
      </c>
      <c r="G1607" s="43"/>
      <c r="H1607" s="43"/>
      <c r="I1607" s="43"/>
    </row>
    <row r="1608" ht="12.75" customHeight="1">
      <c r="A1608" s="48" t="s">
        <v>44</v>
      </c>
      <c r="B1608" s="48" t="s">
        <v>28</v>
      </c>
      <c r="C1608" s="48" t="s">
        <v>48</v>
      </c>
      <c r="D1608" s="48" t="s">
        <v>50</v>
      </c>
      <c r="E1608" s="48"/>
      <c r="F1608" s="48">
        <v>5541.3</v>
      </c>
      <c r="G1608" s="43"/>
      <c r="H1608" s="43"/>
      <c r="I1608" s="43"/>
    </row>
    <row r="1609" ht="12.75" customHeight="1">
      <c r="A1609" s="48" t="s">
        <v>44</v>
      </c>
      <c r="B1609" s="48" t="s">
        <v>28</v>
      </c>
      <c r="C1609" s="48" t="s">
        <v>48</v>
      </c>
      <c r="D1609" s="48" t="s">
        <v>50</v>
      </c>
      <c r="E1609" s="48"/>
      <c r="F1609" s="48">
        <v>9212.0</v>
      </c>
      <c r="G1609" s="43"/>
      <c r="H1609" s="43"/>
      <c r="I1609" s="43"/>
    </row>
    <row r="1610" ht="12.75" customHeight="1">
      <c r="A1610" s="48" t="s">
        <v>44</v>
      </c>
      <c r="B1610" s="48" t="s">
        <v>28</v>
      </c>
      <c r="C1610" s="48" t="s">
        <v>48</v>
      </c>
      <c r="D1610" s="48" t="s">
        <v>47</v>
      </c>
      <c r="E1610" s="48"/>
      <c r="F1610" s="48">
        <v>48019.9</v>
      </c>
      <c r="G1610" s="43"/>
      <c r="H1610" s="43"/>
      <c r="I1610" s="43"/>
    </row>
    <row r="1611" ht="12.75" customHeight="1">
      <c r="A1611" s="48" t="s">
        <v>44</v>
      </c>
      <c r="B1611" s="48" t="s">
        <v>28</v>
      </c>
      <c r="C1611" s="48" t="s">
        <v>48</v>
      </c>
      <c r="D1611" s="48" t="s">
        <v>47</v>
      </c>
      <c r="E1611" s="48"/>
      <c r="F1611" s="48">
        <v>-48019.9</v>
      </c>
      <c r="G1611" s="43"/>
      <c r="H1611" s="43"/>
      <c r="I1611" s="43"/>
    </row>
    <row r="1612" ht="12.75" customHeight="1">
      <c r="A1612" s="48" t="s">
        <v>44</v>
      </c>
      <c r="B1612" s="48" t="s">
        <v>28</v>
      </c>
      <c r="C1612" s="48" t="s">
        <v>48</v>
      </c>
      <c r="D1612" s="48" t="s">
        <v>47</v>
      </c>
      <c r="E1612" s="48"/>
      <c r="F1612" s="48">
        <v>2213.7000000000003</v>
      </c>
      <c r="G1612" s="43"/>
      <c r="H1612" s="43"/>
      <c r="I1612" s="43"/>
    </row>
    <row r="1613" ht="12.75" customHeight="1">
      <c r="A1613" s="48" t="s">
        <v>44</v>
      </c>
      <c r="B1613" s="48" t="s">
        <v>28</v>
      </c>
      <c r="C1613" s="48" t="s">
        <v>48</v>
      </c>
      <c r="D1613" s="48" t="s">
        <v>47</v>
      </c>
      <c r="E1613" s="48"/>
      <c r="F1613" s="48">
        <v>3036.2000000000003</v>
      </c>
      <c r="G1613" s="43"/>
      <c r="H1613" s="43"/>
      <c r="I1613" s="43"/>
    </row>
    <row r="1614" ht="12.75" customHeight="1">
      <c r="A1614" s="48" t="s">
        <v>44</v>
      </c>
      <c r="B1614" s="48" t="s">
        <v>28</v>
      </c>
      <c r="C1614" s="48" t="s">
        <v>48</v>
      </c>
      <c r="D1614" s="48" t="s">
        <v>47</v>
      </c>
      <c r="E1614" s="48"/>
      <c r="F1614" s="48">
        <v>13357.4</v>
      </c>
      <c r="G1614" s="43"/>
      <c r="H1614" s="43"/>
      <c r="I1614" s="43"/>
    </row>
    <row r="1615" ht="12.75" customHeight="1">
      <c r="A1615" s="48" t="s">
        <v>44</v>
      </c>
      <c r="B1615" s="48" t="s">
        <v>28</v>
      </c>
      <c r="C1615" s="48" t="s">
        <v>48</v>
      </c>
      <c r="D1615" s="48" t="s">
        <v>47</v>
      </c>
      <c r="E1615" s="48"/>
      <c r="F1615" s="48">
        <v>1297.2</v>
      </c>
      <c r="G1615" s="43"/>
      <c r="H1615" s="43"/>
      <c r="I1615" s="43"/>
    </row>
    <row r="1616" ht="12.75" customHeight="1">
      <c r="A1616" s="48" t="s">
        <v>44</v>
      </c>
      <c r="B1616" s="48" t="s">
        <v>28</v>
      </c>
      <c r="C1616" s="48" t="s">
        <v>51</v>
      </c>
      <c r="D1616" s="48" t="s">
        <v>53</v>
      </c>
      <c r="E1616" s="48"/>
      <c r="F1616" s="48">
        <v>7393.1</v>
      </c>
      <c r="G1616" s="43"/>
      <c r="H1616" s="43"/>
      <c r="I1616" s="43"/>
    </row>
    <row r="1617" ht="12.75" customHeight="1">
      <c r="A1617" s="48" t="s">
        <v>44</v>
      </c>
      <c r="B1617" s="48" t="s">
        <v>28</v>
      </c>
      <c r="C1617" s="48" t="s">
        <v>51</v>
      </c>
      <c r="D1617" s="48" t="s">
        <v>53</v>
      </c>
      <c r="E1617" s="48"/>
      <c r="F1617" s="48">
        <v>0.0</v>
      </c>
      <c r="G1617" s="43"/>
      <c r="H1617" s="43"/>
      <c r="I1617" s="43"/>
    </row>
    <row r="1618" ht="12.75" customHeight="1">
      <c r="A1618" s="48" t="s">
        <v>44</v>
      </c>
      <c r="B1618" s="48" t="s">
        <v>28</v>
      </c>
      <c r="C1618" s="48" t="s">
        <v>51</v>
      </c>
      <c r="D1618" s="48" t="s">
        <v>8</v>
      </c>
      <c r="E1618" s="48"/>
      <c r="F1618" s="48">
        <v>1189.1000000000001</v>
      </c>
      <c r="G1618" s="43"/>
      <c r="H1618" s="43"/>
      <c r="I1618" s="43"/>
    </row>
    <row r="1619" ht="12.75" customHeight="1">
      <c r="A1619" s="48" t="s">
        <v>44</v>
      </c>
      <c r="B1619" s="48" t="s">
        <v>28</v>
      </c>
      <c r="C1619" s="48" t="s">
        <v>51</v>
      </c>
      <c r="D1619" s="48" t="s">
        <v>54</v>
      </c>
      <c r="E1619" s="48"/>
      <c r="F1619" s="48">
        <v>0.0</v>
      </c>
      <c r="G1619" s="43"/>
      <c r="H1619" s="43"/>
      <c r="I1619" s="43"/>
    </row>
    <row r="1620" ht="12.75" customHeight="1">
      <c r="A1620" s="48" t="s">
        <v>44</v>
      </c>
      <c r="B1620" s="48" t="s">
        <v>28</v>
      </c>
      <c r="C1620" s="48" t="s">
        <v>51</v>
      </c>
      <c r="D1620" s="48" t="s">
        <v>54</v>
      </c>
      <c r="E1620" s="48"/>
      <c r="F1620" s="48">
        <v>8483.5</v>
      </c>
      <c r="G1620" s="43"/>
      <c r="H1620" s="43"/>
      <c r="I1620" s="43"/>
    </row>
    <row r="1621" ht="12.75" customHeight="1">
      <c r="A1621" s="48" t="s">
        <v>44</v>
      </c>
      <c r="B1621" s="48" t="s">
        <v>28</v>
      </c>
      <c r="C1621" s="48" t="s">
        <v>51</v>
      </c>
      <c r="D1621" s="48" t="s">
        <v>54</v>
      </c>
      <c r="E1621" s="48"/>
      <c r="F1621" s="48">
        <v>4935.0</v>
      </c>
      <c r="G1621" s="43"/>
      <c r="H1621" s="43"/>
      <c r="I1621" s="43"/>
    </row>
    <row r="1622" ht="12.75" customHeight="1">
      <c r="A1622" s="48" t="s">
        <v>44</v>
      </c>
      <c r="B1622" s="48" t="s">
        <v>28</v>
      </c>
      <c r="C1622" s="48" t="s">
        <v>51</v>
      </c>
      <c r="D1622" s="48" t="s">
        <v>54</v>
      </c>
      <c r="E1622" s="48"/>
      <c r="F1622" s="48">
        <v>1715.5</v>
      </c>
      <c r="G1622" s="43"/>
      <c r="H1622" s="43"/>
      <c r="I1622" s="43"/>
    </row>
    <row r="1623" ht="12.75" customHeight="1">
      <c r="A1623" s="48" t="s">
        <v>44</v>
      </c>
      <c r="B1623" s="48" t="s">
        <v>28</v>
      </c>
      <c r="C1623" s="48" t="s">
        <v>51</v>
      </c>
      <c r="D1623" s="48" t="s">
        <v>54</v>
      </c>
      <c r="E1623" s="48"/>
      <c r="F1623" s="48">
        <v>14344.4</v>
      </c>
      <c r="G1623" s="43"/>
      <c r="H1623" s="43"/>
      <c r="I1623" s="43"/>
    </row>
    <row r="1624" ht="12.75" customHeight="1">
      <c r="A1624" s="48" t="s">
        <v>44</v>
      </c>
      <c r="B1624" s="48" t="s">
        <v>28</v>
      </c>
      <c r="C1624" s="48" t="s">
        <v>51</v>
      </c>
      <c r="D1624" s="48" t="s">
        <v>54</v>
      </c>
      <c r="E1624" s="48"/>
      <c r="F1624" s="48">
        <v>296.1</v>
      </c>
      <c r="G1624" s="43"/>
      <c r="H1624" s="43"/>
      <c r="I1624" s="43"/>
    </row>
    <row r="1625" ht="12.75" customHeight="1">
      <c r="A1625" s="48" t="s">
        <v>44</v>
      </c>
      <c r="B1625" s="48" t="s">
        <v>28</v>
      </c>
      <c r="C1625" s="48" t="s">
        <v>51</v>
      </c>
      <c r="D1625" s="48" t="s">
        <v>54</v>
      </c>
      <c r="E1625" s="48"/>
      <c r="F1625" s="48">
        <v>4493.2</v>
      </c>
      <c r="G1625" s="43"/>
      <c r="H1625" s="43"/>
      <c r="I1625" s="43"/>
    </row>
    <row r="1626" ht="12.75" customHeight="1">
      <c r="A1626" s="48" t="s">
        <v>44</v>
      </c>
      <c r="B1626" s="48" t="s">
        <v>28</v>
      </c>
      <c r="C1626" s="48" t="s">
        <v>51</v>
      </c>
      <c r="D1626" s="48" t="s">
        <v>54</v>
      </c>
      <c r="E1626" s="48"/>
      <c r="F1626" s="48">
        <v>2340.6</v>
      </c>
      <c r="G1626" s="43"/>
      <c r="H1626" s="43"/>
      <c r="I1626" s="43"/>
    </row>
    <row r="1627" ht="12.75" customHeight="1">
      <c r="A1627" s="48" t="s">
        <v>44</v>
      </c>
      <c r="B1627" s="48" t="s">
        <v>28</v>
      </c>
      <c r="C1627" s="48" t="s">
        <v>51</v>
      </c>
      <c r="D1627" s="48" t="s">
        <v>54</v>
      </c>
      <c r="E1627" s="48"/>
      <c r="F1627" s="48">
        <v>0.0</v>
      </c>
      <c r="G1627" s="43"/>
      <c r="H1627" s="43"/>
      <c r="I1627" s="43"/>
    </row>
    <row r="1628" ht="12.75" customHeight="1">
      <c r="A1628" s="48" t="s">
        <v>44</v>
      </c>
      <c r="B1628" s="48" t="s">
        <v>28</v>
      </c>
      <c r="C1628" s="48" t="s">
        <v>51</v>
      </c>
      <c r="D1628" s="48" t="s">
        <v>49</v>
      </c>
      <c r="E1628" s="48"/>
      <c r="F1628" s="48">
        <v>0.0</v>
      </c>
      <c r="G1628" s="43"/>
      <c r="H1628" s="43"/>
      <c r="I1628" s="43"/>
    </row>
    <row r="1629" ht="12.75" customHeight="1">
      <c r="A1629" s="48" t="s">
        <v>44</v>
      </c>
      <c r="B1629" s="48" t="s">
        <v>28</v>
      </c>
      <c r="C1629" s="48" t="s">
        <v>51</v>
      </c>
      <c r="D1629" s="48" t="s">
        <v>49</v>
      </c>
      <c r="E1629" s="48"/>
      <c r="F1629" s="48">
        <v>80125.6</v>
      </c>
      <c r="G1629" s="43"/>
      <c r="H1629" s="43"/>
      <c r="I1629" s="43"/>
    </row>
    <row r="1630" ht="12.75" customHeight="1">
      <c r="A1630" s="48" t="s">
        <v>44</v>
      </c>
      <c r="B1630" s="48" t="s">
        <v>28</v>
      </c>
      <c r="C1630" s="48" t="s">
        <v>51</v>
      </c>
      <c r="D1630" s="48" t="s">
        <v>49</v>
      </c>
      <c r="E1630" s="48"/>
      <c r="F1630" s="48">
        <v>0.0</v>
      </c>
      <c r="G1630" s="43"/>
      <c r="H1630" s="43"/>
      <c r="I1630" s="43"/>
    </row>
    <row r="1631" ht="12.75" customHeight="1">
      <c r="A1631" s="48" t="s">
        <v>44</v>
      </c>
      <c r="B1631" s="48" t="s">
        <v>28</v>
      </c>
      <c r="C1631" s="48" t="s">
        <v>51</v>
      </c>
      <c r="D1631" s="48" t="s">
        <v>50</v>
      </c>
      <c r="E1631" s="48"/>
      <c r="F1631" s="48">
        <v>1146.8</v>
      </c>
      <c r="G1631" s="43"/>
      <c r="H1631" s="43"/>
      <c r="I1631" s="43"/>
    </row>
    <row r="1632" ht="12.75" customHeight="1">
      <c r="A1632" s="48" t="s">
        <v>44</v>
      </c>
      <c r="B1632" s="48" t="s">
        <v>28</v>
      </c>
      <c r="C1632" s="48" t="s">
        <v>51</v>
      </c>
      <c r="D1632" s="48" t="s">
        <v>50</v>
      </c>
      <c r="E1632" s="48"/>
      <c r="F1632" s="48">
        <v>5423.8</v>
      </c>
      <c r="G1632" s="43"/>
      <c r="H1632" s="43"/>
      <c r="I1632" s="43"/>
    </row>
    <row r="1633" ht="12.75" customHeight="1">
      <c r="A1633" s="48" t="s">
        <v>44</v>
      </c>
      <c r="B1633" s="48" t="s">
        <v>28</v>
      </c>
      <c r="C1633" s="48" t="s">
        <v>51</v>
      </c>
      <c r="D1633" s="48" t="s">
        <v>50</v>
      </c>
      <c r="E1633" s="48"/>
      <c r="F1633" s="48">
        <v>0.0</v>
      </c>
      <c r="G1633" s="43"/>
      <c r="H1633" s="43"/>
      <c r="I1633" s="43"/>
    </row>
    <row r="1634" ht="12.75" customHeight="1">
      <c r="A1634" s="48" t="s">
        <v>44</v>
      </c>
      <c r="B1634" s="48" t="s">
        <v>28</v>
      </c>
      <c r="C1634" s="48" t="s">
        <v>51</v>
      </c>
      <c r="D1634" s="48" t="s">
        <v>50</v>
      </c>
      <c r="E1634" s="48"/>
      <c r="F1634" s="48">
        <v>6909.0</v>
      </c>
      <c r="G1634" s="43"/>
      <c r="H1634" s="43"/>
      <c r="I1634" s="43"/>
    </row>
    <row r="1635" ht="12.75" customHeight="1">
      <c r="A1635" s="48" t="s">
        <v>44</v>
      </c>
      <c r="B1635" s="48" t="s">
        <v>28</v>
      </c>
      <c r="C1635" s="48" t="s">
        <v>51</v>
      </c>
      <c r="D1635" s="48" t="s">
        <v>50</v>
      </c>
      <c r="E1635" s="48"/>
      <c r="F1635" s="48">
        <v>625.1</v>
      </c>
      <c r="G1635" s="43"/>
      <c r="H1635" s="43"/>
      <c r="I1635" s="43"/>
    </row>
    <row r="1636" ht="12.75" customHeight="1">
      <c r="A1636" s="48" t="s">
        <v>44</v>
      </c>
      <c r="B1636" s="48" t="s">
        <v>28</v>
      </c>
      <c r="C1636" s="48" t="s">
        <v>51</v>
      </c>
      <c r="D1636" s="48" t="s">
        <v>50</v>
      </c>
      <c r="E1636" s="48"/>
      <c r="F1636" s="48">
        <v>16548.7</v>
      </c>
      <c r="G1636" s="43"/>
      <c r="H1636" s="43"/>
      <c r="I1636" s="43"/>
    </row>
    <row r="1637" ht="12.75" customHeight="1">
      <c r="A1637" s="48" t="s">
        <v>44</v>
      </c>
      <c r="B1637" s="48" t="s">
        <v>28</v>
      </c>
      <c r="C1637" s="48" t="s">
        <v>51</v>
      </c>
      <c r="D1637" s="48" t="s">
        <v>50</v>
      </c>
      <c r="E1637" s="48"/>
      <c r="F1637" s="48">
        <v>0.0</v>
      </c>
      <c r="G1637" s="43"/>
      <c r="H1637" s="43"/>
      <c r="I1637" s="43"/>
    </row>
    <row r="1638" ht="12.75" customHeight="1">
      <c r="A1638" s="48" t="s">
        <v>44</v>
      </c>
      <c r="B1638" s="48" t="s">
        <v>28</v>
      </c>
      <c r="C1638" s="48" t="s">
        <v>51</v>
      </c>
      <c r="D1638" s="48" t="s">
        <v>50</v>
      </c>
      <c r="E1638" s="48"/>
      <c r="F1638" s="48">
        <v>0.0</v>
      </c>
      <c r="G1638" s="43"/>
      <c r="H1638" s="43"/>
      <c r="I1638" s="43"/>
    </row>
    <row r="1639" ht="12.75" customHeight="1">
      <c r="A1639" s="48" t="s">
        <v>44</v>
      </c>
      <c r="B1639" s="48" t="s">
        <v>28</v>
      </c>
      <c r="C1639" s="48" t="s">
        <v>51</v>
      </c>
      <c r="D1639" s="48" t="s">
        <v>47</v>
      </c>
      <c r="E1639" s="48"/>
      <c r="F1639" s="48">
        <v>0.0</v>
      </c>
      <c r="G1639" s="43"/>
      <c r="H1639" s="43"/>
      <c r="I1639" s="43"/>
    </row>
    <row r="1640" ht="12.75" customHeight="1">
      <c r="A1640" s="48" t="s">
        <v>44</v>
      </c>
      <c r="B1640" s="48" t="s">
        <v>28</v>
      </c>
      <c r="C1640" s="48" t="s">
        <v>51</v>
      </c>
      <c r="D1640" s="48" t="s">
        <v>47</v>
      </c>
      <c r="E1640" s="48"/>
      <c r="F1640" s="48">
        <v>0.0</v>
      </c>
      <c r="G1640" s="43"/>
      <c r="H1640" s="43"/>
      <c r="I1640" s="43"/>
    </row>
    <row r="1641" ht="12.75" customHeight="1">
      <c r="A1641" s="48" t="s">
        <v>44</v>
      </c>
      <c r="B1641" s="48" t="s">
        <v>28</v>
      </c>
      <c r="C1641" s="48" t="s">
        <v>51</v>
      </c>
      <c r="D1641" s="48" t="s">
        <v>47</v>
      </c>
      <c r="E1641" s="48"/>
      <c r="F1641" s="48">
        <v>9625.6</v>
      </c>
      <c r="G1641" s="43"/>
      <c r="H1641" s="43"/>
      <c r="I1641" s="43"/>
    </row>
    <row r="1642" ht="12.75" customHeight="1">
      <c r="A1642" s="48" t="s">
        <v>44</v>
      </c>
      <c r="B1642" s="48" t="s">
        <v>28</v>
      </c>
      <c r="C1642" s="48" t="s">
        <v>51</v>
      </c>
      <c r="D1642" s="48" t="s">
        <v>47</v>
      </c>
      <c r="E1642" s="48"/>
      <c r="F1642" s="48">
        <v>28764.0</v>
      </c>
      <c r="G1642" s="43"/>
      <c r="H1642" s="43"/>
      <c r="I1642" s="43"/>
    </row>
    <row r="1643" ht="12.75" customHeight="1">
      <c r="A1643" s="48" t="s">
        <v>44</v>
      </c>
      <c r="B1643" s="48" t="s">
        <v>28</v>
      </c>
      <c r="C1643" s="48" t="s">
        <v>51</v>
      </c>
      <c r="D1643" s="48" t="s">
        <v>47</v>
      </c>
      <c r="E1643" s="48"/>
      <c r="F1643" s="48">
        <v>-925.9000000000001</v>
      </c>
      <c r="G1643" s="43"/>
      <c r="H1643" s="43"/>
      <c r="I1643" s="43"/>
    </row>
    <row r="1644" ht="12.75" customHeight="1">
      <c r="A1644" s="48" t="s">
        <v>44</v>
      </c>
      <c r="B1644" s="48" t="s">
        <v>28</v>
      </c>
      <c r="C1644" s="48" t="s">
        <v>51</v>
      </c>
      <c r="D1644" s="48" t="s">
        <v>47</v>
      </c>
      <c r="E1644" s="48"/>
      <c r="F1644" s="48">
        <v>50449.8</v>
      </c>
      <c r="G1644" s="43"/>
      <c r="H1644" s="43"/>
      <c r="I1644" s="43"/>
    </row>
    <row r="1645" ht="12.75" customHeight="1">
      <c r="A1645" s="48" t="s">
        <v>44</v>
      </c>
      <c r="B1645" s="48" t="s">
        <v>28</v>
      </c>
      <c r="C1645" s="48" t="s">
        <v>51</v>
      </c>
      <c r="D1645" s="48" t="s">
        <v>47</v>
      </c>
      <c r="E1645" s="48"/>
      <c r="F1645" s="48">
        <v>1048.1000000000001</v>
      </c>
      <c r="G1645" s="43"/>
      <c r="H1645" s="43"/>
      <c r="I1645" s="43"/>
    </row>
    <row r="1646" ht="12.75" customHeight="1">
      <c r="A1646" s="48" t="s">
        <v>44</v>
      </c>
      <c r="B1646" s="48" t="s">
        <v>28</v>
      </c>
      <c r="C1646" s="48" t="s">
        <v>62</v>
      </c>
      <c r="D1646" s="48" t="s">
        <v>54</v>
      </c>
      <c r="E1646" s="48"/>
      <c r="F1646" s="48">
        <v>8328.4</v>
      </c>
      <c r="G1646" s="43"/>
      <c r="H1646" s="43"/>
      <c r="I1646" s="43"/>
    </row>
    <row r="1647" ht="12.75" customHeight="1">
      <c r="A1647" s="48" t="s">
        <v>44</v>
      </c>
      <c r="B1647" s="48" t="s">
        <v>28</v>
      </c>
      <c r="C1647" s="48" t="s">
        <v>62</v>
      </c>
      <c r="D1647" s="48" t="s">
        <v>49</v>
      </c>
      <c r="E1647" s="48"/>
      <c r="F1647" s="48">
        <v>5729.3</v>
      </c>
      <c r="G1647" s="43"/>
      <c r="H1647" s="43"/>
      <c r="I1647" s="43"/>
    </row>
    <row r="1648" ht="12.75" customHeight="1">
      <c r="A1648" s="48" t="s">
        <v>44</v>
      </c>
      <c r="B1648" s="48" t="s">
        <v>28</v>
      </c>
      <c r="C1648" s="48" t="s">
        <v>62</v>
      </c>
      <c r="D1648" s="48" t="s">
        <v>49</v>
      </c>
      <c r="E1648" s="48"/>
      <c r="F1648" s="48">
        <v>253.8</v>
      </c>
      <c r="G1648" s="43"/>
      <c r="H1648" s="43"/>
      <c r="I1648" s="43"/>
    </row>
    <row r="1649" ht="12.75" customHeight="1">
      <c r="A1649" s="48" t="s">
        <v>44</v>
      </c>
      <c r="B1649" s="48" t="s">
        <v>28</v>
      </c>
      <c r="C1649" s="48" t="s">
        <v>62</v>
      </c>
      <c r="D1649" s="48" t="s">
        <v>49</v>
      </c>
      <c r="E1649" s="48"/>
      <c r="F1649" s="48">
        <v>0.0</v>
      </c>
      <c r="G1649" s="43"/>
      <c r="H1649" s="43"/>
      <c r="I1649" s="43"/>
    </row>
    <row r="1650" ht="12.75" customHeight="1">
      <c r="A1650" s="48" t="s">
        <v>44</v>
      </c>
      <c r="B1650" s="48" t="s">
        <v>28</v>
      </c>
      <c r="C1650" s="48" t="s">
        <v>62</v>
      </c>
      <c r="D1650" s="48" t="s">
        <v>50</v>
      </c>
      <c r="E1650" s="48"/>
      <c r="F1650" s="48">
        <v>4606.0</v>
      </c>
      <c r="G1650" s="43"/>
      <c r="H1650" s="43"/>
      <c r="I1650" s="43"/>
    </row>
    <row r="1651" ht="12.75" customHeight="1">
      <c r="A1651" s="48" t="s">
        <v>44</v>
      </c>
      <c r="B1651" s="48" t="s">
        <v>28</v>
      </c>
      <c r="C1651" s="48" t="s">
        <v>70</v>
      </c>
      <c r="D1651" s="48" t="s">
        <v>49</v>
      </c>
      <c r="E1651" s="48"/>
      <c r="F1651" s="48">
        <v>9733.7</v>
      </c>
      <c r="G1651" s="43"/>
      <c r="H1651" s="43"/>
      <c r="I1651" s="43"/>
    </row>
    <row r="1652" ht="12.75" customHeight="1">
      <c r="A1652" s="48" t="s">
        <v>44</v>
      </c>
      <c r="B1652" s="48" t="s">
        <v>28</v>
      </c>
      <c r="C1652" s="48" t="s">
        <v>54</v>
      </c>
      <c r="D1652" s="48" t="s">
        <v>54</v>
      </c>
      <c r="E1652" s="48"/>
      <c r="F1652" s="48">
        <v>182054.5</v>
      </c>
      <c r="G1652" s="43"/>
      <c r="H1652" s="43"/>
      <c r="I1652" s="43"/>
    </row>
    <row r="1653" ht="12.75" customHeight="1">
      <c r="A1653" s="48" t="s">
        <v>44</v>
      </c>
      <c r="B1653" s="48" t="s">
        <v>28</v>
      </c>
      <c r="C1653" s="48" t="s">
        <v>54</v>
      </c>
      <c r="D1653" s="48" t="s">
        <v>54</v>
      </c>
      <c r="E1653" s="48"/>
      <c r="F1653" s="48">
        <v>10598.5</v>
      </c>
      <c r="G1653" s="43"/>
      <c r="H1653" s="43"/>
      <c r="I1653" s="43"/>
    </row>
    <row r="1654" ht="12.75" customHeight="1">
      <c r="A1654" s="48" t="s">
        <v>44</v>
      </c>
      <c r="B1654" s="48" t="s">
        <v>28</v>
      </c>
      <c r="C1654" s="48" t="s">
        <v>54</v>
      </c>
      <c r="D1654" s="48" t="s">
        <v>54</v>
      </c>
      <c r="E1654" s="48"/>
      <c r="F1654" s="48">
        <v>122.2</v>
      </c>
      <c r="G1654" s="43"/>
      <c r="H1654" s="43"/>
      <c r="I1654" s="43"/>
    </row>
    <row r="1655" ht="12.75" customHeight="1">
      <c r="A1655" s="48" t="s">
        <v>44</v>
      </c>
      <c r="B1655" s="48" t="s">
        <v>28</v>
      </c>
      <c r="C1655" s="48" t="s">
        <v>54</v>
      </c>
      <c r="D1655" s="48" t="s">
        <v>54</v>
      </c>
      <c r="E1655" s="48"/>
      <c r="F1655" s="48">
        <v>42.300000000000004</v>
      </c>
      <c r="G1655" s="43"/>
      <c r="H1655" s="43"/>
      <c r="I1655" s="43"/>
    </row>
    <row r="1656" ht="12.75" customHeight="1">
      <c r="A1656" s="48" t="s">
        <v>44</v>
      </c>
      <c r="B1656" s="48" t="s">
        <v>28</v>
      </c>
      <c r="C1656" s="48" t="s">
        <v>54</v>
      </c>
      <c r="D1656" s="48" t="s">
        <v>54</v>
      </c>
      <c r="E1656" s="48"/>
      <c r="F1656" s="48">
        <v>925.9000000000001</v>
      </c>
      <c r="G1656" s="43"/>
      <c r="H1656" s="43"/>
      <c r="I1656" s="43"/>
    </row>
    <row r="1657" ht="12.75" customHeight="1">
      <c r="A1657" s="48" t="s">
        <v>44</v>
      </c>
      <c r="B1657" s="48" t="s">
        <v>28</v>
      </c>
      <c r="C1657" s="48" t="s">
        <v>54</v>
      </c>
      <c r="D1657" s="48" t="s">
        <v>54</v>
      </c>
      <c r="E1657" s="48"/>
      <c r="F1657" s="48">
        <v>25036.9</v>
      </c>
      <c r="G1657" s="43"/>
      <c r="H1657" s="43"/>
      <c r="I1657" s="43"/>
    </row>
    <row r="1658" ht="12.75" customHeight="1">
      <c r="A1658" s="48" t="s">
        <v>44</v>
      </c>
      <c r="B1658" s="48" t="s">
        <v>28</v>
      </c>
      <c r="C1658" s="48" t="s">
        <v>54</v>
      </c>
      <c r="D1658" s="48" t="s">
        <v>54</v>
      </c>
      <c r="E1658" s="48"/>
      <c r="F1658" s="48">
        <v>2270.1</v>
      </c>
      <c r="G1658" s="43"/>
      <c r="H1658" s="43"/>
      <c r="I1658" s="43"/>
    </row>
    <row r="1659" ht="12.75" customHeight="1">
      <c r="A1659" s="48" t="s">
        <v>44</v>
      </c>
      <c r="B1659" s="48" t="s">
        <v>28</v>
      </c>
      <c r="C1659" s="48" t="s">
        <v>54</v>
      </c>
      <c r="D1659" s="48" t="s">
        <v>54</v>
      </c>
      <c r="E1659" s="48"/>
      <c r="F1659" s="48">
        <v>-328920.10000000003</v>
      </c>
      <c r="G1659" s="43"/>
      <c r="H1659" s="43"/>
      <c r="I1659" s="43"/>
    </row>
    <row r="1660" ht="12.75" customHeight="1">
      <c r="A1660" s="48" t="s">
        <v>44</v>
      </c>
      <c r="B1660" s="48" t="s">
        <v>28</v>
      </c>
      <c r="C1660" s="48" t="s">
        <v>54</v>
      </c>
      <c r="D1660" s="48" t="s">
        <v>54</v>
      </c>
      <c r="E1660" s="48"/>
      <c r="F1660" s="48">
        <v>2270.1</v>
      </c>
      <c r="G1660" s="43"/>
      <c r="H1660" s="43"/>
      <c r="I1660" s="43"/>
    </row>
    <row r="1661" ht="12.75" customHeight="1">
      <c r="A1661" s="48" t="s">
        <v>44</v>
      </c>
      <c r="B1661" s="48" t="s">
        <v>28</v>
      </c>
      <c r="C1661" s="48" t="s">
        <v>54</v>
      </c>
      <c r="D1661" s="48" t="s">
        <v>54</v>
      </c>
      <c r="E1661" s="48"/>
      <c r="F1661" s="48">
        <v>2993.9</v>
      </c>
      <c r="G1661" s="43"/>
      <c r="H1661" s="43"/>
      <c r="I1661" s="43"/>
    </row>
    <row r="1662" ht="12.75" customHeight="1">
      <c r="A1662" s="48" t="s">
        <v>44</v>
      </c>
      <c r="B1662" s="48" t="s">
        <v>28</v>
      </c>
      <c r="C1662" s="48" t="s">
        <v>54</v>
      </c>
      <c r="D1662" s="48" t="s">
        <v>54</v>
      </c>
      <c r="E1662" s="48"/>
      <c r="F1662" s="48">
        <v>1475.8</v>
      </c>
      <c r="G1662" s="43"/>
      <c r="H1662" s="43"/>
      <c r="I1662" s="43"/>
    </row>
    <row r="1663" ht="12.75" customHeight="1">
      <c r="A1663" s="48" t="s">
        <v>44</v>
      </c>
      <c r="B1663" s="48" t="s">
        <v>28</v>
      </c>
      <c r="C1663" s="48" t="s">
        <v>54</v>
      </c>
      <c r="D1663" s="48" t="s">
        <v>54</v>
      </c>
      <c r="E1663" s="48"/>
      <c r="F1663" s="48">
        <v>559.3000000000001</v>
      </c>
      <c r="G1663" s="43"/>
      <c r="H1663" s="43"/>
      <c r="I1663" s="43"/>
    </row>
    <row r="1664" ht="12.75" customHeight="1">
      <c r="A1664" s="48" t="s">
        <v>44</v>
      </c>
      <c r="B1664" s="48" t="s">
        <v>28</v>
      </c>
      <c r="C1664" s="48" t="s">
        <v>54</v>
      </c>
      <c r="D1664" s="48" t="s">
        <v>54</v>
      </c>
      <c r="E1664" s="48"/>
      <c r="F1664" s="48">
        <v>20966.7</v>
      </c>
      <c r="G1664" s="43"/>
      <c r="H1664" s="43"/>
      <c r="I1664" s="43"/>
    </row>
    <row r="1665" ht="12.75" customHeight="1">
      <c r="A1665" s="48" t="s">
        <v>44</v>
      </c>
      <c r="B1665" s="48" t="s">
        <v>28</v>
      </c>
      <c r="C1665" s="48" t="s">
        <v>54</v>
      </c>
      <c r="D1665" s="48" t="s">
        <v>54</v>
      </c>
      <c r="E1665" s="48"/>
      <c r="F1665" s="48">
        <v>0.0</v>
      </c>
      <c r="G1665" s="43"/>
      <c r="H1665" s="43"/>
      <c r="I1665" s="43"/>
    </row>
    <row r="1666" ht="12.75" customHeight="1">
      <c r="A1666" s="48" t="s">
        <v>44</v>
      </c>
      <c r="B1666" s="48" t="s">
        <v>28</v>
      </c>
      <c r="C1666" s="48" t="s">
        <v>54</v>
      </c>
      <c r="D1666" s="48" t="s">
        <v>54</v>
      </c>
      <c r="E1666" s="48"/>
      <c r="F1666" s="48">
        <v>1377.1000000000001</v>
      </c>
      <c r="G1666" s="43"/>
      <c r="H1666" s="43"/>
      <c r="I1666" s="43"/>
    </row>
    <row r="1667" ht="12.75" customHeight="1">
      <c r="A1667" s="48" t="s">
        <v>44</v>
      </c>
      <c r="B1667" s="48" t="s">
        <v>28</v>
      </c>
      <c r="C1667" s="48" t="s">
        <v>54</v>
      </c>
      <c r="D1667" s="48" t="s">
        <v>54</v>
      </c>
      <c r="E1667" s="48"/>
      <c r="F1667" s="48">
        <v>0.0</v>
      </c>
      <c r="G1667" s="43"/>
      <c r="H1667" s="43"/>
      <c r="I1667" s="43"/>
    </row>
    <row r="1668" ht="12.75" customHeight="1">
      <c r="A1668" s="48" t="s">
        <v>44</v>
      </c>
      <c r="B1668" s="48" t="s">
        <v>28</v>
      </c>
      <c r="C1668" s="48" t="s">
        <v>54</v>
      </c>
      <c r="D1668" s="48" t="s">
        <v>47</v>
      </c>
      <c r="E1668" s="48"/>
      <c r="F1668" s="48">
        <v>0.0</v>
      </c>
      <c r="G1668" s="43"/>
      <c r="H1668" s="43"/>
      <c r="I1668" s="43"/>
    </row>
    <row r="1669" ht="12.75" customHeight="1">
      <c r="A1669" s="48" t="s">
        <v>44</v>
      </c>
      <c r="B1669" s="48" t="s">
        <v>28</v>
      </c>
      <c r="C1669" s="48" t="s">
        <v>54</v>
      </c>
      <c r="D1669" s="48" t="s">
        <v>47</v>
      </c>
      <c r="E1669" s="48"/>
      <c r="F1669" s="48">
        <v>141.0</v>
      </c>
      <c r="G1669" s="43"/>
      <c r="H1669" s="43"/>
      <c r="I1669" s="43"/>
    </row>
    <row r="1670" ht="12.75" customHeight="1">
      <c r="A1670" s="48" t="s">
        <v>44</v>
      </c>
      <c r="B1670" s="48" t="s">
        <v>28</v>
      </c>
      <c r="C1670" s="48" t="s">
        <v>54</v>
      </c>
      <c r="D1670" s="48" t="s">
        <v>47</v>
      </c>
      <c r="E1670" s="48"/>
      <c r="F1670" s="48">
        <v>1480.5</v>
      </c>
      <c r="G1670" s="43"/>
      <c r="H1670" s="43"/>
      <c r="I1670" s="43"/>
    </row>
    <row r="1671" ht="12.75" customHeight="1">
      <c r="A1671" s="48" t="s">
        <v>44</v>
      </c>
      <c r="B1671" s="48" t="s">
        <v>28</v>
      </c>
      <c r="C1671" s="48" t="s">
        <v>54</v>
      </c>
      <c r="D1671" s="48" t="s">
        <v>47</v>
      </c>
      <c r="E1671" s="48"/>
      <c r="F1671" s="48">
        <v>12168.300000000001</v>
      </c>
      <c r="G1671" s="43"/>
      <c r="H1671" s="43"/>
      <c r="I1671" s="43"/>
    </row>
    <row r="1672" ht="12.75" customHeight="1">
      <c r="A1672" s="48" t="s">
        <v>44</v>
      </c>
      <c r="B1672" s="48" t="s">
        <v>28</v>
      </c>
      <c r="C1672" s="48" t="s">
        <v>54</v>
      </c>
      <c r="D1672" s="48" t="s">
        <v>47</v>
      </c>
      <c r="E1672" s="48"/>
      <c r="F1672" s="48">
        <v>61330.3</v>
      </c>
      <c r="G1672" s="43"/>
      <c r="H1672" s="43"/>
      <c r="I1672" s="43"/>
    </row>
    <row r="1673" ht="12.75" customHeight="1">
      <c r="A1673" s="48" t="s">
        <v>44</v>
      </c>
      <c r="B1673" s="48" t="s">
        <v>28</v>
      </c>
      <c r="C1673" s="48" t="s">
        <v>54</v>
      </c>
      <c r="D1673" s="48" t="s">
        <v>47</v>
      </c>
      <c r="E1673" s="48"/>
      <c r="F1673" s="48">
        <v>1052.8</v>
      </c>
      <c r="G1673" s="43"/>
      <c r="H1673" s="43"/>
      <c r="I1673" s="43"/>
    </row>
    <row r="1674" ht="12.75" customHeight="1">
      <c r="A1674" s="48" t="s">
        <v>44</v>
      </c>
      <c r="B1674" s="48" t="s">
        <v>28</v>
      </c>
      <c r="C1674" s="48" t="s">
        <v>54</v>
      </c>
      <c r="D1674" s="48" t="s">
        <v>47</v>
      </c>
      <c r="E1674" s="48"/>
      <c r="F1674" s="48">
        <v>23.5</v>
      </c>
      <c r="G1674" s="43"/>
      <c r="H1674" s="43"/>
      <c r="I1674" s="43"/>
    </row>
    <row r="1675" ht="12.75" customHeight="1">
      <c r="A1675" s="48" t="s">
        <v>44</v>
      </c>
      <c r="B1675" s="48" t="s">
        <v>28</v>
      </c>
      <c r="C1675" s="48" t="s">
        <v>54</v>
      </c>
      <c r="D1675" s="48" t="s">
        <v>47</v>
      </c>
      <c r="E1675" s="48"/>
      <c r="F1675" s="48">
        <v>2058.6</v>
      </c>
      <c r="G1675" s="43"/>
      <c r="H1675" s="43"/>
      <c r="I1675" s="43"/>
    </row>
    <row r="1676" ht="12.75" customHeight="1">
      <c r="A1676" s="48" t="s">
        <v>44</v>
      </c>
      <c r="B1676" s="48" t="s">
        <v>28</v>
      </c>
      <c r="C1676" s="48" t="s">
        <v>65</v>
      </c>
      <c r="D1676" s="48" t="s">
        <v>47</v>
      </c>
      <c r="E1676" s="48"/>
      <c r="F1676" s="48">
        <v>2603.8</v>
      </c>
      <c r="G1676" s="43"/>
      <c r="H1676" s="43"/>
      <c r="I1676" s="43"/>
    </row>
    <row r="1677" ht="12.75" customHeight="1">
      <c r="A1677" s="48" t="s">
        <v>44</v>
      </c>
      <c r="B1677" s="48" t="s">
        <v>28</v>
      </c>
      <c r="C1677" s="48" t="s">
        <v>71</v>
      </c>
      <c r="D1677" s="48" t="s">
        <v>50</v>
      </c>
      <c r="E1677" s="48"/>
      <c r="F1677" s="48">
        <v>1142.1000000000001</v>
      </c>
      <c r="G1677" s="43"/>
      <c r="H1677" s="43"/>
      <c r="I1677" s="43"/>
    </row>
    <row r="1678" ht="12.75" customHeight="1">
      <c r="A1678" s="48" t="s">
        <v>44</v>
      </c>
      <c r="B1678" s="48" t="s">
        <v>29</v>
      </c>
      <c r="C1678" s="48" t="s">
        <v>56</v>
      </c>
      <c r="D1678" s="48" t="s">
        <v>53</v>
      </c>
      <c r="E1678" s="48"/>
      <c r="F1678" s="48">
        <v>6152.3</v>
      </c>
      <c r="G1678" s="43"/>
      <c r="H1678" s="43"/>
      <c r="I1678" s="43"/>
    </row>
    <row r="1679" ht="12.75" customHeight="1">
      <c r="A1679" s="48" t="s">
        <v>44</v>
      </c>
      <c r="B1679" s="48" t="s">
        <v>29</v>
      </c>
      <c r="C1679" s="48" t="s">
        <v>56</v>
      </c>
      <c r="D1679" s="48" t="s">
        <v>53</v>
      </c>
      <c r="E1679" s="48"/>
      <c r="F1679" s="48">
        <v>0.0</v>
      </c>
      <c r="G1679" s="43"/>
      <c r="H1679" s="43"/>
      <c r="I1679" s="43"/>
    </row>
    <row r="1680" ht="12.75" customHeight="1">
      <c r="A1680" s="48" t="s">
        <v>44</v>
      </c>
      <c r="B1680" s="48" t="s">
        <v>29</v>
      </c>
      <c r="C1680" s="48" t="s">
        <v>56</v>
      </c>
      <c r="D1680" s="48" t="s">
        <v>57</v>
      </c>
      <c r="E1680" s="48"/>
      <c r="F1680" s="48">
        <v>584200.6</v>
      </c>
      <c r="G1680" s="43"/>
      <c r="H1680" s="43"/>
      <c r="I1680" s="43"/>
    </row>
    <row r="1681" ht="12.75" customHeight="1">
      <c r="A1681" s="48" t="s">
        <v>44</v>
      </c>
      <c r="B1681" s="48" t="s">
        <v>29</v>
      </c>
      <c r="C1681" s="48" t="s">
        <v>56</v>
      </c>
      <c r="D1681" s="48" t="s">
        <v>58</v>
      </c>
      <c r="E1681" s="48"/>
      <c r="F1681" s="48">
        <v>50727.1</v>
      </c>
      <c r="G1681" s="43"/>
      <c r="H1681" s="43"/>
      <c r="I1681" s="43"/>
    </row>
    <row r="1682" ht="12.75" customHeight="1">
      <c r="A1682" s="48" t="s">
        <v>44</v>
      </c>
      <c r="B1682" s="48" t="s">
        <v>29</v>
      </c>
      <c r="C1682" s="48" t="s">
        <v>56</v>
      </c>
      <c r="D1682" s="48" t="s">
        <v>58</v>
      </c>
      <c r="E1682" s="48"/>
      <c r="F1682" s="48">
        <v>57560.9</v>
      </c>
      <c r="G1682" s="43"/>
      <c r="H1682" s="43"/>
      <c r="I1682" s="43"/>
    </row>
    <row r="1683" ht="12.75" customHeight="1">
      <c r="A1683" s="48" t="s">
        <v>44</v>
      </c>
      <c r="B1683" s="48" t="s">
        <v>29</v>
      </c>
      <c r="C1683" s="48" t="s">
        <v>56</v>
      </c>
      <c r="D1683" s="48" t="s">
        <v>58</v>
      </c>
      <c r="E1683" s="48"/>
      <c r="F1683" s="48">
        <v>288030.10000000003</v>
      </c>
      <c r="G1683" s="43"/>
      <c r="H1683" s="43"/>
      <c r="I1683" s="43"/>
    </row>
    <row r="1684" ht="12.75" customHeight="1">
      <c r="A1684" s="48" t="s">
        <v>44</v>
      </c>
      <c r="B1684" s="48" t="s">
        <v>29</v>
      </c>
      <c r="C1684" s="48" t="s">
        <v>56</v>
      </c>
      <c r="D1684" s="48" t="s">
        <v>58</v>
      </c>
      <c r="E1684" s="48"/>
      <c r="F1684" s="48">
        <v>98643.6</v>
      </c>
      <c r="G1684" s="43"/>
      <c r="H1684" s="43"/>
      <c r="I1684" s="43"/>
    </row>
    <row r="1685" ht="12.75" customHeight="1">
      <c r="A1685" s="48" t="s">
        <v>44</v>
      </c>
      <c r="B1685" s="48" t="s">
        <v>29</v>
      </c>
      <c r="C1685" s="48" t="s">
        <v>56</v>
      </c>
      <c r="D1685" s="48" t="s">
        <v>8</v>
      </c>
      <c r="E1685" s="48"/>
      <c r="F1685" s="48">
        <v>0.0</v>
      </c>
      <c r="G1685" s="43"/>
      <c r="H1685" s="43"/>
      <c r="I1685" s="43"/>
    </row>
    <row r="1686" ht="12.75" customHeight="1">
      <c r="A1686" s="48" t="s">
        <v>44</v>
      </c>
      <c r="B1686" s="48" t="s">
        <v>29</v>
      </c>
      <c r="C1686" s="48" t="s">
        <v>56</v>
      </c>
      <c r="D1686" s="48" t="s">
        <v>8</v>
      </c>
      <c r="E1686" s="48"/>
      <c r="F1686" s="48">
        <v>1297.2</v>
      </c>
      <c r="G1686" s="43"/>
      <c r="H1686" s="43"/>
      <c r="I1686" s="43"/>
    </row>
    <row r="1687" ht="12.75" customHeight="1">
      <c r="A1687" s="48" t="s">
        <v>44</v>
      </c>
      <c r="B1687" s="48" t="s">
        <v>29</v>
      </c>
      <c r="C1687" s="48" t="s">
        <v>56</v>
      </c>
      <c r="D1687" s="48" t="s">
        <v>8</v>
      </c>
      <c r="E1687" s="48"/>
      <c r="F1687" s="48">
        <v>0.0</v>
      </c>
      <c r="G1687" s="43"/>
      <c r="H1687" s="43"/>
      <c r="I1687" s="43"/>
    </row>
    <row r="1688" ht="12.75" customHeight="1">
      <c r="A1688" s="48" t="s">
        <v>44</v>
      </c>
      <c r="B1688" s="48" t="s">
        <v>29</v>
      </c>
      <c r="C1688" s="48" t="s">
        <v>56</v>
      </c>
      <c r="D1688" s="48" t="s">
        <v>8</v>
      </c>
      <c r="E1688" s="48"/>
      <c r="F1688" s="48">
        <v>5273.400000000001</v>
      </c>
      <c r="G1688" s="43"/>
      <c r="H1688" s="43"/>
      <c r="I1688" s="43"/>
    </row>
    <row r="1689" ht="12.75" customHeight="1">
      <c r="A1689" s="48" t="s">
        <v>44</v>
      </c>
      <c r="B1689" s="48" t="s">
        <v>29</v>
      </c>
      <c r="C1689" s="48" t="s">
        <v>56</v>
      </c>
      <c r="D1689" s="48" t="s">
        <v>8</v>
      </c>
      <c r="E1689" s="48"/>
      <c r="F1689" s="48">
        <v>-510702.0</v>
      </c>
      <c r="G1689" s="43"/>
      <c r="H1689" s="43"/>
      <c r="I1689" s="43"/>
    </row>
    <row r="1690" ht="12.75" customHeight="1">
      <c r="A1690" s="48" t="s">
        <v>44</v>
      </c>
      <c r="B1690" s="48" t="s">
        <v>29</v>
      </c>
      <c r="C1690" s="48" t="s">
        <v>56</v>
      </c>
      <c r="D1690" s="48" t="s">
        <v>54</v>
      </c>
      <c r="E1690" s="48"/>
      <c r="F1690" s="48">
        <v>58289.4</v>
      </c>
      <c r="G1690" s="43"/>
      <c r="H1690" s="43"/>
      <c r="I1690" s="43"/>
    </row>
    <row r="1691" ht="12.75" customHeight="1">
      <c r="A1691" s="48" t="s">
        <v>44</v>
      </c>
      <c r="B1691" s="48" t="s">
        <v>29</v>
      </c>
      <c r="C1691" s="48" t="s">
        <v>56</v>
      </c>
      <c r="D1691" s="48" t="s">
        <v>54</v>
      </c>
      <c r="E1691" s="48"/>
      <c r="F1691" s="48">
        <v>131.6</v>
      </c>
      <c r="G1691" s="43"/>
      <c r="H1691" s="43"/>
      <c r="I1691" s="43"/>
    </row>
    <row r="1692" ht="12.75" customHeight="1">
      <c r="A1692" s="48" t="s">
        <v>44</v>
      </c>
      <c r="B1692" s="48" t="s">
        <v>29</v>
      </c>
      <c r="C1692" s="48" t="s">
        <v>56</v>
      </c>
      <c r="D1692" s="48" t="s">
        <v>54</v>
      </c>
      <c r="E1692" s="48"/>
      <c r="F1692" s="48">
        <v>1687.3</v>
      </c>
      <c r="G1692" s="43"/>
      <c r="H1692" s="43"/>
      <c r="I1692" s="43"/>
    </row>
    <row r="1693" ht="12.75" customHeight="1">
      <c r="A1693" s="48" t="s">
        <v>44</v>
      </c>
      <c r="B1693" s="48" t="s">
        <v>29</v>
      </c>
      <c r="C1693" s="48" t="s">
        <v>56</v>
      </c>
      <c r="D1693" s="48" t="s">
        <v>54</v>
      </c>
      <c r="E1693" s="48"/>
      <c r="F1693" s="48">
        <v>3398.1</v>
      </c>
      <c r="G1693" s="43"/>
      <c r="H1693" s="43"/>
      <c r="I1693" s="43"/>
    </row>
    <row r="1694" ht="12.75" customHeight="1">
      <c r="A1694" s="48" t="s">
        <v>44</v>
      </c>
      <c r="B1694" s="48" t="s">
        <v>29</v>
      </c>
      <c r="C1694" s="48" t="s">
        <v>56</v>
      </c>
      <c r="D1694" s="48" t="s">
        <v>49</v>
      </c>
      <c r="E1694" s="48"/>
      <c r="F1694" s="48">
        <v>329.0</v>
      </c>
      <c r="G1694" s="43"/>
      <c r="H1694" s="43"/>
      <c r="I1694" s="43"/>
    </row>
    <row r="1695" ht="12.75" customHeight="1">
      <c r="A1695" s="48" t="s">
        <v>44</v>
      </c>
      <c r="B1695" s="48" t="s">
        <v>29</v>
      </c>
      <c r="C1695" s="48" t="s">
        <v>56</v>
      </c>
      <c r="D1695" s="48" t="s">
        <v>49</v>
      </c>
      <c r="E1695" s="48"/>
      <c r="F1695" s="48">
        <v>662.7</v>
      </c>
      <c r="G1695" s="43"/>
      <c r="H1695" s="43"/>
      <c r="I1695" s="43"/>
    </row>
    <row r="1696" ht="12.75" customHeight="1">
      <c r="A1696" s="48" t="s">
        <v>44</v>
      </c>
      <c r="B1696" s="48" t="s">
        <v>29</v>
      </c>
      <c r="C1696" s="48" t="s">
        <v>56</v>
      </c>
      <c r="D1696" s="48" t="s">
        <v>49</v>
      </c>
      <c r="E1696" s="48"/>
      <c r="F1696" s="48">
        <v>3506.2000000000003</v>
      </c>
      <c r="G1696" s="43"/>
      <c r="H1696" s="43"/>
      <c r="I1696" s="43"/>
    </row>
    <row r="1697" ht="12.75" customHeight="1">
      <c r="A1697" s="48" t="s">
        <v>44</v>
      </c>
      <c r="B1697" s="48" t="s">
        <v>29</v>
      </c>
      <c r="C1697" s="48" t="s">
        <v>56</v>
      </c>
      <c r="D1697" s="48" t="s">
        <v>50</v>
      </c>
      <c r="E1697" s="48"/>
      <c r="F1697" s="48">
        <v>9047.5</v>
      </c>
      <c r="G1697" s="43"/>
      <c r="H1697" s="43"/>
      <c r="I1697" s="43"/>
    </row>
    <row r="1698" ht="12.75" customHeight="1">
      <c r="A1698" s="48" t="s">
        <v>44</v>
      </c>
      <c r="B1698" s="48" t="s">
        <v>29</v>
      </c>
      <c r="C1698" s="48" t="s">
        <v>56</v>
      </c>
      <c r="D1698" s="48" t="s">
        <v>50</v>
      </c>
      <c r="E1698" s="48"/>
      <c r="F1698" s="48">
        <v>9766.6</v>
      </c>
      <c r="G1698" s="43"/>
      <c r="H1698" s="43"/>
      <c r="I1698" s="43"/>
    </row>
    <row r="1699" ht="12.75" customHeight="1">
      <c r="A1699" s="48" t="s">
        <v>44</v>
      </c>
      <c r="B1699" s="48" t="s">
        <v>29</v>
      </c>
      <c r="C1699" s="48" t="s">
        <v>56</v>
      </c>
      <c r="D1699" s="48" t="s">
        <v>50</v>
      </c>
      <c r="E1699" s="48"/>
      <c r="F1699" s="48">
        <v>18894.0</v>
      </c>
      <c r="G1699" s="43"/>
      <c r="H1699" s="43"/>
      <c r="I1699" s="43"/>
    </row>
    <row r="1700" ht="12.75" customHeight="1">
      <c r="A1700" s="48" t="s">
        <v>44</v>
      </c>
      <c r="B1700" s="48" t="s">
        <v>29</v>
      </c>
      <c r="C1700" s="48" t="s">
        <v>56</v>
      </c>
      <c r="D1700" s="48" t="s">
        <v>50</v>
      </c>
      <c r="E1700" s="48"/>
      <c r="F1700" s="48">
        <v>9390.6</v>
      </c>
      <c r="G1700" s="43"/>
      <c r="H1700" s="43"/>
      <c r="I1700" s="43"/>
    </row>
    <row r="1701" ht="12.75" customHeight="1">
      <c r="A1701" s="48" t="s">
        <v>44</v>
      </c>
      <c r="B1701" s="48" t="s">
        <v>29</v>
      </c>
      <c r="C1701" s="48" t="s">
        <v>56</v>
      </c>
      <c r="D1701" s="48" t="s">
        <v>50</v>
      </c>
      <c r="E1701" s="48"/>
      <c r="F1701" s="48">
        <v>10344.7</v>
      </c>
      <c r="G1701" s="43"/>
      <c r="H1701" s="43"/>
      <c r="I1701" s="43"/>
    </row>
    <row r="1702" ht="12.75" customHeight="1">
      <c r="A1702" s="48" t="s">
        <v>44</v>
      </c>
      <c r="B1702" s="48" t="s">
        <v>29</v>
      </c>
      <c r="C1702" s="48" t="s">
        <v>56</v>
      </c>
      <c r="D1702" s="48" t="s">
        <v>50</v>
      </c>
      <c r="E1702" s="48"/>
      <c r="F1702" s="48">
        <v>9771.300000000001</v>
      </c>
      <c r="G1702" s="43"/>
      <c r="H1702" s="43"/>
      <c r="I1702" s="43"/>
    </row>
    <row r="1703" ht="12.75" customHeight="1">
      <c r="A1703" s="48" t="s">
        <v>44</v>
      </c>
      <c r="B1703" s="48" t="s">
        <v>29</v>
      </c>
      <c r="C1703" s="48" t="s">
        <v>56</v>
      </c>
      <c r="D1703" s="48" t="s">
        <v>50</v>
      </c>
      <c r="E1703" s="48"/>
      <c r="F1703" s="48">
        <v>8977.0</v>
      </c>
      <c r="G1703" s="43"/>
      <c r="H1703" s="43"/>
      <c r="I1703" s="43"/>
    </row>
    <row r="1704" ht="12.75" customHeight="1">
      <c r="A1704" s="48" t="s">
        <v>44</v>
      </c>
      <c r="B1704" s="48" t="s">
        <v>29</v>
      </c>
      <c r="C1704" s="48" t="s">
        <v>56</v>
      </c>
      <c r="D1704" s="48" t="s">
        <v>50</v>
      </c>
      <c r="E1704" s="48"/>
      <c r="F1704" s="48">
        <v>6114.7</v>
      </c>
      <c r="G1704" s="43"/>
      <c r="H1704" s="43"/>
      <c r="I1704" s="43"/>
    </row>
    <row r="1705" ht="12.75" customHeight="1">
      <c r="A1705" s="48" t="s">
        <v>44</v>
      </c>
      <c r="B1705" s="48" t="s">
        <v>29</v>
      </c>
      <c r="C1705" s="48" t="s">
        <v>56</v>
      </c>
      <c r="D1705" s="48" t="s">
        <v>50</v>
      </c>
      <c r="E1705" s="48"/>
      <c r="F1705" s="48">
        <v>13775.7</v>
      </c>
      <c r="G1705" s="43"/>
      <c r="H1705" s="43"/>
      <c r="I1705" s="43"/>
    </row>
    <row r="1706" ht="12.75" customHeight="1">
      <c r="A1706" s="48" t="s">
        <v>44</v>
      </c>
      <c r="B1706" s="48" t="s">
        <v>29</v>
      </c>
      <c r="C1706" s="48" t="s">
        <v>56</v>
      </c>
      <c r="D1706" s="48" t="s">
        <v>50</v>
      </c>
      <c r="E1706" s="48"/>
      <c r="F1706" s="48">
        <v>8690.300000000001</v>
      </c>
      <c r="G1706" s="43"/>
      <c r="H1706" s="43"/>
      <c r="I1706" s="43"/>
    </row>
    <row r="1707" ht="12.75" customHeight="1">
      <c r="A1707" s="48" t="s">
        <v>44</v>
      </c>
      <c r="B1707" s="48" t="s">
        <v>29</v>
      </c>
      <c r="C1707" s="48" t="s">
        <v>56</v>
      </c>
      <c r="D1707" s="48" t="s">
        <v>50</v>
      </c>
      <c r="E1707" s="48"/>
      <c r="F1707" s="48">
        <v>32242.0</v>
      </c>
      <c r="G1707" s="43"/>
      <c r="H1707" s="43"/>
      <c r="I1707" s="43"/>
    </row>
    <row r="1708" ht="12.75" customHeight="1">
      <c r="A1708" s="48" t="s">
        <v>44</v>
      </c>
      <c r="B1708" s="48" t="s">
        <v>29</v>
      </c>
      <c r="C1708" s="48" t="s">
        <v>56</v>
      </c>
      <c r="D1708" s="48" t="s">
        <v>50</v>
      </c>
      <c r="E1708" s="48"/>
      <c r="F1708" s="48">
        <v>8610.4</v>
      </c>
      <c r="G1708" s="43"/>
      <c r="H1708" s="43"/>
      <c r="I1708" s="43"/>
    </row>
    <row r="1709" ht="12.75" customHeight="1">
      <c r="A1709" s="48" t="s">
        <v>44</v>
      </c>
      <c r="B1709" s="48" t="s">
        <v>29</v>
      </c>
      <c r="C1709" s="48" t="s">
        <v>56</v>
      </c>
      <c r="D1709" s="48" t="s">
        <v>50</v>
      </c>
      <c r="E1709" s="48"/>
      <c r="F1709" s="48">
        <v>6913.7</v>
      </c>
      <c r="G1709" s="43"/>
      <c r="H1709" s="43"/>
      <c r="I1709" s="43"/>
    </row>
    <row r="1710" ht="12.75" customHeight="1">
      <c r="A1710" s="48" t="s">
        <v>44</v>
      </c>
      <c r="B1710" s="48" t="s">
        <v>29</v>
      </c>
      <c r="C1710" s="48" t="s">
        <v>56</v>
      </c>
      <c r="D1710" s="48" t="s">
        <v>50</v>
      </c>
      <c r="E1710" s="48"/>
      <c r="F1710" s="48">
        <v>11355.2</v>
      </c>
      <c r="G1710" s="43"/>
      <c r="H1710" s="43"/>
      <c r="I1710" s="43"/>
    </row>
    <row r="1711" ht="12.75" customHeight="1">
      <c r="A1711" s="48" t="s">
        <v>44</v>
      </c>
      <c r="B1711" s="48" t="s">
        <v>29</v>
      </c>
      <c r="C1711" s="48" t="s">
        <v>56</v>
      </c>
      <c r="D1711" s="48" t="s">
        <v>50</v>
      </c>
      <c r="E1711" s="48"/>
      <c r="F1711" s="48">
        <v>6721.0</v>
      </c>
      <c r="G1711" s="43"/>
      <c r="H1711" s="43"/>
      <c r="I1711" s="43"/>
    </row>
    <row r="1712" ht="12.75" customHeight="1">
      <c r="A1712" s="48" t="s">
        <v>44</v>
      </c>
      <c r="B1712" s="48" t="s">
        <v>29</v>
      </c>
      <c r="C1712" s="48" t="s">
        <v>56</v>
      </c>
      <c r="D1712" s="48" t="s">
        <v>50</v>
      </c>
      <c r="E1712" s="48"/>
      <c r="F1712" s="48">
        <v>0.0</v>
      </c>
      <c r="G1712" s="43"/>
      <c r="H1712" s="43"/>
      <c r="I1712" s="43"/>
    </row>
    <row r="1713" ht="12.75" customHeight="1">
      <c r="A1713" s="48" t="s">
        <v>44</v>
      </c>
      <c r="B1713" s="48" t="s">
        <v>29</v>
      </c>
      <c r="C1713" s="48" t="s">
        <v>56</v>
      </c>
      <c r="D1713" s="48" t="s">
        <v>47</v>
      </c>
      <c r="E1713" s="48"/>
      <c r="F1713" s="48">
        <v>0.0</v>
      </c>
      <c r="G1713" s="43"/>
      <c r="H1713" s="43"/>
      <c r="I1713" s="43"/>
    </row>
    <row r="1714" ht="12.75" customHeight="1">
      <c r="A1714" s="48" t="s">
        <v>44</v>
      </c>
      <c r="B1714" s="48" t="s">
        <v>29</v>
      </c>
      <c r="C1714" s="48" t="s">
        <v>56</v>
      </c>
      <c r="D1714" s="48" t="s">
        <v>47</v>
      </c>
      <c r="E1714" s="48"/>
      <c r="F1714" s="48">
        <v>752.0</v>
      </c>
      <c r="G1714" s="43"/>
      <c r="H1714" s="43"/>
      <c r="I1714" s="43"/>
    </row>
    <row r="1715" ht="12.75" customHeight="1">
      <c r="A1715" s="48" t="s">
        <v>44</v>
      </c>
      <c r="B1715" s="48" t="s">
        <v>29</v>
      </c>
      <c r="C1715" s="48" t="s">
        <v>56</v>
      </c>
      <c r="D1715" s="48" t="s">
        <v>47</v>
      </c>
      <c r="E1715" s="48"/>
      <c r="F1715" s="48">
        <v>178.6</v>
      </c>
      <c r="G1715" s="43"/>
      <c r="H1715" s="43"/>
      <c r="I1715" s="43"/>
    </row>
    <row r="1716" ht="12.75" customHeight="1">
      <c r="A1716" s="48" t="s">
        <v>44</v>
      </c>
      <c r="B1716" s="48" t="s">
        <v>29</v>
      </c>
      <c r="C1716" s="48" t="s">
        <v>56</v>
      </c>
      <c r="D1716" s="48" t="s">
        <v>47</v>
      </c>
      <c r="E1716" s="48"/>
      <c r="F1716" s="48">
        <v>470.0</v>
      </c>
      <c r="G1716" s="43"/>
      <c r="H1716" s="43"/>
      <c r="I1716" s="43"/>
    </row>
    <row r="1717" ht="12.75" customHeight="1">
      <c r="A1717" s="48" t="s">
        <v>44</v>
      </c>
      <c r="B1717" s="48" t="s">
        <v>29</v>
      </c>
      <c r="C1717" s="48" t="s">
        <v>56</v>
      </c>
      <c r="D1717" s="48" t="s">
        <v>47</v>
      </c>
      <c r="E1717" s="48"/>
      <c r="F1717" s="48">
        <v>0.0</v>
      </c>
      <c r="G1717" s="43"/>
      <c r="H1717" s="43"/>
      <c r="I1717" s="43"/>
    </row>
    <row r="1718" ht="12.75" customHeight="1">
      <c r="A1718" s="48" t="s">
        <v>44</v>
      </c>
      <c r="B1718" s="48" t="s">
        <v>29</v>
      </c>
      <c r="C1718" s="48" t="s">
        <v>66</v>
      </c>
      <c r="D1718" s="48" t="s">
        <v>53</v>
      </c>
      <c r="E1718" s="48"/>
      <c r="F1718" s="48">
        <v>8154.5</v>
      </c>
      <c r="G1718" s="43"/>
      <c r="H1718" s="43"/>
      <c r="I1718" s="43"/>
    </row>
    <row r="1719" ht="12.75" customHeight="1">
      <c r="A1719" s="48" t="s">
        <v>44</v>
      </c>
      <c r="B1719" s="48" t="s">
        <v>29</v>
      </c>
      <c r="C1719" s="48" t="s">
        <v>66</v>
      </c>
      <c r="D1719" s="48" t="s">
        <v>53</v>
      </c>
      <c r="E1719" s="48"/>
      <c r="F1719" s="48">
        <v>0.0</v>
      </c>
      <c r="G1719" s="43"/>
      <c r="H1719" s="43"/>
      <c r="I1719" s="43"/>
    </row>
    <row r="1720" ht="12.75" customHeight="1">
      <c r="A1720" s="48" t="s">
        <v>44</v>
      </c>
      <c r="B1720" s="48" t="s">
        <v>29</v>
      </c>
      <c r="C1720" s="48" t="s">
        <v>66</v>
      </c>
      <c r="D1720" s="48" t="s">
        <v>54</v>
      </c>
      <c r="E1720" s="48"/>
      <c r="F1720" s="48">
        <v>427.7</v>
      </c>
      <c r="G1720" s="43"/>
      <c r="H1720" s="43"/>
      <c r="I1720" s="43"/>
    </row>
    <row r="1721" ht="12.75" customHeight="1">
      <c r="A1721" s="48" t="s">
        <v>44</v>
      </c>
      <c r="B1721" s="48" t="s">
        <v>29</v>
      </c>
      <c r="C1721" s="48" t="s">
        <v>66</v>
      </c>
      <c r="D1721" s="48" t="s">
        <v>54</v>
      </c>
      <c r="E1721" s="48"/>
      <c r="F1721" s="48">
        <v>16656.8</v>
      </c>
      <c r="G1721" s="43"/>
      <c r="H1721" s="43"/>
      <c r="I1721" s="43"/>
    </row>
    <row r="1722" ht="12.75" customHeight="1">
      <c r="A1722" s="48" t="s">
        <v>44</v>
      </c>
      <c r="B1722" s="48" t="s">
        <v>29</v>
      </c>
      <c r="C1722" s="48" t="s">
        <v>66</v>
      </c>
      <c r="D1722" s="48" t="s">
        <v>49</v>
      </c>
      <c r="E1722" s="48"/>
      <c r="F1722" s="48">
        <v>253.8</v>
      </c>
      <c r="G1722" s="43"/>
      <c r="H1722" s="43"/>
      <c r="I1722" s="43"/>
    </row>
    <row r="1723" ht="12.75" customHeight="1">
      <c r="A1723" s="48" t="s">
        <v>44</v>
      </c>
      <c r="B1723" s="48" t="s">
        <v>29</v>
      </c>
      <c r="C1723" s="48" t="s">
        <v>66</v>
      </c>
      <c r="D1723" s="48" t="s">
        <v>50</v>
      </c>
      <c r="E1723" s="48"/>
      <c r="F1723" s="48">
        <v>10871.1</v>
      </c>
      <c r="G1723" s="43"/>
      <c r="H1723" s="43"/>
      <c r="I1723" s="43"/>
    </row>
    <row r="1724" ht="12.75" customHeight="1">
      <c r="A1724" s="48" t="s">
        <v>44</v>
      </c>
      <c r="B1724" s="48" t="s">
        <v>29</v>
      </c>
      <c r="C1724" s="48" t="s">
        <v>66</v>
      </c>
      <c r="D1724" s="48" t="s">
        <v>50</v>
      </c>
      <c r="E1724" s="48"/>
      <c r="F1724" s="48">
        <v>10043.9</v>
      </c>
      <c r="G1724" s="43"/>
      <c r="H1724" s="43"/>
      <c r="I1724" s="43"/>
    </row>
    <row r="1725" ht="12.75" customHeight="1">
      <c r="A1725" s="48" t="s">
        <v>44</v>
      </c>
      <c r="B1725" s="48" t="s">
        <v>29</v>
      </c>
      <c r="C1725" s="48" t="s">
        <v>66</v>
      </c>
      <c r="D1725" s="48" t="s">
        <v>50</v>
      </c>
      <c r="E1725" s="48"/>
      <c r="F1725" s="48">
        <v>8084.0</v>
      </c>
      <c r="G1725" s="43"/>
      <c r="H1725" s="43"/>
      <c r="I1725" s="43"/>
    </row>
    <row r="1726" ht="12.75" customHeight="1">
      <c r="A1726" s="48" t="s">
        <v>44</v>
      </c>
      <c r="B1726" s="48" t="s">
        <v>29</v>
      </c>
      <c r="C1726" s="48" t="s">
        <v>66</v>
      </c>
      <c r="D1726" s="48" t="s">
        <v>50</v>
      </c>
      <c r="E1726" s="48"/>
      <c r="F1726" s="48">
        <v>9761.9</v>
      </c>
      <c r="G1726" s="43"/>
      <c r="H1726" s="43"/>
      <c r="I1726" s="43"/>
    </row>
    <row r="1727" ht="12.75" customHeight="1">
      <c r="A1727" s="48" t="s">
        <v>44</v>
      </c>
      <c r="B1727" s="48" t="s">
        <v>29</v>
      </c>
      <c r="C1727" s="48" t="s">
        <v>66</v>
      </c>
      <c r="D1727" s="48" t="s">
        <v>50</v>
      </c>
      <c r="E1727" s="48"/>
      <c r="F1727" s="48">
        <v>9212.0</v>
      </c>
      <c r="G1727" s="43"/>
      <c r="H1727" s="43"/>
      <c r="I1727" s="43"/>
    </row>
    <row r="1728" ht="12.75" customHeight="1">
      <c r="A1728" s="48" t="s">
        <v>44</v>
      </c>
      <c r="B1728" s="48" t="s">
        <v>29</v>
      </c>
      <c r="C1728" s="48" t="s">
        <v>66</v>
      </c>
      <c r="D1728" s="48" t="s">
        <v>50</v>
      </c>
      <c r="E1728" s="48"/>
      <c r="F1728" s="48">
        <v>0.0</v>
      </c>
      <c r="G1728" s="43"/>
      <c r="H1728" s="43"/>
      <c r="I1728" s="43"/>
    </row>
    <row r="1729" ht="12.75" customHeight="1">
      <c r="A1729" s="48" t="s">
        <v>44</v>
      </c>
      <c r="B1729" s="48" t="s">
        <v>29</v>
      </c>
      <c r="C1729" s="48" t="s">
        <v>66</v>
      </c>
      <c r="D1729" s="48" t="s">
        <v>47</v>
      </c>
      <c r="E1729" s="48"/>
      <c r="F1729" s="48">
        <v>0.0</v>
      </c>
      <c r="G1729" s="43"/>
      <c r="H1729" s="43"/>
      <c r="I1729" s="43"/>
    </row>
    <row r="1730" ht="12.75" customHeight="1">
      <c r="A1730" s="48" t="s">
        <v>44</v>
      </c>
      <c r="B1730" s="48" t="s">
        <v>29</v>
      </c>
      <c r="C1730" s="48" t="s">
        <v>66</v>
      </c>
      <c r="D1730" s="48" t="s">
        <v>47</v>
      </c>
      <c r="E1730" s="48"/>
      <c r="F1730" s="48">
        <v>0.0</v>
      </c>
      <c r="G1730" s="43"/>
      <c r="H1730" s="43"/>
      <c r="I1730" s="43"/>
    </row>
    <row r="1731" ht="12.75" customHeight="1">
      <c r="A1731" s="48" t="s">
        <v>44</v>
      </c>
      <c r="B1731" s="48" t="s">
        <v>29</v>
      </c>
      <c r="C1731" s="48" t="s">
        <v>59</v>
      </c>
      <c r="D1731" s="48" t="s">
        <v>53</v>
      </c>
      <c r="E1731" s="48"/>
      <c r="F1731" s="48">
        <v>1400.6000000000001</v>
      </c>
      <c r="G1731" s="43"/>
      <c r="H1731" s="43"/>
      <c r="I1731" s="43"/>
    </row>
    <row r="1732" ht="12.75" customHeight="1">
      <c r="A1732" s="48" t="s">
        <v>44</v>
      </c>
      <c r="B1732" s="48" t="s">
        <v>29</v>
      </c>
      <c r="C1732" s="48" t="s">
        <v>59</v>
      </c>
      <c r="D1732" s="48" t="s">
        <v>53</v>
      </c>
      <c r="E1732" s="48"/>
      <c r="F1732" s="48">
        <v>0.0</v>
      </c>
      <c r="G1732" s="43"/>
      <c r="H1732" s="43"/>
      <c r="I1732" s="43"/>
    </row>
    <row r="1733" ht="12.75" customHeight="1">
      <c r="A1733" s="48" t="s">
        <v>44</v>
      </c>
      <c r="B1733" s="48" t="s">
        <v>29</v>
      </c>
      <c r="C1733" s="48" t="s">
        <v>59</v>
      </c>
      <c r="D1733" s="48" t="s">
        <v>58</v>
      </c>
      <c r="E1733" s="48"/>
      <c r="F1733" s="48">
        <v>310665.3</v>
      </c>
      <c r="G1733" s="43"/>
      <c r="H1733" s="43"/>
      <c r="I1733" s="43"/>
    </row>
    <row r="1734" ht="12.75" customHeight="1">
      <c r="A1734" s="48" t="s">
        <v>44</v>
      </c>
      <c r="B1734" s="48" t="s">
        <v>29</v>
      </c>
      <c r="C1734" s="48" t="s">
        <v>59</v>
      </c>
      <c r="D1734" s="48" t="s">
        <v>54</v>
      </c>
      <c r="E1734" s="48"/>
      <c r="F1734" s="48">
        <v>24980.5</v>
      </c>
      <c r="G1734" s="43"/>
      <c r="H1734" s="43"/>
      <c r="I1734" s="43"/>
    </row>
    <row r="1735" ht="12.75" customHeight="1">
      <c r="A1735" s="48" t="s">
        <v>44</v>
      </c>
      <c r="B1735" s="48" t="s">
        <v>29</v>
      </c>
      <c r="C1735" s="48" t="s">
        <v>59</v>
      </c>
      <c r="D1735" s="48" t="s">
        <v>50</v>
      </c>
      <c r="E1735" s="48"/>
      <c r="F1735" s="48">
        <v>9329.5</v>
      </c>
      <c r="G1735" s="43"/>
      <c r="H1735" s="43"/>
      <c r="I1735" s="43"/>
    </row>
    <row r="1736" ht="12.75" customHeight="1">
      <c r="A1736" s="48" t="s">
        <v>44</v>
      </c>
      <c r="B1736" s="48" t="s">
        <v>29</v>
      </c>
      <c r="C1736" s="48" t="s">
        <v>59</v>
      </c>
      <c r="D1736" s="48" t="s">
        <v>50</v>
      </c>
      <c r="E1736" s="48"/>
      <c r="F1736" s="48">
        <v>7153.400000000001</v>
      </c>
      <c r="G1736" s="43"/>
      <c r="H1736" s="43"/>
      <c r="I1736" s="43"/>
    </row>
    <row r="1737" ht="12.75" customHeight="1">
      <c r="A1737" s="48" t="s">
        <v>44</v>
      </c>
      <c r="B1737" s="48" t="s">
        <v>29</v>
      </c>
      <c r="C1737" s="48" t="s">
        <v>59</v>
      </c>
      <c r="D1737" s="48" t="s">
        <v>50</v>
      </c>
      <c r="E1737" s="48"/>
      <c r="F1737" s="48">
        <v>7003.0</v>
      </c>
      <c r="G1737" s="43"/>
      <c r="H1737" s="43"/>
      <c r="I1737" s="43"/>
    </row>
    <row r="1738" ht="12.75" customHeight="1">
      <c r="A1738" s="48" t="s">
        <v>44</v>
      </c>
      <c r="B1738" s="48" t="s">
        <v>29</v>
      </c>
      <c r="C1738" s="48" t="s">
        <v>59</v>
      </c>
      <c r="D1738" s="48" t="s">
        <v>50</v>
      </c>
      <c r="E1738" s="48"/>
      <c r="F1738" s="48">
        <v>7054.7</v>
      </c>
      <c r="G1738" s="43"/>
      <c r="H1738" s="43"/>
      <c r="I1738" s="43"/>
    </row>
    <row r="1739" ht="12.75" customHeight="1">
      <c r="A1739" s="48" t="s">
        <v>44</v>
      </c>
      <c r="B1739" s="48" t="s">
        <v>29</v>
      </c>
      <c r="C1739" s="48" t="s">
        <v>59</v>
      </c>
      <c r="D1739" s="48" t="s">
        <v>50</v>
      </c>
      <c r="E1739" s="48"/>
      <c r="F1739" s="48">
        <v>6970.1</v>
      </c>
      <c r="G1739" s="43"/>
      <c r="H1739" s="43"/>
      <c r="I1739" s="43"/>
    </row>
    <row r="1740" ht="12.75" customHeight="1">
      <c r="A1740" s="48" t="s">
        <v>44</v>
      </c>
      <c r="B1740" s="48" t="s">
        <v>29</v>
      </c>
      <c r="C1740" s="48" t="s">
        <v>59</v>
      </c>
      <c r="D1740" s="48" t="s">
        <v>50</v>
      </c>
      <c r="E1740" s="48"/>
      <c r="F1740" s="48">
        <v>13818.0</v>
      </c>
      <c r="G1740" s="43"/>
      <c r="H1740" s="43"/>
      <c r="I1740" s="43"/>
    </row>
    <row r="1741" ht="12.75" customHeight="1">
      <c r="A1741" s="48" t="s">
        <v>44</v>
      </c>
      <c r="B1741" s="48" t="s">
        <v>29</v>
      </c>
      <c r="C1741" s="48" t="s">
        <v>59</v>
      </c>
      <c r="D1741" s="48" t="s">
        <v>50</v>
      </c>
      <c r="E1741" s="48"/>
      <c r="F1741" s="48">
        <v>5663.5</v>
      </c>
      <c r="G1741" s="43"/>
      <c r="H1741" s="43"/>
      <c r="I1741" s="43"/>
    </row>
    <row r="1742" ht="12.75" customHeight="1">
      <c r="A1742" s="48" t="s">
        <v>44</v>
      </c>
      <c r="B1742" s="48" t="s">
        <v>29</v>
      </c>
      <c r="C1742" s="48" t="s">
        <v>59</v>
      </c>
      <c r="D1742" s="48" t="s">
        <v>50</v>
      </c>
      <c r="E1742" s="48"/>
      <c r="F1742" s="48">
        <v>0.0</v>
      </c>
      <c r="G1742" s="43"/>
      <c r="H1742" s="43"/>
      <c r="I1742" s="43"/>
    </row>
    <row r="1743" ht="12.75" customHeight="1">
      <c r="A1743" s="48" t="s">
        <v>44</v>
      </c>
      <c r="B1743" s="48" t="s">
        <v>29</v>
      </c>
      <c r="C1743" s="48" t="s">
        <v>59</v>
      </c>
      <c r="D1743" s="48" t="s">
        <v>47</v>
      </c>
      <c r="E1743" s="48"/>
      <c r="F1743" s="48">
        <v>0.0</v>
      </c>
      <c r="G1743" s="43"/>
      <c r="H1743" s="43"/>
      <c r="I1743" s="43"/>
    </row>
    <row r="1744" ht="12.75" customHeight="1">
      <c r="A1744" s="48" t="s">
        <v>44</v>
      </c>
      <c r="B1744" s="48" t="s">
        <v>30</v>
      </c>
      <c r="C1744" s="48" t="s">
        <v>6</v>
      </c>
      <c r="D1744" s="48" t="s">
        <v>53</v>
      </c>
      <c r="E1744" s="48"/>
      <c r="F1744" s="48">
        <v>2138.5</v>
      </c>
      <c r="G1744" s="43"/>
      <c r="H1744" s="43"/>
      <c r="I1744" s="43"/>
    </row>
    <row r="1745" ht="12.75" customHeight="1">
      <c r="A1745" s="48" t="s">
        <v>44</v>
      </c>
      <c r="B1745" s="48" t="s">
        <v>30</v>
      </c>
      <c r="C1745" s="48" t="s">
        <v>6</v>
      </c>
      <c r="D1745" s="48" t="s">
        <v>58</v>
      </c>
      <c r="E1745" s="48"/>
      <c r="F1745" s="48">
        <v>60973.100000000006</v>
      </c>
      <c r="G1745" s="43"/>
      <c r="H1745" s="43"/>
      <c r="I1745" s="43"/>
    </row>
    <row r="1746" ht="12.75" customHeight="1">
      <c r="A1746" s="48" t="s">
        <v>44</v>
      </c>
      <c r="B1746" s="48" t="s">
        <v>30</v>
      </c>
      <c r="C1746" s="48" t="s">
        <v>6</v>
      </c>
      <c r="D1746" s="48" t="s">
        <v>58</v>
      </c>
      <c r="E1746" s="48"/>
      <c r="F1746" s="48">
        <v>-6208.7</v>
      </c>
      <c r="G1746" s="43"/>
      <c r="H1746" s="43"/>
      <c r="I1746" s="43"/>
    </row>
    <row r="1747" ht="12.75" customHeight="1">
      <c r="A1747" s="48" t="s">
        <v>44</v>
      </c>
      <c r="B1747" s="48" t="s">
        <v>30</v>
      </c>
      <c r="C1747" s="48" t="s">
        <v>6</v>
      </c>
      <c r="D1747" s="48" t="s">
        <v>6</v>
      </c>
      <c r="E1747" s="48"/>
      <c r="F1747" s="48">
        <v>6739.8</v>
      </c>
      <c r="G1747" s="43"/>
      <c r="H1747" s="43"/>
      <c r="I1747" s="43"/>
    </row>
    <row r="1748" ht="12.75" customHeight="1">
      <c r="A1748" s="48" t="s">
        <v>44</v>
      </c>
      <c r="B1748" s="48" t="s">
        <v>30</v>
      </c>
      <c r="C1748" s="48" t="s">
        <v>6</v>
      </c>
      <c r="D1748" s="48" t="s">
        <v>6</v>
      </c>
      <c r="E1748" s="48"/>
      <c r="F1748" s="48">
        <v>0.0</v>
      </c>
      <c r="G1748" s="43"/>
      <c r="H1748" s="43"/>
      <c r="I1748" s="43"/>
    </row>
    <row r="1749" ht="12.75" customHeight="1">
      <c r="A1749" s="48" t="s">
        <v>44</v>
      </c>
      <c r="B1749" s="48" t="s">
        <v>30</v>
      </c>
      <c r="C1749" s="48" t="s">
        <v>6</v>
      </c>
      <c r="D1749" s="48" t="s">
        <v>6</v>
      </c>
      <c r="E1749" s="48"/>
      <c r="F1749" s="48">
        <v>559.3000000000001</v>
      </c>
      <c r="G1749" s="43"/>
      <c r="H1749" s="43"/>
      <c r="I1749" s="43"/>
    </row>
    <row r="1750" ht="12.75" customHeight="1">
      <c r="A1750" s="48" t="s">
        <v>44</v>
      </c>
      <c r="B1750" s="48" t="s">
        <v>30</v>
      </c>
      <c r="C1750" s="48" t="s">
        <v>6</v>
      </c>
      <c r="D1750" s="48" t="s">
        <v>6</v>
      </c>
      <c r="E1750" s="48"/>
      <c r="F1750" s="48">
        <v>59295.200000000004</v>
      </c>
      <c r="G1750" s="43"/>
      <c r="H1750" s="43"/>
      <c r="I1750" s="43"/>
    </row>
    <row r="1751" ht="12.75" customHeight="1">
      <c r="A1751" s="48" t="s">
        <v>44</v>
      </c>
      <c r="B1751" s="48" t="s">
        <v>30</v>
      </c>
      <c r="C1751" s="48" t="s">
        <v>6</v>
      </c>
      <c r="D1751" s="48" t="s">
        <v>6</v>
      </c>
      <c r="E1751" s="48"/>
      <c r="F1751" s="48">
        <v>37012.5</v>
      </c>
      <c r="G1751" s="43"/>
      <c r="H1751" s="43"/>
      <c r="I1751" s="43"/>
    </row>
    <row r="1752" ht="12.75" customHeight="1">
      <c r="A1752" s="48" t="s">
        <v>44</v>
      </c>
      <c r="B1752" s="48" t="s">
        <v>30</v>
      </c>
      <c r="C1752" s="48" t="s">
        <v>6</v>
      </c>
      <c r="D1752" s="48" t="s">
        <v>6</v>
      </c>
      <c r="E1752" s="48"/>
      <c r="F1752" s="48">
        <v>16468.8</v>
      </c>
      <c r="G1752" s="43"/>
      <c r="H1752" s="43"/>
      <c r="I1752" s="43"/>
    </row>
    <row r="1753" ht="12.75" customHeight="1">
      <c r="A1753" s="48" t="s">
        <v>44</v>
      </c>
      <c r="B1753" s="48" t="s">
        <v>30</v>
      </c>
      <c r="C1753" s="48" t="s">
        <v>6</v>
      </c>
      <c r="D1753" s="48" t="s">
        <v>6</v>
      </c>
      <c r="E1753" s="48"/>
      <c r="F1753" s="48">
        <v>1132.7</v>
      </c>
      <c r="G1753" s="43"/>
      <c r="H1753" s="43"/>
      <c r="I1753" s="43"/>
    </row>
    <row r="1754" ht="12.75" customHeight="1">
      <c r="A1754" s="48" t="s">
        <v>44</v>
      </c>
      <c r="B1754" s="48" t="s">
        <v>30</v>
      </c>
      <c r="C1754" s="48" t="s">
        <v>6</v>
      </c>
      <c r="D1754" s="48" t="s">
        <v>6</v>
      </c>
      <c r="E1754" s="48"/>
      <c r="F1754" s="48">
        <v>46252.700000000004</v>
      </c>
      <c r="G1754" s="43"/>
      <c r="H1754" s="43"/>
      <c r="I1754" s="43"/>
    </row>
    <row r="1755" ht="12.75" customHeight="1">
      <c r="A1755" s="48" t="s">
        <v>44</v>
      </c>
      <c r="B1755" s="48" t="s">
        <v>30</v>
      </c>
      <c r="C1755" s="48" t="s">
        <v>6</v>
      </c>
      <c r="D1755" s="48" t="s">
        <v>54</v>
      </c>
      <c r="E1755" s="48"/>
      <c r="F1755" s="48">
        <v>4164.2</v>
      </c>
      <c r="G1755" s="43"/>
      <c r="H1755" s="43"/>
      <c r="I1755" s="43"/>
    </row>
    <row r="1756" ht="12.75" customHeight="1">
      <c r="A1756" s="48" t="s">
        <v>44</v>
      </c>
      <c r="B1756" s="48" t="s">
        <v>30</v>
      </c>
      <c r="C1756" s="48" t="s">
        <v>6</v>
      </c>
      <c r="D1756" s="48" t="s">
        <v>49</v>
      </c>
      <c r="E1756" s="48"/>
      <c r="F1756" s="48">
        <v>41454.0</v>
      </c>
      <c r="G1756" s="43"/>
      <c r="H1756" s="43"/>
      <c r="I1756" s="43"/>
    </row>
    <row r="1757" ht="12.75" customHeight="1">
      <c r="A1757" s="48" t="s">
        <v>44</v>
      </c>
      <c r="B1757" s="48" t="s">
        <v>30</v>
      </c>
      <c r="C1757" s="48" t="s">
        <v>6</v>
      </c>
      <c r="D1757" s="48" t="s">
        <v>49</v>
      </c>
      <c r="E1757" s="48"/>
      <c r="F1757" s="48">
        <v>253.8</v>
      </c>
      <c r="G1757" s="43"/>
      <c r="H1757" s="43"/>
      <c r="I1757" s="43"/>
    </row>
    <row r="1758" ht="12.75" customHeight="1">
      <c r="A1758" s="48" t="s">
        <v>44</v>
      </c>
      <c r="B1758" s="48" t="s">
        <v>30</v>
      </c>
      <c r="C1758" s="48" t="s">
        <v>6</v>
      </c>
      <c r="D1758" s="48" t="s">
        <v>50</v>
      </c>
      <c r="E1758" s="48"/>
      <c r="F1758" s="48">
        <v>-23222.7</v>
      </c>
      <c r="G1758" s="43"/>
      <c r="H1758" s="43"/>
      <c r="I1758" s="43"/>
    </row>
    <row r="1759" ht="12.75" customHeight="1">
      <c r="A1759" s="48" t="s">
        <v>44</v>
      </c>
      <c r="B1759" s="48" t="s">
        <v>30</v>
      </c>
      <c r="C1759" s="48" t="s">
        <v>6</v>
      </c>
      <c r="D1759" s="48" t="s">
        <v>50</v>
      </c>
      <c r="E1759" s="48"/>
      <c r="F1759" s="48">
        <v>13235.2</v>
      </c>
      <c r="G1759" s="43"/>
      <c r="H1759" s="43"/>
      <c r="I1759" s="43"/>
    </row>
    <row r="1760" ht="12.75" customHeight="1">
      <c r="A1760" s="48" t="s">
        <v>44</v>
      </c>
      <c r="B1760" s="48" t="s">
        <v>30</v>
      </c>
      <c r="C1760" s="48" t="s">
        <v>6</v>
      </c>
      <c r="D1760" s="48" t="s">
        <v>50</v>
      </c>
      <c r="E1760" s="48"/>
      <c r="F1760" s="48">
        <v>10293.0</v>
      </c>
      <c r="G1760" s="43"/>
      <c r="H1760" s="43"/>
      <c r="I1760" s="43"/>
    </row>
    <row r="1761" ht="12.75" customHeight="1">
      <c r="A1761" s="48" t="s">
        <v>44</v>
      </c>
      <c r="B1761" s="48" t="s">
        <v>30</v>
      </c>
      <c r="C1761" s="48" t="s">
        <v>6</v>
      </c>
      <c r="D1761" s="48" t="s">
        <v>50</v>
      </c>
      <c r="E1761" s="48"/>
      <c r="F1761" s="48">
        <v>0.0</v>
      </c>
      <c r="G1761" s="43"/>
      <c r="H1761" s="43"/>
      <c r="I1761" s="43"/>
    </row>
    <row r="1762" ht="12.75" customHeight="1">
      <c r="A1762" s="48" t="s">
        <v>44</v>
      </c>
      <c r="B1762" s="48" t="s">
        <v>30</v>
      </c>
      <c r="C1762" s="48" t="s">
        <v>6</v>
      </c>
      <c r="D1762" s="48" t="s">
        <v>47</v>
      </c>
      <c r="E1762" s="48"/>
      <c r="F1762" s="48">
        <v>122.2</v>
      </c>
      <c r="G1762" s="43"/>
      <c r="H1762" s="43"/>
      <c r="I1762" s="43"/>
    </row>
    <row r="1763" ht="12.75" customHeight="1">
      <c r="A1763" s="48" t="s">
        <v>44</v>
      </c>
      <c r="B1763" s="48" t="s">
        <v>30</v>
      </c>
      <c r="C1763" s="48" t="s">
        <v>6</v>
      </c>
      <c r="D1763" s="48" t="s">
        <v>47</v>
      </c>
      <c r="E1763" s="48"/>
      <c r="F1763" s="48">
        <v>18381.7</v>
      </c>
      <c r="G1763" s="43"/>
      <c r="H1763" s="43"/>
      <c r="I1763" s="43"/>
    </row>
    <row r="1764" ht="12.75" customHeight="1">
      <c r="A1764" s="48" t="s">
        <v>44</v>
      </c>
      <c r="B1764" s="48" t="s">
        <v>30</v>
      </c>
      <c r="C1764" s="48" t="s">
        <v>6</v>
      </c>
      <c r="D1764" s="48" t="s">
        <v>47</v>
      </c>
      <c r="E1764" s="48"/>
      <c r="F1764" s="48">
        <v>333.7</v>
      </c>
      <c r="G1764" s="43"/>
      <c r="H1764" s="43"/>
      <c r="I1764" s="43"/>
    </row>
    <row r="1765" ht="12.75" customHeight="1">
      <c r="A1765" s="48" t="s">
        <v>44</v>
      </c>
      <c r="B1765" s="48" t="s">
        <v>30</v>
      </c>
      <c r="C1765" s="48" t="s">
        <v>5</v>
      </c>
      <c r="D1765" s="48" t="s">
        <v>60</v>
      </c>
      <c r="E1765" s="48"/>
      <c r="F1765" s="48">
        <v>-82893.90000000001</v>
      </c>
      <c r="G1765" s="43"/>
      <c r="H1765" s="43"/>
      <c r="I1765" s="43"/>
    </row>
    <row r="1766" ht="12.75" customHeight="1">
      <c r="A1766" s="48" t="s">
        <v>44</v>
      </c>
      <c r="B1766" s="48" t="s">
        <v>30</v>
      </c>
      <c r="C1766" s="48" t="s">
        <v>5</v>
      </c>
      <c r="D1766" s="48" t="s">
        <v>52</v>
      </c>
      <c r="E1766" s="48"/>
      <c r="F1766" s="48">
        <v>0.0</v>
      </c>
      <c r="G1766" s="43"/>
      <c r="H1766" s="43"/>
      <c r="I1766" s="43"/>
    </row>
    <row r="1767" ht="12.75" customHeight="1">
      <c r="A1767" s="48" t="s">
        <v>44</v>
      </c>
      <c r="B1767" s="48" t="s">
        <v>30</v>
      </c>
      <c r="C1767" s="48" t="s">
        <v>5</v>
      </c>
      <c r="D1767" s="48" t="s">
        <v>52</v>
      </c>
      <c r="E1767" s="48"/>
      <c r="F1767" s="48">
        <v>49805.9</v>
      </c>
      <c r="G1767" s="43"/>
      <c r="H1767" s="43"/>
      <c r="I1767" s="43"/>
    </row>
    <row r="1768" ht="12.75" customHeight="1">
      <c r="A1768" s="48" t="s">
        <v>44</v>
      </c>
      <c r="B1768" s="48" t="s">
        <v>30</v>
      </c>
      <c r="C1768" s="48" t="s">
        <v>5</v>
      </c>
      <c r="D1768" s="48" t="s">
        <v>53</v>
      </c>
      <c r="E1768" s="48"/>
      <c r="F1768" s="48">
        <v>498209.4</v>
      </c>
      <c r="G1768" s="43"/>
      <c r="H1768" s="43"/>
      <c r="I1768" s="43"/>
    </row>
    <row r="1769" ht="12.75" customHeight="1">
      <c r="A1769" s="48" t="s">
        <v>44</v>
      </c>
      <c r="B1769" s="48" t="s">
        <v>30</v>
      </c>
      <c r="C1769" s="48" t="s">
        <v>5</v>
      </c>
      <c r="D1769" s="48" t="s">
        <v>53</v>
      </c>
      <c r="E1769" s="48"/>
      <c r="F1769" s="48">
        <v>0.0</v>
      </c>
      <c r="G1769" s="43"/>
      <c r="H1769" s="43"/>
      <c r="I1769" s="43"/>
    </row>
    <row r="1770" ht="12.75" customHeight="1">
      <c r="A1770" s="48" t="s">
        <v>44</v>
      </c>
      <c r="B1770" s="48" t="s">
        <v>30</v>
      </c>
      <c r="C1770" s="48" t="s">
        <v>5</v>
      </c>
      <c r="D1770" s="48" t="s">
        <v>53</v>
      </c>
      <c r="E1770" s="48"/>
      <c r="F1770" s="48">
        <v>0.0</v>
      </c>
      <c r="G1770" s="43"/>
      <c r="H1770" s="43"/>
      <c r="I1770" s="43"/>
    </row>
    <row r="1771" ht="12.75" customHeight="1">
      <c r="A1771" s="48" t="s">
        <v>44</v>
      </c>
      <c r="B1771" s="48" t="s">
        <v>30</v>
      </c>
      <c r="C1771" s="48" t="s">
        <v>5</v>
      </c>
      <c r="D1771" s="48" t="s">
        <v>8</v>
      </c>
      <c r="E1771" s="48"/>
      <c r="F1771" s="48">
        <v>8046.400000000001</v>
      </c>
      <c r="G1771" s="43"/>
      <c r="H1771" s="43"/>
      <c r="I1771" s="43"/>
    </row>
    <row r="1772" ht="12.75" customHeight="1">
      <c r="A1772" s="48" t="s">
        <v>44</v>
      </c>
      <c r="B1772" s="48" t="s">
        <v>30</v>
      </c>
      <c r="C1772" s="48" t="s">
        <v>5</v>
      </c>
      <c r="D1772" s="48" t="s">
        <v>8</v>
      </c>
      <c r="E1772" s="48"/>
      <c r="F1772" s="48">
        <v>2566.2000000000003</v>
      </c>
      <c r="G1772" s="43"/>
      <c r="H1772" s="43"/>
      <c r="I1772" s="43"/>
    </row>
    <row r="1773" ht="12.75" customHeight="1">
      <c r="A1773" s="48" t="s">
        <v>44</v>
      </c>
      <c r="B1773" s="48" t="s">
        <v>30</v>
      </c>
      <c r="C1773" s="48" t="s">
        <v>5</v>
      </c>
      <c r="D1773" s="48" t="s">
        <v>54</v>
      </c>
      <c r="E1773" s="48"/>
      <c r="F1773" s="48">
        <v>16003.5</v>
      </c>
      <c r="G1773" s="43"/>
      <c r="H1773" s="43"/>
      <c r="I1773" s="43"/>
    </row>
    <row r="1774" ht="12.75" customHeight="1">
      <c r="A1774" s="48" t="s">
        <v>44</v>
      </c>
      <c r="B1774" s="48" t="s">
        <v>30</v>
      </c>
      <c r="C1774" s="48" t="s">
        <v>5</v>
      </c>
      <c r="D1774" s="48" t="s">
        <v>54</v>
      </c>
      <c r="E1774" s="48"/>
      <c r="F1774" s="48">
        <v>4089.0</v>
      </c>
      <c r="G1774" s="43"/>
      <c r="H1774" s="43"/>
      <c r="I1774" s="43"/>
    </row>
    <row r="1775" ht="12.75" customHeight="1">
      <c r="A1775" s="48" t="s">
        <v>44</v>
      </c>
      <c r="B1775" s="48" t="s">
        <v>30</v>
      </c>
      <c r="C1775" s="48" t="s">
        <v>5</v>
      </c>
      <c r="D1775" s="48" t="s">
        <v>54</v>
      </c>
      <c r="E1775" s="48"/>
      <c r="F1775" s="48">
        <v>33308.9</v>
      </c>
      <c r="G1775" s="43"/>
      <c r="H1775" s="43"/>
      <c r="I1775" s="43"/>
    </row>
    <row r="1776" ht="12.75" customHeight="1">
      <c r="A1776" s="48" t="s">
        <v>44</v>
      </c>
      <c r="B1776" s="48" t="s">
        <v>30</v>
      </c>
      <c r="C1776" s="48" t="s">
        <v>5</v>
      </c>
      <c r="D1776" s="48" t="s">
        <v>54</v>
      </c>
      <c r="E1776" s="48"/>
      <c r="F1776" s="48">
        <v>0.0</v>
      </c>
      <c r="G1776" s="43"/>
      <c r="H1776" s="43"/>
      <c r="I1776" s="43"/>
    </row>
    <row r="1777" ht="12.75" customHeight="1">
      <c r="A1777" s="48" t="s">
        <v>44</v>
      </c>
      <c r="B1777" s="48" t="s">
        <v>30</v>
      </c>
      <c r="C1777" s="48" t="s">
        <v>5</v>
      </c>
      <c r="D1777" s="48" t="s">
        <v>50</v>
      </c>
      <c r="E1777" s="48"/>
      <c r="F1777" s="48">
        <v>0.0</v>
      </c>
      <c r="G1777" s="43"/>
      <c r="H1777" s="43"/>
      <c r="I1777" s="43"/>
    </row>
    <row r="1778" ht="12.75" customHeight="1">
      <c r="A1778" s="48" t="s">
        <v>44</v>
      </c>
      <c r="B1778" s="48" t="s">
        <v>30</v>
      </c>
      <c r="C1778" s="48" t="s">
        <v>5</v>
      </c>
      <c r="D1778" s="48" t="s">
        <v>50</v>
      </c>
      <c r="E1778" s="48"/>
      <c r="F1778" s="48">
        <v>-77009.5</v>
      </c>
      <c r="G1778" s="43"/>
      <c r="H1778" s="43"/>
      <c r="I1778" s="43"/>
    </row>
    <row r="1779" ht="12.75" customHeight="1">
      <c r="A1779" s="48" t="s">
        <v>44</v>
      </c>
      <c r="B1779" s="48" t="s">
        <v>30</v>
      </c>
      <c r="C1779" s="48" t="s">
        <v>5</v>
      </c>
      <c r="D1779" s="48" t="s">
        <v>50</v>
      </c>
      <c r="E1779" s="48"/>
      <c r="F1779" s="48">
        <v>0.0</v>
      </c>
      <c r="G1779" s="43"/>
      <c r="H1779" s="43"/>
      <c r="I1779" s="43"/>
    </row>
    <row r="1780" ht="12.75" customHeight="1">
      <c r="A1780" s="48" t="s">
        <v>44</v>
      </c>
      <c r="B1780" s="48" t="s">
        <v>30</v>
      </c>
      <c r="C1780" s="48" t="s">
        <v>5</v>
      </c>
      <c r="D1780" s="48" t="s">
        <v>50</v>
      </c>
      <c r="E1780" s="48"/>
      <c r="F1780" s="48">
        <v>7487.1</v>
      </c>
      <c r="G1780" s="43"/>
      <c r="H1780" s="43"/>
      <c r="I1780" s="43"/>
    </row>
    <row r="1781" ht="12.75" customHeight="1">
      <c r="A1781" s="48" t="s">
        <v>44</v>
      </c>
      <c r="B1781" s="48" t="s">
        <v>30</v>
      </c>
      <c r="C1781" s="48" t="s">
        <v>5</v>
      </c>
      <c r="D1781" s="48" t="s">
        <v>50</v>
      </c>
      <c r="E1781" s="48"/>
      <c r="F1781" s="48">
        <v>6556.5</v>
      </c>
      <c r="G1781" s="43"/>
      <c r="H1781" s="43"/>
      <c r="I1781" s="43"/>
    </row>
    <row r="1782" ht="12.75" customHeight="1">
      <c r="A1782" s="48" t="s">
        <v>44</v>
      </c>
      <c r="B1782" s="48" t="s">
        <v>30</v>
      </c>
      <c r="C1782" s="48" t="s">
        <v>5</v>
      </c>
      <c r="D1782" s="48" t="s">
        <v>50</v>
      </c>
      <c r="E1782" s="48"/>
      <c r="F1782" s="48">
        <v>18424.0</v>
      </c>
      <c r="G1782" s="43"/>
      <c r="H1782" s="43"/>
      <c r="I1782" s="43"/>
    </row>
    <row r="1783" ht="12.75" customHeight="1">
      <c r="A1783" s="48" t="s">
        <v>44</v>
      </c>
      <c r="B1783" s="48" t="s">
        <v>30</v>
      </c>
      <c r="C1783" s="48" t="s">
        <v>5</v>
      </c>
      <c r="D1783" s="48" t="s">
        <v>50</v>
      </c>
      <c r="E1783" s="48"/>
      <c r="F1783" s="48">
        <v>5611.8</v>
      </c>
      <c r="G1783" s="43"/>
      <c r="H1783" s="43"/>
      <c r="I1783" s="43"/>
    </row>
    <row r="1784" ht="12.75" customHeight="1">
      <c r="A1784" s="48" t="s">
        <v>44</v>
      </c>
      <c r="B1784" s="48" t="s">
        <v>30</v>
      </c>
      <c r="C1784" s="48" t="s">
        <v>5</v>
      </c>
      <c r="D1784" s="48" t="s">
        <v>50</v>
      </c>
      <c r="E1784" s="48"/>
      <c r="F1784" s="48">
        <v>25239.0</v>
      </c>
      <c r="G1784" s="43"/>
      <c r="H1784" s="43"/>
      <c r="I1784" s="43"/>
    </row>
    <row r="1785" ht="12.75" customHeight="1">
      <c r="A1785" s="48" t="s">
        <v>44</v>
      </c>
      <c r="B1785" s="48" t="s">
        <v>30</v>
      </c>
      <c r="C1785" s="48" t="s">
        <v>5</v>
      </c>
      <c r="D1785" s="48" t="s">
        <v>50</v>
      </c>
      <c r="E1785" s="48"/>
      <c r="F1785" s="48">
        <v>0.0</v>
      </c>
      <c r="G1785" s="43"/>
      <c r="H1785" s="43"/>
      <c r="I1785" s="43"/>
    </row>
    <row r="1786" ht="12.75" customHeight="1">
      <c r="A1786" s="48" t="s">
        <v>44</v>
      </c>
      <c r="B1786" s="48" t="s">
        <v>30</v>
      </c>
      <c r="C1786" s="48" t="s">
        <v>5</v>
      </c>
      <c r="D1786" s="48" t="s">
        <v>47</v>
      </c>
      <c r="E1786" s="48"/>
      <c r="F1786" s="48">
        <v>0.0</v>
      </c>
      <c r="G1786" s="43"/>
      <c r="H1786" s="43"/>
      <c r="I1786" s="43"/>
    </row>
    <row r="1787" ht="12.75" customHeight="1">
      <c r="A1787" s="48" t="s">
        <v>44</v>
      </c>
      <c r="B1787" s="48" t="s">
        <v>30</v>
      </c>
      <c r="C1787" s="48" t="s">
        <v>5</v>
      </c>
      <c r="D1787" s="48" t="s">
        <v>47</v>
      </c>
      <c r="E1787" s="48"/>
      <c r="F1787" s="48">
        <v>-178.6</v>
      </c>
      <c r="G1787" s="43"/>
      <c r="H1787" s="43"/>
      <c r="I1787" s="43"/>
    </row>
    <row r="1788" ht="12.75" customHeight="1">
      <c r="A1788" s="48" t="s">
        <v>44</v>
      </c>
      <c r="B1788" s="48" t="s">
        <v>30</v>
      </c>
      <c r="C1788" s="48" t="s">
        <v>5</v>
      </c>
      <c r="D1788" s="48" t="s">
        <v>47</v>
      </c>
      <c r="E1788" s="48"/>
      <c r="F1788" s="48">
        <v>211551.7</v>
      </c>
      <c r="G1788" s="43"/>
      <c r="H1788" s="43"/>
      <c r="I1788" s="43"/>
    </row>
    <row r="1789" ht="12.75" customHeight="1">
      <c r="A1789" s="48" t="s">
        <v>44</v>
      </c>
      <c r="B1789" s="48" t="s">
        <v>30</v>
      </c>
      <c r="C1789" s="48" t="s">
        <v>5</v>
      </c>
      <c r="D1789" s="48" t="s">
        <v>47</v>
      </c>
      <c r="E1789" s="48"/>
      <c r="F1789" s="48">
        <v>0.0</v>
      </c>
      <c r="G1789" s="43"/>
      <c r="H1789" s="43"/>
      <c r="I1789" s="43"/>
    </row>
    <row r="1790" ht="12.75" customHeight="1">
      <c r="A1790" s="48" t="s">
        <v>44</v>
      </c>
      <c r="B1790" s="48" t="s">
        <v>30</v>
      </c>
      <c r="C1790" s="48" t="s">
        <v>5</v>
      </c>
      <c r="D1790" s="48" t="s">
        <v>47</v>
      </c>
      <c r="E1790" s="48"/>
      <c r="F1790" s="48">
        <v>7910.1</v>
      </c>
      <c r="G1790" s="43"/>
      <c r="H1790" s="43"/>
      <c r="I1790" s="43"/>
    </row>
    <row r="1791" ht="12.75" customHeight="1">
      <c r="A1791" s="48" t="s">
        <v>44</v>
      </c>
      <c r="B1791" s="48" t="s">
        <v>30</v>
      </c>
      <c r="C1791" s="48" t="s">
        <v>61</v>
      </c>
      <c r="D1791" s="48" t="s">
        <v>53</v>
      </c>
      <c r="E1791" s="48"/>
      <c r="F1791" s="48">
        <v>3243.0</v>
      </c>
      <c r="G1791" s="43"/>
      <c r="H1791" s="43"/>
      <c r="I1791" s="43"/>
    </row>
    <row r="1792" ht="12.75" customHeight="1">
      <c r="A1792" s="48" t="s">
        <v>44</v>
      </c>
      <c r="B1792" s="48" t="s">
        <v>30</v>
      </c>
      <c r="C1792" s="48" t="s">
        <v>61</v>
      </c>
      <c r="D1792" s="48" t="s">
        <v>53</v>
      </c>
      <c r="E1792" s="48"/>
      <c r="F1792" s="48">
        <v>0.0</v>
      </c>
      <c r="G1792" s="43"/>
      <c r="H1792" s="43"/>
      <c r="I1792" s="43"/>
    </row>
    <row r="1793" ht="12.75" customHeight="1">
      <c r="A1793" s="48" t="s">
        <v>44</v>
      </c>
      <c r="B1793" s="48" t="s">
        <v>30</v>
      </c>
      <c r="C1793" s="48" t="s">
        <v>61</v>
      </c>
      <c r="D1793" s="48" t="s">
        <v>54</v>
      </c>
      <c r="E1793" s="48"/>
      <c r="F1793" s="48">
        <v>12492.6</v>
      </c>
      <c r="G1793" s="43"/>
      <c r="H1793" s="43"/>
      <c r="I1793" s="43"/>
    </row>
    <row r="1794" ht="12.75" customHeight="1">
      <c r="A1794" s="48" t="s">
        <v>44</v>
      </c>
      <c r="B1794" s="48" t="s">
        <v>30</v>
      </c>
      <c r="C1794" s="48" t="s">
        <v>61</v>
      </c>
      <c r="D1794" s="48" t="s">
        <v>50</v>
      </c>
      <c r="E1794" s="48"/>
      <c r="F1794" s="48">
        <v>126.9</v>
      </c>
      <c r="G1794" s="43"/>
      <c r="H1794" s="43"/>
      <c r="I1794" s="43"/>
    </row>
    <row r="1795" ht="12.75" customHeight="1">
      <c r="A1795" s="48" t="s">
        <v>44</v>
      </c>
      <c r="B1795" s="48" t="s">
        <v>30</v>
      </c>
      <c r="C1795" s="48" t="s">
        <v>61</v>
      </c>
      <c r="D1795" s="48" t="s">
        <v>50</v>
      </c>
      <c r="E1795" s="48"/>
      <c r="F1795" s="48">
        <v>6565.900000000001</v>
      </c>
      <c r="G1795" s="43"/>
      <c r="H1795" s="43"/>
      <c r="I1795" s="43"/>
    </row>
    <row r="1796" ht="12.75" customHeight="1">
      <c r="A1796" s="48" t="s">
        <v>44</v>
      </c>
      <c r="B1796" s="48" t="s">
        <v>30</v>
      </c>
      <c r="C1796" s="48" t="s">
        <v>61</v>
      </c>
      <c r="D1796" s="48" t="s">
        <v>50</v>
      </c>
      <c r="E1796" s="48"/>
      <c r="F1796" s="48">
        <v>-9056.9</v>
      </c>
      <c r="G1796" s="43"/>
      <c r="H1796" s="43"/>
      <c r="I1796" s="43"/>
    </row>
    <row r="1797" ht="12.75" customHeight="1">
      <c r="A1797" s="48" t="s">
        <v>44</v>
      </c>
      <c r="B1797" s="48" t="s">
        <v>30</v>
      </c>
      <c r="C1797" s="48" t="s">
        <v>61</v>
      </c>
      <c r="D1797" s="48" t="s">
        <v>50</v>
      </c>
      <c r="E1797" s="48"/>
      <c r="F1797" s="48">
        <v>9559.800000000001</v>
      </c>
      <c r="G1797" s="43"/>
      <c r="H1797" s="43"/>
      <c r="I1797" s="43"/>
    </row>
    <row r="1798" ht="12.75" customHeight="1">
      <c r="A1798" s="48" t="s">
        <v>44</v>
      </c>
      <c r="B1798" s="48" t="s">
        <v>30</v>
      </c>
      <c r="C1798" s="48" t="s">
        <v>61</v>
      </c>
      <c r="D1798" s="48" t="s">
        <v>50</v>
      </c>
      <c r="E1798" s="48"/>
      <c r="F1798" s="48">
        <v>0.0</v>
      </c>
      <c r="G1798" s="43"/>
      <c r="H1798" s="43"/>
      <c r="I1798" s="43"/>
    </row>
    <row r="1799" ht="12.75" customHeight="1">
      <c r="A1799" s="48" t="s">
        <v>44</v>
      </c>
      <c r="B1799" s="48" t="s">
        <v>30</v>
      </c>
      <c r="C1799" s="48" t="s">
        <v>61</v>
      </c>
      <c r="D1799" s="48" t="s">
        <v>47</v>
      </c>
      <c r="E1799" s="48"/>
      <c r="F1799" s="48">
        <v>4497.900000000001</v>
      </c>
      <c r="G1799" s="43"/>
      <c r="H1799" s="43"/>
      <c r="I1799" s="43"/>
    </row>
    <row r="1800" ht="12.75" customHeight="1">
      <c r="A1800" s="48" t="s">
        <v>44</v>
      </c>
      <c r="B1800" s="48" t="s">
        <v>30</v>
      </c>
      <c r="C1800" s="48" t="s">
        <v>61</v>
      </c>
      <c r="D1800" s="48" t="s">
        <v>47</v>
      </c>
      <c r="E1800" s="48"/>
      <c r="F1800" s="48">
        <v>55836.0</v>
      </c>
      <c r="G1800" s="43"/>
      <c r="H1800" s="43"/>
      <c r="I1800" s="43"/>
    </row>
    <row r="1801" ht="12.75" customHeight="1">
      <c r="A1801" s="48" t="s">
        <v>44</v>
      </c>
      <c r="B1801" s="48" t="s">
        <v>30</v>
      </c>
      <c r="C1801" s="48" t="s">
        <v>61</v>
      </c>
      <c r="D1801" s="48" t="s">
        <v>47</v>
      </c>
      <c r="E1801" s="48"/>
      <c r="F1801" s="48">
        <v>352.5</v>
      </c>
      <c r="G1801" s="43"/>
      <c r="H1801" s="43"/>
      <c r="I1801" s="43"/>
    </row>
    <row r="1802" ht="12.75" customHeight="1">
      <c r="A1802" s="48" t="s">
        <v>44</v>
      </c>
      <c r="B1802" s="48" t="s">
        <v>30</v>
      </c>
      <c r="C1802" s="48" t="s">
        <v>61</v>
      </c>
      <c r="D1802" s="48" t="s">
        <v>47</v>
      </c>
      <c r="E1802" s="48"/>
      <c r="F1802" s="48">
        <v>0.0</v>
      </c>
      <c r="G1802" s="43"/>
      <c r="H1802" s="43"/>
      <c r="I1802" s="43"/>
    </row>
    <row r="1803" ht="12.75" customHeight="1">
      <c r="A1803" s="48" t="s">
        <v>44</v>
      </c>
      <c r="B1803" s="48" t="s">
        <v>28</v>
      </c>
      <c r="C1803" s="48" t="s">
        <v>72</v>
      </c>
      <c r="D1803" s="48" t="s">
        <v>58</v>
      </c>
      <c r="E1803" s="48"/>
      <c r="F1803" s="48">
        <v>-6758.6</v>
      </c>
      <c r="G1803" s="43"/>
      <c r="H1803" s="43"/>
      <c r="I1803" s="43"/>
    </row>
    <row r="1804" ht="12.75" customHeight="1">
      <c r="A1804" s="48" t="s">
        <v>44</v>
      </c>
      <c r="B1804" s="48" t="s">
        <v>28</v>
      </c>
      <c r="C1804" s="48" t="s">
        <v>67</v>
      </c>
      <c r="D1804" s="48" t="s">
        <v>49</v>
      </c>
      <c r="E1804" s="48"/>
      <c r="F1804" s="48">
        <v>13930.800000000001</v>
      </c>
      <c r="G1804" s="43"/>
      <c r="H1804" s="43"/>
      <c r="I1804" s="43"/>
    </row>
    <row r="1805" ht="12.75" customHeight="1">
      <c r="A1805" s="48" t="s">
        <v>44</v>
      </c>
      <c r="B1805" s="48" t="s">
        <v>28</v>
      </c>
      <c r="C1805" s="48" t="s">
        <v>48</v>
      </c>
      <c r="D1805" s="48" t="s">
        <v>54</v>
      </c>
      <c r="E1805" s="48"/>
      <c r="F1805" s="48">
        <v>141.0</v>
      </c>
      <c r="G1805" s="43"/>
      <c r="H1805" s="43"/>
      <c r="I1805" s="43"/>
    </row>
    <row r="1806" ht="12.75" customHeight="1">
      <c r="A1806" s="48" t="s">
        <v>44</v>
      </c>
      <c r="B1806" s="48" t="s">
        <v>28</v>
      </c>
      <c r="C1806" s="48" t="s">
        <v>48</v>
      </c>
      <c r="D1806" s="48" t="s">
        <v>54</v>
      </c>
      <c r="E1806" s="48"/>
      <c r="F1806" s="48">
        <v>470.0</v>
      </c>
      <c r="G1806" s="43"/>
      <c r="H1806" s="43"/>
      <c r="I1806" s="43"/>
    </row>
    <row r="1807" ht="12.75" customHeight="1">
      <c r="A1807" s="48" t="s">
        <v>44</v>
      </c>
      <c r="B1807" s="48" t="s">
        <v>28</v>
      </c>
      <c r="C1807" s="48" t="s">
        <v>48</v>
      </c>
      <c r="D1807" s="48" t="s">
        <v>49</v>
      </c>
      <c r="E1807" s="48"/>
      <c r="F1807" s="48">
        <v>-676.8000000000001</v>
      </c>
      <c r="G1807" s="43"/>
      <c r="H1807" s="43"/>
      <c r="I1807" s="43"/>
    </row>
    <row r="1808" ht="12.75" customHeight="1">
      <c r="A1808" s="48" t="s">
        <v>44</v>
      </c>
      <c r="B1808" s="48" t="s">
        <v>28</v>
      </c>
      <c r="C1808" s="48" t="s">
        <v>48</v>
      </c>
      <c r="D1808" s="48" t="s">
        <v>49</v>
      </c>
      <c r="E1808" s="48"/>
      <c r="F1808" s="48">
        <v>1048.1000000000001</v>
      </c>
      <c r="G1808" s="43"/>
      <c r="H1808" s="43"/>
      <c r="I1808" s="43"/>
    </row>
    <row r="1809" ht="12.75" customHeight="1">
      <c r="A1809" s="48" t="s">
        <v>44</v>
      </c>
      <c r="B1809" s="48" t="s">
        <v>28</v>
      </c>
      <c r="C1809" s="48" t="s">
        <v>48</v>
      </c>
      <c r="D1809" s="48" t="s">
        <v>49</v>
      </c>
      <c r="E1809" s="48"/>
      <c r="F1809" s="48">
        <v>141.0</v>
      </c>
      <c r="G1809" s="43"/>
      <c r="H1809" s="43"/>
      <c r="I1809" s="43"/>
    </row>
    <row r="1810" ht="12.75" customHeight="1">
      <c r="A1810" s="48" t="s">
        <v>44</v>
      </c>
      <c r="B1810" s="48" t="s">
        <v>28</v>
      </c>
      <c r="C1810" s="48" t="s">
        <v>48</v>
      </c>
      <c r="D1810" s="48" t="s">
        <v>49</v>
      </c>
      <c r="E1810" s="48"/>
      <c r="F1810" s="48">
        <v>361.90000000000003</v>
      </c>
      <c r="G1810" s="43"/>
      <c r="H1810" s="43"/>
      <c r="I1810" s="43"/>
    </row>
    <row r="1811" ht="12.75" customHeight="1">
      <c r="A1811" s="48" t="s">
        <v>44</v>
      </c>
      <c r="B1811" s="48" t="s">
        <v>28</v>
      </c>
      <c r="C1811" s="48" t="s">
        <v>48</v>
      </c>
      <c r="D1811" s="48" t="s">
        <v>49</v>
      </c>
      <c r="E1811" s="48"/>
      <c r="F1811" s="48">
        <v>954.1</v>
      </c>
      <c r="G1811" s="43"/>
      <c r="H1811" s="43"/>
      <c r="I1811" s="43"/>
    </row>
    <row r="1812" ht="12.75" customHeight="1">
      <c r="A1812" s="48" t="s">
        <v>44</v>
      </c>
      <c r="B1812" s="48" t="s">
        <v>28</v>
      </c>
      <c r="C1812" s="48" t="s">
        <v>48</v>
      </c>
      <c r="D1812" s="48" t="s">
        <v>49</v>
      </c>
      <c r="E1812" s="48"/>
      <c r="F1812" s="48">
        <v>-357.2</v>
      </c>
      <c r="G1812" s="43"/>
      <c r="H1812" s="43"/>
      <c r="I1812" s="43"/>
    </row>
    <row r="1813" ht="12.75" customHeight="1">
      <c r="A1813" s="48" t="s">
        <v>44</v>
      </c>
      <c r="B1813" s="48" t="s">
        <v>28</v>
      </c>
      <c r="C1813" s="48" t="s">
        <v>48</v>
      </c>
      <c r="D1813" s="48" t="s">
        <v>49</v>
      </c>
      <c r="E1813" s="48"/>
      <c r="F1813" s="48">
        <v>-178.6</v>
      </c>
      <c r="G1813" s="43"/>
      <c r="H1813" s="43"/>
      <c r="I1813" s="43"/>
    </row>
    <row r="1814" ht="12.75" customHeight="1">
      <c r="A1814" s="48" t="s">
        <v>44</v>
      </c>
      <c r="B1814" s="48" t="s">
        <v>28</v>
      </c>
      <c r="C1814" s="48" t="s">
        <v>48</v>
      </c>
      <c r="D1814" s="48" t="s">
        <v>49</v>
      </c>
      <c r="E1814" s="48"/>
      <c r="F1814" s="48">
        <v>70.5</v>
      </c>
      <c r="G1814" s="43"/>
      <c r="H1814" s="43"/>
      <c r="I1814" s="43"/>
    </row>
    <row r="1815" ht="12.75" customHeight="1">
      <c r="A1815" s="48" t="s">
        <v>44</v>
      </c>
      <c r="B1815" s="48" t="s">
        <v>28</v>
      </c>
      <c r="C1815" s="48" t="s">
        <v>48</v>
      </c>
      <c r="D1815" s="48" t="s">
        <v>49</v>
      </c>
      <c r="E1815" s="48"/>
      <c r="F1815" s="48">
        <v>70.5</v>
      </c>
      <c r="G1815" s="43"/>
      <c r="H1815" s="43"/>
      <c r="I1815" s="43"/>
    </row>
    <row r="1816" ht="12.75" customHeight="1">
      <c r="A1816" s="48" t="s">
        <v>44</v>
      </c>
      <c r="B1816" s="48" t="s">
        <v>28</v>
      </c>
      <c r="C1816" s="48" t="s">
        <v>48</v>
      </c>
      <c r="D1816" s="48" t="s">
        <v>50</v>
      </c>
      <c r="E1816" s="48"/>
      <c r="F1816" s="48">
        <v>-99781.0</v>
      </c>
      <c r="G1816" s="43"/>
      <c r="H1816" s="43"/>
      <c r="I1816" s="43"/>
    </row>
    <row r="1817" ht="12.75" customHeight="1">
      <c r="A1817" s="48" t="s">
        <v>44</v>
      </c>
      <c r="B1817" s="48" t="s">
        <v>28</v>
      </c>
      <c r="C1817" s="48" t="s">
        <v>51</v>
      </c>
      <c r="D1817" s="48" t="s">
        <v>58</v>
      </c>
      <c r="E1817" s="48"/>
      <c r="F1817" s="48">
        <v>0.0</v>
      </c>
      <c r="G1817" s="43"/>
      <c r="H1817" s="43"/>
      <c r="I1817" s="43"/>
    </row>
    <row r="1818" ht="12.75" customHeight="1">
      <c r="A1818" s="48" t="s">
        <v>44</v>
      </c>
      <c r="B1818" s="48" t="s">
        <v>28</v>
      </c>
      <c r="C1818" s="48" t="s">
        <v>51</v>
      </c>
      <c r="D1818" s="48" t="s">
        <v>8</v>
      </c>
      <c r="E1818" s="48"/>
      <c r="F1818" s="48">
        <v>3962.1000000000004</v>
      </c>
      <c r="G1818" s="43"/>
      <c r="H1818" s="43"/>
      <c r="I1818" s="43"/>
    </row>
    <row r="1819" ht="12.75" customHeight="1">
      <c r="A1819" s="48" t="s">
        <v>44</v>
      </c>
      <c r="B1819" s="48" t="s">
        <v>28</v>
      </c>
      <c r="C1819" s="48" t="s">
        <v>51</v>
      </c>
      <c r="D1819" s="48" t="s">
        <v>54</v>
      </c>
      <c r="E1819" s="48"/>
      <c r="F1819" s="48">
        <v>282.0</v>
      </c>
      <c r="G1819" s="43"/>
      <c r="H1819" s="43"/>
      <c r="I1819" s="43"/>
    </row>
    <row r="1820" ht="12.75" customHeight="1">
      <c r="A1820" s="48" t="s">
        <v>44</v>
      </c>
      <c r="B1820" s="48" t="s">
        <v>28</v>
      </c>
      <c r="C1820" s="48" t="s">
        <v>51</v>
      </c>
      <c r="D1820" s="48" t="s">
        <v>54</v>
      </c>
      <c r="E1820" s="48"/>
      <c r="F1820" s="48">
        <v>1156.2</v>
      </c>
      <c r="G1820" s="43"/>
      <c r="H1820" s="43"/>
      <c r="I1820" s="43"/>
    </row>
    <row r="1821" ht="12.75" customHeight="1">
      <c r="A1821" s="48" t="s">
        <v>44</v>
      </c>
      <c r="B1821" s="48" t="s">
        <v>28</v>
      </c>
      <c r="C1821" s="48" t="s">
        <v>51</v>
      </c>
      <c r="D1821" s="48" t="s">
        <v>54</v>
      </c>
      <c r="E1821" s="48"/>
      <c r="F1821" s="48">
        <v>36392.1</v>
      </c>
      <c r="G1821" s="43"/>
      <c r="H1821" s="43"/>
      <c r="I1821" s="43"/>
    </row>
    <row r="1822" ht="12.75" customHeight="1">
      <c r="A1822" s="48" t="s">
        <v>44</v>
      </c>
      <c r="B1822" s="48" t="s">
        <v>28</v>
      </c>
      <c r="C1822" s="48" t="s">
        <v>51</v>
      </c>
      <c r="D1822" s="48" t="s">
        <v>50</v>
      </c>
      <c r="E1822" s="48"/>
      <c r="F1822" s="48">
        <v>7684.5</v>
      </c>
      <c r="G1822" s="43"/>
      <c r="H1822" s="43"/>
      <c r="I1822" s="43"/>
    </row>
    <row r="1823" ht="12.75" customHeight="1">
      <c r="A1823" s="48" t="s">
        <v>44</v>
      </c>
      <c r="B1823" s="48" t="s">
        <v>28</v>
      </c>
      <c r="C1823" s="48" t="s">
        <v>51</v>
      </c>
      <c r="D1823" s="48" t="s">
        <v>50</v>
      </c>
      <c r="E1823" s="48"/>
      <c r="F1823" s="48">
        <v>42403.4</v>
      </c>
      <c r="G1823" s="43"/>
      <c r="H1823" s="43"/>
      <c r="I1823" s="43"/>
    </row>
    <row r="1824" ht="12.75" customHeight="1">
      <c r="A1824" s="48" t="s">
        <v>44</v>
      </c>
      <c r="B1824" s="48" t="s">
        <v>28</v>
      </c>
      <c r="C1824" s="48" t="s">
        <v>51</v>
      </c>
      <c r="D1824" s="48" t="s">
        <v>50</v>
      </c>
      <c r="E1824" s="48"/>
      <c r="F1824" s="48">
        <v>10048.6</v>
      </c>
      <c r="G1824" s="43"/>
      <c r="H1824" s="43"/>
      <c r="I1824" s="43"/>
    </row>
    <row r="1825" ht="12.75" customHeight="1">
      <c r="A1825" s="48" t="s">
        <v>44</v>
      </c>
      <c r="B1825" s="48" t="s">
        <v>28</v>
      </c>
      <c r="C1825" s="48" t="s">
        <v>51</v>
      </c>
      <c r="D1825" s="48" t="s">
        <v>50</v>
      </c>
      <c r="E1825" s="48"/>
      <c r="F1825" s="48">
        <v>0.0</v>
      </c>
      <c r="G1825" s="43"/>
      <c r="H1825" s="43"/>
      <c r="I1825" s="43"/>
    </row>
    <row r="1826" ht="12.75" customHeight="1">
      <c r="A1826" s="48" t="s">
        <v>44</v>
      </c>
      <c r="B1826" s="48" t="s">
        <v>28</v>
      </c>
      <c r="C1826" s="48" t="s">
        <v>51</v>
      </c>
      <c r="D1826" s="48" t="s">
        <v>50</v>
      </c>
      <c r="E1826" s="48"/>
      <c r="F1826" s="48">
        <v>-276515.10000000003</v>
      </c>
      <c r="G1826" s="43"/>
      <c r="H1826" s="43"/>
      <c r="I1826" s="43"/>
    </row>
    <row r="1827" ht="12.75" customHeight="1">
      <c r="A1827" s="48" t="s">
        <v>44</v>
      </c>
      <c r="B1827" s="48" t="s">
        <v>28</v>
      </c>
      <c r="C1827" s="48" t="s">
        <v>51</v>
      </c>
      <c r="D1827" s="48" t="s">
        <v>47</v>
      </c>
      <c r="E1827" s="48"/>
      <c r="F1827" s="48">
        <v>2763.6</v>
      </c>
      <c r="G1827" s="43"/>
      <c r="H1827" s="43"/>
      <c r="I1827" s="43"/>
    </row>
    <row r="1828" ht="12.75" customHeight="1">
      <c r="A1828" s="48" t="s">
        <v>44</v>
      </c>
      <c r="B1828" s="48" t="s">
        <v>28</v>
      </c>
      <c r="C1828" s="48" t="s">
        <v>51</v>
      </c>
      <c r="D1828" s="48" t="s">
        <v>47</v>
      </c>
      <c r="E1828" s="48"/>
      <c r="F1828" s="48">
        <v>418.3</v>
      </c>
      <c r="G1828" s="43"/>
      <c r="H1828" s="43"/>
      <c r="I1828" s="43"/>
    </row>
    <row r="1829" ht="12.75" customHeight="1">
      <c r="A1829" s="48" t="s">
        <v>44</v>
      </c>
      <c r="B1829" s="48" t="s">
        <v>28</v>
      </c>
      <c r="C1829" s="48" t="s">
        <v>51</v>
      </c>
      <c r="D1829" s="48" t="s">
        <v>47</v>
      </c>
      <c r="E1829" s="48"/>
      <c r="F1829" s="48">
        <v>1287.8</v>
      </c>
      <c r="G1829" s="43"/>
      <c r="H1829" s="43"/>
      <c r="I1829" s="43"/>
    </row>
    <row r="1830" ht="12.75" customHeight="1">
      <c r="A1830" s="48" t="s">
        <v>44</v>
      </c>
      <c r="B1830" s="48" t="s">
        <v>28</v>
      </c>
      <c r="C1830" s="48" t="s">
        <v>73</v>
      </c>
      <c r="D1830" s="48" t="s">
        <v>54</v>
      </c>
      <c r="E1830" s="48"/>
      <c r="F1830" s="48">
        <v>282.0</v>
      </c>
      <c r="G1830" s="43"/>
      <c r="H1830" s="43"/>
      <c r="I1830" s="43"/>
    </row>
    <row r="1831" ht="12.75" customHeight="1">
      <c r="A1831" s="48" t="s">
        <v>44</v>
      </c>
      <c r="B1831" s="48" t="s">
        <v>28</v>
      </c>
      <c r="C1831" s="48" t="s">
        <v>73</v>
      </c>
      <c r="D1831" s="48" t="s">
        <v>50</v>
      </c>
      <c r="E1831" s="48"/>
      <c r="F1831" s="48">
        <v>1692.0</v>
      </c>
      <c r="G1831" s="43"/>
      <c r="H1831" s="43"/>
      <c r="I1831" s="43"/>
    </row>
    <row r="1832" ht="12.75" customHeight="1">
      <c r="A1832" s="48" t="s">
        <v>44</v>
      </c>
      <c r="B1832" s="48" t="s">
        <v>28</v>
      </c>
      <c r="C1832" s="48" t="s">
        <v>55</v>
      </c>
      <c r="D1832" s="48" t="s">
        <v>54</v>
      </c>
      <c r="E1832" s="48"/>
      <c r="F1832" s="48">
        <v>8732.6</v>
      </c>
      <c r="G1832" s="43"/>
      <c r="H1832" s="43"/>
      <c r="I1832" s="43"/>
    </row>
    <row r="1833" ht="12.75" customHeight="1">
      <c r="A1833" s="48" t="s">
        <v>44</v>
      </c>
      <c r="B1833" s="48" t="s">
        <v>28</v>
      </c>
      <c r="C1833" s="48" t="s">
        <v>54</v>
      </c>
      <c r="D1833" s="48" t="s">
        <v>8</v>
      </c>
      <c r="E1833" s="48"/>
      <c r="F1833" s="48">
        <v>1109.2</v>
      </c>
      <c r="G1833" s="43"/>
      <c r="H1833" s="43"/>
      <c r="I1833" s="43"/>
    </row>
    <row r="1834" ht="12.75" customHeight="1">
      <c r="A1834" s="48" t="s">
        <v>44</v>
      </c>
      <c r="B1834" s="48" t="s">
        <v>28</v>
      </c>
      <c r="C1834" s="48" t="s">
        <v>54</v>
      </c>
      <c r="D1834" s="48" t="s">
        <v>8</v>
      </c>
      <c r="E1834" s="48"/>
      <c r="F1834" s="48">
        <v>4526.1</v>
      </c>
      <c r="G1834" s="43"/>
      <c r="H1834" s="43"/>
      <c r="I1834" s="43"/>
    </row>
    <row r="1835" ht="12.75" customHeight="1">
      <c r="A1835" s="48" t="s">
        <v>44</v>
      </c>
      <c r="B1835" s="48" t="s">
        <v>28</v>
      </c>
      <c r="C1835" s="48" t="s">
        <v>54</v>
      </c>
      <c r="D1835" s="48" t="s">
        <v>54</v>
      </c>
      <c r="E1835" s="48"/>
      <c r="F1835" s="48">
        <v>0.0</v>
      </c>
      <c r="G1835" s="43"/>
      <c r="H1835" s="43"/>
      <c r="I1835" s="43"/>
    </row>
    <row r="1836" ht="12.75" customHeight="1">
      <c r="A1836" s="48" t="s">
        <v>44</v>
      </c>
      <c r="B1836" s="48" t="s">
        <v>28</v>
      </c>
      <c r="C1836" s="48" t="s">
        <v>54</v>
      </c>
      <c r="D1836" s="48" t="s">
        <v>54</v>
      </c>
      <c r="E1836" s="48"/>
      <c r="F1836" s="48">
        <v>254782.30000000002</v>
      </c>
      <c r="G1836" s="43"/>
      <c r="H1836" s="43"/>
      <c r="I1836" s="43"/>
    </row>
    <row r="1837" ht="12.75" customHeight="1">
      <c r="A1837" s="48" t="s">
        <v>44</v>
      </c>
      <c r="B1837" s="48" t="s">
        <v>28</v>
      </c>
      <c r="C1837" s="48" t="s">
        <v>54</v>
      </c>
      <c r="D1837" s="48" t="s">
        <v>54</v>
      </c>
      <c r="E1837" s="48"/>
      <c r="F1837" s="48">
        <v>202.1</v>
      </c>
      <c r="G1837" s="43"/>
      <c r="H1837" s="43"/>
      <c r="I1837" s="43"/>
    </row>
    <row r="1838" ht="12.75" customHeight="1">
      <c r="A1838" s="48" t="s">
        <v>44</v>
      </c>
      <c r="B1838" s="48" t="s">
        <v>28</v>
      </c>
      <c r="C1838" s="48" t="s">
        <v>54</v>
      </c>
      <c r="D1838" s="48" t="s">
        <v>54</v>
      </c>
      <c r="E1838" s="48"/>
      <c r="F1838" s="48">
        <v>347.8</v>
      </c>
      <c r="G1838" s="43"/>
      <c r="H1838" s="43"/>
      <c r="I1838" s="43"/>
    </row>
    <row r="1839" ht="12.75" customHeight="1">
      <c r="A1839" s="48" t="s">
        <v>44</v>
      </c>
      <c r="B1839" s="48" t="s">
        <v>28</v>
      </c>
      <c r="C1839" s="48" t="s">
        <v>54</v>
      </c>
      <c r="D1839" s="48" t="s">
        <v>54</v>
      </c>
      <c r="E1839" s="48"/>
      <c r="F1839" s="48">
        <v>-285040.9</v>
      </c>
      <c r="G1839" s="43"/>
      <c r="H1839" s="43"/>
      <c r="I1839" s="43"/>
    </row>
    <row r="1840" ht="12.75" customHeight="1">
      <c r="A1840" s="48" t="s">
        <v>44</v>
      </c>
      <c r="B1840" s="48" t="s">
        <v>28</v>
      </c>
      <c r="C1840" s="48" t="s">
        <v>54</v>
      </c>
      <c r="D1840" s="48" t="s">
        <v>54</v>
      </c>
      <c r="E1840" s="48"/>
      <c r="F1840" s="48">
        <v>267.90000000000003</v>
      </c>
      <c r="G1840" s="43"/>
      <c r="H1840" s="43"/>
      <c r="I1840" s="43"/>
    </row>
    <row r="1841" ht="12.75" customHeight="1">
      <c r="A1841" s="48" t="s">
        <v>44</v>
      </c>
      <c r="B1841" s="48" t="s">
        <v>28</v>
      </c>
      <c r="C1841" s="48" t="s">
        <v>54</v>
      </c>
      <c r="D1841" s="48" t="s">
        <v>54</v>
      </c>
      <c r="E1841" s="48"/>
      <c r="F1841" s="48">
        <v>155.1</v>
      </c>
      <c r="G1841" s="43"/>
      <c r="H1841" s="43"/>
      <c r="I1841" s="43"/>
    </row>
    <row r="1842" ht="12.75" customHeight="1">
      <c r="A1842" s="48" t="s">
        <v>44</v>
      </c>
      <c r="B1842" s="48" t="s">
        <v>28</v>
      </c>
      <c r="C1842" s="48" t="s">
        <v>54</v>
      </c>
      <c r="D1842" s="48" t="s">
        <v>47</v>
      </c>
      <c r="E1842" s="48"/>
      <c r="F1842" s="48">
        <v>16186.800000000001</v>
      </c>
      <c r="G1842" s="43"/>
      <c r="H1842" s="43"/>
      <c r="I1842" s="43"/>
    </row>
    <row r="1843" ht="12.75" customHeight="1">
      <c r="A1843" s="48" t="s">
        <v>44</v>
      </c>
      <c r="B1843" s="48" t="s">
        <v>28</v>
      </c>
      <c r="C1843" s="48" t="s">
        <v>54</v>
      </c>
      <c r="D1843" s="48" t="s">
        <v>47</v>
      </c>
      <c r="E1843" s="48"/>
      <c r="F1843" s="48">
        <v>4803.400000000001</v>
      </c>
      <c r="G1843" s="43"/>
      <c r="H1843" s="43"/>
      <c r="I1843" s="43"/>
    </row>
    <row r="1844" ht="12.75" customHeight="1">
      <c r="A1844" s="48" t="s">
        <v>44</v>
      </c>
      <c r="B1844" s="48" t="s">
        <v>28</v>
      </c>
      <c r="C1844" s="48" t="s">
        <v>54</v>
      </c>
      <c r="D1844" s="48" t="s">
        <v>47</v>
      </c>
      <c r="E1844" s="48"/>
      <c r="F1844" s="48">
        <v>4455.6</v>
      </c>
      <c r="G1844" s="43"/>
      <c r="H1844" s="43"/>
      <c r="I1844" s="43"/>
    </row>
    <row r="1845" ht="12.75" customHeight="1">
      <c r="A1845" s="48" t="s">
        <v>44</v>
      </c>
      <c r="B1845" s="48" t="s">
        <v>28</v>
      </c>
      <c r="C1845" s="48" t="s">
        <v>71</v>
      </c>
      <c r="D1845" s="48" t="s">
        <v>50</v>
      </c>
      <c r="E1845" s="48"/>
      <c r="F1845" s="48">
        <v>1522.8</v>
      </c>
      <c r="G1845" s="43"/>
      <c r="H1845" s="43"/>
      <c r="I1845" s="43"/>
    </row>
    <row r="1846" ht="12.75" customHeight="1">
      <c r="A1846" s="48" t="s">
        <v>44</v>
      </c>
      <c r="B1846" s="48" t="s">
        <v>29</v>
      </c>
      <c r="C1846" s="48" t="s">
        <v>56</v>
      </c>
      <c r="D1846" s="48" t="s">
        <v>58</v>
      </c>
      <c r="E1846" s="48"/>
      <c r="F1846" s="48">
        <v>0.0</v>
      </c>
      <c r="G1846" s="43"/>
      <c r="H1846" s="43"/>
      <c r="I1846" s="43"/>
    </row>
    <row r="1847" ht="12.75" customHeight="1">
      <c r="A1847" s="48" t="s">
        <v>44</v>
      </c>
      <c r="B1847" s="48" t="s">
        <v>29</v>
      </c>
      <c r="C1847" s="48" t="s">
        <v>56</v>
      </c>
      <c r="D1847" s="48" t="s">
        <v>58</v>
      </c>
      <c r="E1847" s="48"/>
      <c r="F1847" s="48">
        <v>14100.0</v>
      </c>
      <c r="G1847" s="43"/>
      <c r="H1847" s="43"/>
      <c r="I1847" s="43"/>
    </row>
    <row r="1848" ht="12.75" customHeight="1">
      <c r="A1848" s="48" t="s">
        <v>44</v>
      </c>
      <c r="B1848" s="48" t="s">
        <v>29</v>
      </c>
      <c r="C1848" s="48" t="s">
        <v>56</v>
      </c>
      <c r="D1848" s="48" t="s">
        <v>58</v>
      </c>
      <c r="E1848" s="48"/>
      <c r="F1848" s="48">
        <v>23265.0</v>
      </c>
      <c r="G1848" s="43"/>
      <c r="H1848" s="43"/>
      <c r="I1848" s="43"/>
    </row>
    <row r="1849" ht="12.75" customHeight="1">
      <c r="A1849" s="48" t="s">
        <v>44</v>
      </c>
      <c r="B1849" s="48" t="s">
        <v>29</v>
      </c>
      <c r="C1849" s="48" t="s">
        <v>56</v>
      </c>
      <c r="D1849" s="48" t="s">
        <v>58</v>
      </c>
      <c r="E1849" s="48"/>
      <c r="F1849" s="48">
        <v>22560.0</v>
      </c>
      <c r="G1849" s="43"/>
      <c r="H1849" s="43"/>
      <c r="I1849" s="43"/>
    </row>
    <row r="1850" ht="12.75" customHeight="1">
      <c r="A1850" s="48" t="s">
        <v>44</v>
      </c>
      <c r="B1850" s="48" t="s">
        <v>29</v>
      </c>
      <c r="C1850" s="48" t="s">
        <v>56</v>
      </c>
      <c r="D1850" s="48" t="s">
        <v>8</v>
      </c>
      <c r="E1850" s="48"/>
      <c r="F1850" s="48">
        <v>0.0</v>
      </c>
      <c r="G1850" s="43"/>
      <c r="H1850" s="43"/>
      <c r="I1850" s="43"/>
    </row>
    <row r="1851" ht="12.75" customHeight="1">
      <c r="A1851" s="48" t="s">
        <v>44</v>
      </c>
      <c r="B1851" s="48" t="s">
        <v>29</v>
      </c>
      <c r="C1851" s="48" t="s">
        <v>56</v>
      </c>
      <c r="D1851" s="48" t="s">
        <v>54</v>
      </c>
      <c r="E1851" s="48"/>
      <c r="F1851" s="48">
        <v>0.0</v>
      </c>
      <c r="G1851" s="43"/>
      <c r="H1851" s="43"/>
      <c r="I1851" s="43"/>
    </row>
    <row r="1852" ht="12.75" customHeight="1">
      <c r="A1852" s="48" t="s">
        <v>44</v>
      </c>
      <c r="B1852" s="48" t="s">
        <v>29</v>
      </c>
      <c r="C1852" s="48" t="s">
        <v>56</v>
      </c>
      <c r="D1852" s="48" t="s">
        <v>54</v>
      </c>
      <c r="E1852" s="48"/>
      <c r="F1852" s="48">
        <v>124822.6</v>
      </c>
      <c r="G1852" s="43"/>
      <c r="H1852" s="43"/>
      <c r="I1852" s="43"/>
    </row>
    <row r="1853" ht="12.75" customHeight="1">
      <c r="A1853" s="48" t="s">
        <v>44</v>
      </c>
      <c r="B1853" s="48" t="s">
        <v>29</v>
      </c>
      <c r="C1853" s="48" t="s">
        <v>56</v>
      </c>
      <c r="D1853" s="48" t="s">
        <v>49</v>
      </c>
      <c r="E1853" s="48"/>
      <c r="F1853" s="48">
        <v>4803.400000000001</v>
      </c>
      <c r="G1853" s="43"/>
      <c r="H1853" s="43"/>
      <c r="I1853" s="43"/>
    </row>
    <row r="1854" ht="12.75" customHeight="1">
      <c r="A1854" s="48" t="s">
        <v>44</v>
      </c>
      <c r="B1854" s="48" t="s">
        <v>29</v>
      </c>
      <c r="C1854" s="48" t="s">
        <v>56</v>
      </c>
      <c r="D1854" s="48" t="s">
        <v>50</v>
      </c>
      <c r="E1854" s="48"/>
      <c r="F1854" s="48">
        <v>9080.4</v>
      </c>
      <c r="G1854" s="43"/>
      <c r="H1854" s="43"/>
      <c r="I1854" s="43"/>
    </row>
    <row r="1855" ht="12.75" customHeight="1">
      <c r="A1855" s="48" t="s">
        <v>44</v>
      </c>
      <c r="B1855" s="48" t="s">
        <v>29</v>
      </c>
      <c r="C1855" s="48" t="s">
        <v>56</v>
      </c>
      <c r="D1855" s="48" t="s">
        <v>50</v>
      </c>
      <c r="E1855" s="48"/>
      <c r="F1855" s="48">
        <v>10137.9</v>
      </c>
      <c r="G1855" s="43"/>
      <c r="H1855" s="43"/>
      <c r="I1855" s="43"/>
    </row>
    <row r="1856" ht="12.75" customHeight="1">
      <c r="A1856" s="48" t="s">
        <v>44</v>
      </c>
      <c r="B1856" s="48" t="s">
        <v>29</v>
      </c>
      <c r="C1856" s="48" t="s">
        <v>56</v>
      </c>
      <c r="D1856" s="48" t="s">
        <v>50</v>
      </c>
      <c r="E1856" s="48"/>
      <c r="F1856" s="48">
        <v>12722.9</v>
      </c>
      <c r="G1856" s="43"/>
      <c r="H1856" s="43"/>
      <c r="I1856" s="43"/>
    </row>
    <row r="1857" ht="12.75" customHeight="1">
      <c r="A1857" s="48" t="s">
        <v>44</v>
      </c>
      <c r="B1857" s="48" t="s">
        <v>29</v>
      </c>
      <c r="C1857" s="48" t="s">
        <v>56</v>
      </c>
      <c r="D1857" s="48" t="s">
        <v>50</v>
      </c>
      <c r="E1857" s="48"/>
      <c r="F1857" s="48">
        <v>10203.7</v>
      </c>
      <c r="G1857" s="43"/>
      <c r="H1857" s="43"/>
      <c r="I1857" s="43"/>
    </row>
    <row r="1858" ht="12.75" customHeight="1">
      <c r="A1858" s="48" t="s">
        <v>44</v>
      </c>
      <c r="B1858" s="48" t="s">
        <v>29</v>
      </c>
      <c r="C1858" s="48" t="s">
        <v>56</v>
      </c>
      <c r="D1858" s="48" t="s">
        <v>50</v>
      </c>
      <c r="E1858" s="48"/>
      <c r="F1858" s="48">
        <v>883.6</v>
      </c>
      <c r="G1858" s="43"/>
      <c r="H1858" s="43"/>
      <c r="I1858" s="43"/>
    </row>
    <row r="1859" ht="12.75" customHeight="1">
      <c r="A1859" s="48" t="s">
        <v>44</v>
      </c>
      <c r="B1859" s="48" t="s">
        <v>29</v>
      </c>
      <c r="C1859" s="48" t="s">
        <v>56</v>
      </c>
      <c r="D1859" s="48" t="s">
        <v>50</v>
      </c>
      <c r="E1859" s="48"/>
      <c r="F1859" s="48">
        <v>0.0</v>
      </c>
      <c r="G1859" s="43"/>
      <c r="H1859" s="43"/>
      <c r="I1859" s="43"/>
    </row>
    <row r="1860" ht="12.75" customHeight="1">
      <c r="A1860" s="48" t="s">
        <v>44</v>
      </c>
      <c r="B1860" s="48" t="s">
        <v>29</v>
      </c>
      <c r="C1860" s="48" t="s">
        <v>56</v>
      </c>
      <c r="D1860" s="48" t="s">
        <v>50</v>
      </c>
      <c r="E1860" s="48"/>
      <c r="F1860" s="48">
        <v>-808254.3</v>
      </c>
      <c r="G1860" s="43"/>
      <c r="H1860" s="43"/>
      <c r="I1860" s="43"/>
    </row>
    <row r="1861" ht="12.75" customHeight="1">
      <c r="A1861" s="48" t="s">
        <v>44</v>
      </c>
      <c r="B1861" s="48" t="s">
        <v>29</v>
      </c>
      <c r="C1861" s="48" t="s">
        <v>56</v>
      </c>
      <c r="D1861" s="48" t="s">
        <v>50</v>
      </c>
      <c r="E1861" s="48"/>
      <c r="F1861" s="48">
        <v>21493.100000000002</v>
      </c>
      <c r="G1861" s="43"/>
      <c r="H1861" s="43"/>
      <c r="I1861" s="43"/>
    </row>
    <row r="1862" ht="12.75" customHeight="1">
      <c r="A1862" s="48" t="s">
        <v>44</v>
      </c>
      <c r="B1862" s="48" t="s">
        <v>29</v>
      </c>
      <c r="C1862" s="48" t="s">
        <v>56</v>
      </c>
      <c r="D1862" s="48" t="s">
        <v>50</v>
      </c>
      <c r="E1862" s="48"/>
      <c r="F1862" s="48">
        <v>11590.2</v>
      </c>
      <c r="G1862" s="43"/>
      <c r="H1862" s="43"/>
      <c r="I1862" s="43"/>
    </row>
    <row r="1863" ht="12.75" customHeight="1">
      <c r="A1863" s="48" t="s">
        <v>44</v>
      </c>
      <c r="B1863" s="48" t="s">
        <v>29</v>
      </c>
      <c r="C1863" s="48" t="s">
        <v>56</v>
      </c>
      <c r="D1863" s="48" t="s">
        <v>50</v>
      </c>
      <c r="E1863" s="48"/>
      <c r="F1863" s="48">
        <v>34606.1</v>
      </c>
      <c r="G1863" s="43"/>
      <c r="H1863" s="43"/>
      <c r="I1863" s="43"/>
    </row>
    <row r="1864" ht="12.75" customHeight="1">
      <c r="A1864" s="48" t="s">
        <v>44</v>
      </c>
      <c r="B1864" s="48" t="s">
        <v>29</v>
      </c>
      <c r="C1864" s="48" t="s">
        <v>56</v>
      </c>
      <c r="D1864" s="48" t="s">
        <v>47</v>
      </c>
      <c r="E1864" s="48"/>
      <c r="F1864" s="48">
        <v>775.5</v>
      </c>
      <c r="G1864" s="43"/>
      <c r="H1864" s="43"/>
      <c r="I1864" s="43"/>
    </row>
    <row r="1865" ht="12.75" customHeight="1">
      <c r="A1865" s="48" t="s">
        <v>44</v>
      </c>
      <c r="B1865" s="48" t="s">
        <v>29</v>
      </c>
      <c r="C1865" s="48" t="s">
        <v>56</v>
      </c>
      <c r="D1865" s="48" t="s">
        <v>47</v>
      </c>
      <c r="E1865" s="48"/>
      <c r="F1865" s="48">
        <v>0.0</v>
      </c>
      <c r="G1865" s="43"/>
      <c r="H1865" s="43"/>
      <c r="I1865" s="43"/>
    </row>
    <row r="1866" ht="12.75" customHeight="1">
      <c r="A1866" s="48" t="s">
        <v>44</v>
      </c>
      <c r="B1866" s="48" t="s">
        <v>29</v>
      </c>
      <c r="C1866" s="48" t="s">
        <v>56</v>
      </c>
      <c r="D1866" s="48" t="s">
        <v>47</v>
      </c>
      <c r="E1866" s="48"/>
      <c r="F1866" s="48">
        <v>6650.5</v>
      </c>
      <c r="G1866" s="43"/>
      <c r="H1866" s="43"/>
      <c r="I1866" s="43"/>
    </row>
    <row r="1867" ht="12.75" customHeight="1">
      <c r="A1867" s="48" t="s">
        <v>44</v>
      </c>
      <c r="B1867" s="48" t="s">
        <v>30</v>
      </c>
      <c r="C1867" s="48" t="s">
        <v>6</v>
      </c>
      <c r="D1867" s="48" t="s">
        <v>6</v>
      </c>
      <c r="E1867" s="48"/>
      <c r="F1867" s="48">
        <v>11698.300000000001</v>
      </c>
      <c r="G1867" s="43"/>
      <c r="H1867" s="43"/>
      <c r="I1867" s="43"/>
    </row>
    <row r="1868" ht="12.75" customHeight="1">
      <c r="A1868" s="48" t="s">
        <v>44</v>
      </c>
      <c r="B1868" s="48" t="s">
        <v>30</v>
      </c>
      <c r="C1868" s="48" t="s">
        <v>6</v>
      </c>
      <c r="D1868" s="48" t="s">
        <v>6</v>
      </c>
      <c r="E1868" s="48"/>
      <c r="F1868" s="48">
        <v>178.6</v>
      </c>
      <c r="G1868" s="43"/>
      <c r="H1868" s="43"/>
      <c r="I1868" s="43"/>
    </row>
    <row r="1869" ht="12.75" customHeight="1">
      <c r="A1869" s="48" t="s">
        <v>44</v>
      </c>
      <c r="B1869" s="48" t="s">
        <v>30</v>
      </c>
      <c r="C1869" s="48" t="s">
        <v>6</v>
      </c>
      <c r="D1869" s="48" t="s">
        <v>6</v>
      </c>
      <c r="E1869" s="48"/>
      <c r="F1869" s="48">
        <v>8351.9</v>
      </c>
      <c r="G1869" s="43"/>
      <c r="H1869" s="43"/>
      <c r="I1869" s="43"/>
    </row>
    <row r="1870" ht="12.75" customHeight="1">
      <c r="A1870" s="48" t="s">
        <v>44</v>
      </c>
      <c r="B1870" s="48" t="s">
        <v>30</v>
      </c>
      <c r="C1870" s="48" t="s">
        <v>6</v>
      </c>
      <c r="D1870" s="48" t="s">
        <v>6</v>
      </c>
      <c r="E1870" s="48"/>
      <c r="F1870" s="48">
        <v>4935.0</v>
      </c>
      <c r="G1870" s="43"/>
      <c r="H1870" s="43"/>
      <c r="I1870" s="43"/>
    </row>
    <row r="1871" ht="12.75" customHeight="1">
      <c r="A1871" s="48" t="s">
        <v>44</v>
      </c>
      <c r="B1871" s="48" t="s">
        <v>30</v>
      </c>
      <c r="C1871" s="48" t="s">
        <v>6</v>
      </c>
      <c r="D1871" s="48" t="s">
        <v>6</v>
      </c>
      <c r="E1871" s="48"/>
      <c r="F1871" s="48">
        <v>0.0</v>
      </c>
      <c r="G1871" s="43"/>
      <c r="H1871" s="43"/>
      <c r="I1871" s="43"/>
    </row>
    <row r="1872" ht="12.75" customHeight="1">
      <c r="A1872" s="48" t="s">
        <v>44</v>
      </c>
      <c r="B1872" s="48" t="s">
        <v>30</v>
      </c>
      <c r="C1872" s="48" t="s">
        <v>6</v>
      </c>
      <c r="D1872" s="48" t="s">
        <v>6</v>
      </c>
      <c r="E1872" s="48"/>
      <c r="F1872" s="48">
        <v>0.0</v>
      </c>
      <c r="G1872" s="43"/>
      <c r="H1872" s="43"/>
      <c r="I1872" s="43"/>
    </row>
    <row r="1873" ht="12.75" customHeight="1">
      <c r="A1873" s="48" t="s">
        <v>44</v>
      </c>
      <c r="B1873" s="48" t="s">
        <v>30</v>
      </c>
      <c r="C1873" s="48" t="s">
        <v>6</v>
      </c>
      <c r="D1873" s="48" t="s">
        <v>49</v>
      </c>
      <c r="E1873" s="48"/>
      <c r="F1873" s="48">
        <v>24675.0</v>
      </c>
      <c r="G1873" s="43"/>
      <c r="H1873" s="43"/>
      <c r="I1873" s="43"/>
    </row>
    <row r="1874" ht="12.75" customHeight="1">
      <c r="A1874" s="48" t="s">
        <v>44</v>
      </c>
      <c r="B1874" s="48" t="s">
        <v>30</v>
      </c>
      <c r="C1874" s="48" t="s">
        <v>5</v>
      </c>
      <c r="D1874" s="48" t="s">
        <v>60</v>
      </c>
      <c r="E1874" s="48"/>
      <c r="F1874" s="48">
        <v>17860.0</v>
      </c>
      <c r="G1874" s="43"/>
      <c r="H1874" s="43"/>
      <c r="I1874" s="43"/>
    </row>
    <row r="1875" ht="12.75" customHeight="1">
      <c r="A1875" s="48" t="s">
        <v>44</v>
      </c>
      <c r="B1875" s="48" t="s">
        <v>30</v>
      </c>
      <c r="C1875" s="48" t="s">
        <v>5</v>
      </c>
      <c r="D1875" s="48" t="s">
        <v>53</v>
      </c>
      <c r="E1875" s="48"/>
      <c r="F1875" s="48">
        <v>-26987.4</v>
      </c>
      <c r="G1875" s="43"/>
      <c r="H1875" s="43"/>
      <c r="I1875" s="43"/>
    </row>
    <row r="1876" ht="12.75" customHeight="1">
      <c r="A1876" s="48" t="s">
        <v>44</v>
      </c>
      <c r="B1876" s="48" t="s">
        <v>30</v>
      </c>
      <c r="C1876" s="48" t="s">
        <v>5</v>
      </c>
      <c r="D1876" s="48" t="s">
        <v>53</v>
      </c>
      <c r="E1876" s="48"/>
      <c r="F1876" s="48">
        <v>0.0</v>
      </c>
      <c r="G1876" s="43"/>
      <c r="H1876" s="43"/>
      <c r="I1876" s="43"/>
    </row>
    <row r="1877" ht="12.75" customHeight="1">
      <c r="A1877" s="48" t="s">
        <v>44</v>
      </c>
      <c r="B1877" s="48" t="s">
        <v>30</v>
      </c>
      <c r="C1877" s="48" t="s">
        <v>5</v>
      </c>
      <c r="D1877" s="48" t="s">
        <v>8</v>
      </c>
      <c r="E1877" s="48"/>
      <c r="F1877" s="48">
        <v>0.0</v>
      </c>
      <c r="G1877" s="43"/>
      <c r="H1877" s="43"/>
      <c r="I1877" s="43"/>
    </row>
    <row r="1878" ht="12.75" customHeight="1">
      <c r="A1878" s="48" t="s">
        <v>44</v>
      </c>
      <c r="B1878" s="48" t="s">
        <v>30</v>
      </c>
      <c r="C1878" s="48" t="s">
        <v>5</v>
      </c>
      <c r="D1878" s="48" t="s">
        <v>8</v>
      </c>
      <c r="E1878" s="48"/>
      <c r="F1878" s="48">
        <v>4949.1</v>
      </c>
      <c r="G1878" s="43"/>
      <c r="H1878" s="43"/>
      <c r="I1878" s="43"/>
    </row>
    <row r="1879" ht="12.75" customHeight="1">
      <c r="A1879" s="48" t="s">
        <v>44</v>
      </c>
      <c r="B1879" s="48" t="s">
        <v>30</v>
      </c>
      <c r="C1879" s="48" t="s">
        <v>5</v>
      </c>
      <c r="D1879" s="48" t="s">
        <v>6</v>
      </c>
      <c r="E1879" s="48"/>
      <c r="F1879" s="48">
        <v>0.0</v>
      </c>
      <c r="G1879" s="43"/>
      <c r="H1879" s="43"/>
      <c r="I1879" s="43"/>
    </row>
    <row r="1880" ht="12.75" customHeight="1">
      <c r="A1880" s="48" t="s">
        <v>44</v>
      </c>
      <c r="B1880" s="48" t="s">
        <v>30</v>
      </c>
      <c r="C1880" s="48" t="s">
        <v>5</v>
      </c>
      <c r="D1880" s="48" t="s">
        <v>6</v>
      </c>
      <c r="E1880" s="48"/>
      <c r="F1880" s="48">
        <v>4700.0</v>
      </c>
      <c r="G1880" s="43"/>
      <c r="H1880" s="43"/>
      <c r="I1880" s="43"/>
    </row>
    <row r="1881" ht="12.75" customHeight="1">
      <c r="A1881" s="48" t="s">
        <v>44</v>
      </c>
      <c r="B1881" s="48" t="s">
        <v>30</v>
      </c>
      <c r="C1881" s="48" t="s">
        <v>5</v>
      </c>
      <c r="D1881" s="48" t="s">
        <v>6</v>
      </c>
      <c r="E1881" s="48"/>
      <c r="F1881" s="48">
        <v>6852.6</v>
      </c>
      <c r="G1881" s="43"/>
      <c r="H1881" s="43"/>
      <c r="I1881" s="43"/>
    </row>
    <row r="1882" ht="12.75" customHeight="1">
      <c r="A1882" s="48" t="s">
        <v>44</v>
      </c>
      <c r="B1882" s="48" t="s">
        <v>30</v>
      </c>
      <c r="C1882" s="48" t="s">
        <v>5</v>
      </c>
      <c r="D1882" s="48" t="s">
        <v>54</v>
      </c>
      <c r="E1882" s="48"/>
      <c r="F1882" s="48">
        <v>2115.0</v>
      </c>
      <c r="G1882" s="43"/>
      <c r="H1882" s="43"/>
      <c r="I1882" s="43"/>
    </row>
    <row r="1883" ht="12.75" customHeight="1">
      <c r="A1883" s="48" t="s">
        <v>44</v>
      </c>
      <c r="B1883" s="48" t="s">
        <v>30</v>
      </c>
      <c r="C1883" s="48" t="s">
        <v>5</v>
      </c>
      <c r="D1883" s="48" t="s">
        <v>54</v>
      </c>
      <c r="E1883" s="48"/>
      <c r="F1883" s="48">
        <v>36086.6</v>
      </c>
      <c r="G1883" s="43"/>
      <c r="H1883" s="43"/>
      <c r="I1883" s="43"/>
    </row>
    <row r="1884" ht="12.75" customHeight="1">
      <c r="A1884" s="48" t="s">
        <v>44</v>
      </c>
      <c r="B1884" s="48" t="s">
        <v>30</v>
      </c>
      <c r="C1884" s="48" t="s">
        <v>5</v>
      </c>
      <c r="D1884" s="48" t="s">
        <v>49</v>
      </c>
      <c r="E1884" s="48"/>
      <c r="F1884" s="48">
        <v>775.5</v>
      </c>
      <c r="G1884" s="43"/>
      <c r="H1884" s="43"/>
      <c r="I1884" s="43"/>
    </row>
    <row r="1885" ht="12.75" customHeight="1">
      <c r="A1885" s="48" t="s">
        <v>44</v>
      </c>
      <c r="B1885" s="48" t="s">
        <v>30</v>
      </c>
      <c r="C1885" s="48" t="s">
        <v>5</v>
      </c>
      <c r="D1885" s="48" t="s">
        <v>50</v>
      </c>
      <c r="E1885" s="48"/>
      <c r="F1885" s="48">
        <v>6890.2</v>
      </c>
      <c r="G1885" s="43"/>
      <c r="H1885" s="43"/>
      <c r="I1885" s="43"/>
    </row>
    <row r="1886" ht="12.75" customHeight="1">
      <c r="A1886" s="48" t="s">
        <v>44</v>
      </c>
      <c r="B1886" s="48" t="s">
        <v>30</v>
      </c>
      <c r="C1886" s="48" t="s">
        <v>5</v>
      </c>
      <c r="D1886" s="48" t="s">
        <v>50</v>
      </c>
      <c r="E1886" s="48"/>
      <c r="F1886" s="48">
        <v>0.0</v>
      </c>
      <c r="G1886" s="43"/>
      <c r="H1886" s="43"/>
      <c r="I1886" s="43"/>
    </row>
    <row r="1887" ht="12.75" customHeight="1">
      <c r="A1887" s="48" t="s">
        <v>44</v>
      </c>
      <c r="B1887" s="48" t="s">
        <v>30</v>
      </c>
      <c r="C1887" s="48" t="s">
        <v>5</v>
      </c>
      <c r="D1887" s="48" t="s">
        <v>50</v>
      </c>
      <c r="E1887" s="48"/>
      <c r="F1887" s="48">
        <v>21859.7</v>
      </c>
      <c r="G1887" s="43"/>
      <c r="H1887" s="43"/>
      <c r="I1887" s="43"/>
    </row>
    <row r="1888" ht="12.75" customHeight="1">
      <c r="A1888" s="48" t="s">
        <v>44</v>
      </c>
      <c r="B1888" s="48" t="s">
        <v>30</v>
      </c>
      <c r="C1888" s="48" t="s">
        <v>5</v>
      </c>
      <c r="D1888" s="48" t="s">
        <v>50</v>
      </c>
      <c r="E1888" s="48"/>
      <c r="F1888" s="48">
        <v>7383.700000000001</v>
      </c>
      <c r="G1888" s="43"/>
      <c r="H1888" s="43"/>
      <c r="I1888" s="43"/>
    </row>
    <row r="1889" ht="12.75" customHeight="1">
      <c r="A1889" s="48" t="s">
        <v>44</v>
      </c>
      <c r="B1889" s="48" t="s">
        <v>30</v>
      </c>
      <c r="C1889" s="48" t="s">
        <v>5</v>
      </c>
      <c r="D1889" s="48" t="s">
        <v>47</v>
      </c>
      <c r="E1889" s="48"/>
      <c r="F1889" s="48">
        <v>-4046.7000000000003</v>
      </c>
      <c r="G1889" s="43"/>
      <c r="H1889" s="43"/>
      <c r="I1889" s="43"/>
    </row>
    <row r="1890" ht="12.75" customHeight="1">
      <c r="A1890" s="48" t="s">
        <v>44</v>
      </c>
      <c r="B1890" s="48" t="s">
        <v>30</v>
      </c>
      <c r="C1890" s="48" t="s">
        <v>5</v>
      </c>
      <c r="D1890" s="48" t="s">
        <v>47</v>
      </c>
      <c r="E1890" s="48"/>
      <c r="F1890" s="48">
        <v>5499.0</v>
      </c>
      <c r="G1890" s="43"/>
      <c r="H1890" s="43"/>
      <c r="I1890" s="43"/>
    </row>
    <row r="1891" ht="12.75" customHeight="1">
      <c r="A1891" s="48" t="s">
        <v>44</v>
      </c>
      <c r="B1891" s="48" t="s">
        <v>30</v>
      </c>
      <c r="C1891" s="48" t="s">
        <v>5</v>
      </c>
      <c r="D1891" s="48" t="s">
        <v>47</v>
      </c>
      <c r="E1891" s="48"/>
      <c r="F1891" s="48">
        <v>112518.0</v>
      </c>
      <c r="G1891" s="43"/>
      <c r="H1891" s="43"/>
      <c r="I1891" s="43"/>
    </row>
    <row r="1892" ht="12.75" customHeight="1">
      <c r="A1892" s="48" t="s">
        <v>44</v>
      </c>
      <c r="B1892" s="48" t="s">
        <v>30</v>
      </c>
      <c r="C1892" s="48" t="s">
        <v>5</v>
      </c>
      <c r="D1892" s="48" t="s">
        <v>47</v>
      </c>
      <c r="E1892" s="48"/>
      <c r="F1892" s="48">
        <v>451.20000000000005</v>
      </c>
      <c r="G1892" s="43"/>
      <c r="H1892" s="43"/>
      <c r="I1892" s="43"/>
    </row>
    <row r="1893" ht="12.75" customHeight="1">
      <c r="A1893" s="43"/>
      <c r="B1893" s="43"/>
      <c r="C1893" s="43"/>
      <c r="D1893" s="43"/>
      <c r="E1893" s="43"/>
      <c r="F1893" s="43"/>
      <c r="G1893" s="43"/>
      <c r="H1893" s="43"/>
      <c r="I1893" s="43"/>
    </row>
    <row r="1894" ht="12.75" customHeight="1">
      <c r="A1894" s="43"/>
      <c r="B1894" s="43"/>
      <c r="C1894" s="43"/>
      <c r="D1894" s="43"/>
      <c r="E1894" s="43"/>
      <c r="F1894" s="43"/>
      <c r="G1894" s="43"/>
      <c r="H1894" s="43"/>
      <c r="I1894" s="43"/>
    </row>
    <row r="1895" ht="12.75" customHeight="1">
      <c r="A1895" s="43"/>
      <c r="B1895" s="43"/>
      <c r="C1895" s="43"/>
      <c r="D1895" s="43"/>
      <c r="E1895" s="43"/>
      <c r="F1895" s="43"/>
      <c r="G1895" s="43"/>
      <c r="H1895" s="43"/>
      <c r="I1895" s="43"/>
    </row>
    <row r="1896" ht="12.75" customHeight="1">
      <c r="A1896" s="43"/>
      <c r="B1896" s="43"/>
      <c r="C1896" s="43"/>
      <c r="D1896" s="43"/>
      <c r="E1896" s="43"/>
      <c r="F1896" s="43"/>
      <c r="G1896" s="43"/>
      <c r="H1896" s="43"/>
      <c r="I1896" s="43"/>
    </row>
    <row r="1897" ht="12.75" customHeight="1">
      <c r="A1897" s="43"/>
      <c r="B1897" s="43"/>
      <c r="C1897" s="43"/>
      <c r="D1897" s="43"/>
      <c r="E1897" s="43"/>
      <c r="F1897" s="43"/>
      <c r="G1897" s="43"/>
      <c r="H1897" s="43"/>
      <c r="I1897" s="43"/>
    </row>
    <row r="1898" ht="12.75" customHeight="1">
      <c r="A1898" s="43"/>
      <c r="B1898" s="43"/>
      <c r="C1898" s="43"/>
      <c r="D1898" s="43"/>
      <c r="E1898" s="43"/>
      <c r="F1898" s="43"/>
      <c r="G1898" s="43"/>
      <c r="H1898" s="43"/>
      <c r="I1898" s="43"/>
    </row>
    <row r="1899" ht="12.75" customHeight="1">
      <c r="A1899" s="43"/>
      <c r="B1899" s="43"/>
      <c r="C1899" s="43"/>
      <c r="D1899" s="43"/>
      <c r="E1899" s="43"/>
      <c r="F1899" s="43"/>
      <c r="G1899" s="43"/>
      <c r="H1899" s="43"/>
      <c r="I1899" s="43"/>
    </row>
    <row r="1900" ht="12.75" customHeight="1">
      <c r="A1900" s="43"/>
      <c r="B1900" s="43"/>
      <c r="C1900" s="43"/>
      <c r="D1900" s="43"/>
      <c r="E1900" s="43"/>
      <c r="F1900" s="43"/>
      <c r="G1900" s="43"/>
      <c r="H1900" s="43"/>
      <c r="I1900" s="43"/>
    </row>
    <row r="1901" ht="12.75" customHeight="1">
      <c r="A1901" s="43"/>
      <c r="B1901" s="43"/>
      <c r="C1901" s="43"/>
      <c r="D1901" s="43"/>
      <c r="E1901" s="43"/>
      <c r="F1901" s="43"/>
      <c r="G1901" s="43"/>
      <c r="H1901" s="43"/>
      <c r="I1901" s="43"/>
    </row>
    <row r="1902" ht="12.75" customHeight="1">
      <c r="A1902" s="43"/>
      <c r="B1902" s="43"/>
      <c r="C1902" s="43"/>
      <c r="D1902" s="43"/>
      <c r="E1902" s="43"/>
      <c r="F1902" s="43"/>
      <c r="G1902" s="43"/>
      <c r="H1902" s="43"/>
      <c r="I1902" s="43"/>
    </row>
    <row r="1903" ht="12.75" customHeight="1">
      <c r="A1903" s="43"/>
      <c r="B1903" s="43"/>
      <c r="C1903" s="43"/>
      <c r="D1903" s="43"/>
      <c r="E1903" s="43"/>
      <c r="F1903" s="43"/>
      <c r="G1903" s="43"/>
      <c r="H1903" s="43"/>
      <c r="I1903" s="43"/>
    </row>
    <row r="1904" ht="12.75" customHeight="1">
      <c r="A1904" s="43"/>
      <c r="B1904" s="43"/>
      <c r="C1904" s="43"/>
      <c r="D1904" s="43"/>
      <c r="E1904" s="43"/>
      <c r="F1904" s="43"/>
      <c r="G1904" s="43"/>
      <c r="H1904" s="43"/>
      <c r="I1904" s="43"/>
    </row>
    <row r="1905" ht="12.75" customHeight="1">
      <c r="A1905" s="43"/>
      <c r="B1905" s="43"/>
      <c r="C1905" s="43"/>
      <c r="D1905" s="43"/>
      <c r="E1905" s="43"/>
      <c r="F1905" s="43"/>
      <c r="G1905" s="43"/>
      <c r="H1905" s="43"/>
      <c r="I1905" s="43"/>
    </row>
    <row r="1906" ht="12.75" customHeight="1">
      <c r="A1906" s="43"/>
      <c r="B1906" s="43"/>
      <c r="C1906" s="43"/>
      <c r="D1906" s="43"/>
      <c r="E1906" s="43"/>
      <c r="F1906" s="43"/>
      <c r="G1906" s="43"/>
      <c r="H1906" s="43"/>
      <c r="I1906" s="43"/>
    </row>
    <row r="1907" ht="12.75" customHeight="1">
      <c r="A1907" s="43"/>
      <c r="B1907" s="43"/>
      <c r="C1907" s="43"/>
      <c r="D1907" s="43"/>
      <c r="E1907" s="43"/>
      <c r="F1907" s="43"/>
      <c r="G1907" s="43"/>
      <c r="H1907" s="43"/>
      <c r="I1907" s="43"/>
    </row>
    <row r="1908" ht="12.75" customHeight="1">
      <c r="A1908" s="43"/>
      <c r="B1908" s="43"/>
      <c r="C1908" s="43"/>
      <c r="D1908" s="43"/>
      <c r="E1908" s="43"/>
      <c r="F1908" s="43"/>
      <c r="G1908" s="43"/>
      <c r="H1908" s="43"/>
      <c r="I1908" s="43"/>
    </row>
    <row r="1909" ht="12.75" customHeight="1">
      <c r="A1909" s="43"/>
      <c r="B1909" s="43"/>
      <c r="C1909" s="43"/>
      <c r="D1909" s="43"/>
      <c r="E1909" s="43"/>
      <c r="F1909" s="43"/>
      <c r="G1909" s="43"/>
      <c r="H1909" s="43"/>
      <c r="I1909" s="43"/>
    </row>
    <row r="1910" ht="12.75" customHeight="1">
      <c r="A1910" s="43"/>
      <c r="B1910" s="43"/>
      <c r="C1910" s="43"/>
      <c r="D1910" s="43"/>
      <c r="E1910" s="43"/>
      <c r="F1910" s="43"/>
      <c r="G1910" s="43"/>
      <c r="H1910" s="43"/>
      <c r="I1910" s="43"/>
    </row>
    <row r="1911" ht="12.75" customHeight="1">
      <c r="A1911" s="43"/>
      <c r="B1911" s="43"/>
      <c r="C1911" s="43"/>
      <c r="D1911" s="43"/>
      <c r="E1911" s="43"/>
      <c r="F1911" s="43"/>
      <c r="G1911" s="43"/>
      <c r="H1911" s="43"/>
      <c r="I1911" s="43"/>
    </row>
    <row r="1912" ht="12.75" customHeight="1">
      <c r="A1912" s="43"/>
      <c r="B1912" s="43"/>
      <c r="C1912" s="43"/>
      <c r="D1912" s="43"/>
      <c r="E1912" s="43"/>
      <c r="F1912" s="43"/>
      <c r="G1912" s="43"/>
      <c r="H1912" s="43"/>
      <c r="I1912" s="43"/>
    </row>
    <row r="1913" ht="12.75" customHeight="1">
      <c r="A1913" s="43"/>
      <c r="B1913" s="43"/>
      <c r="C1913" s="43"/>
      <c r="D1913" s="43"/>
      <c r="E1913" s="43"/>
      <c r="F1913" s="43"/>
      <c r="G1913" s="43"/>
      <c r="H1913" s="43"/>
      <c r="I1913" s="43"/>
    </row>
    <row r="1914" ht="12.75" customHeight="1">
      <c r="A1914" s="43"/>
      <c r="B1914" s="43"/>
      <c r="C1914" s="43"/>
      <c r="D1914" s="43"/>
      <c r="E1914" s="43"/>
      <c r="F1914" s="43"/>
      <c r="G1914" s="43"/>
      <c r="H1914" s="43"/>
      <c r="I1914" s="43"/>
    </row>
    <row r="1915" ht="12.75" customHeight="1">
      <c r="A1915" s="43"/>
      <c r="B1915" s="43"/>
      <c r="C1915" s="43"/>
      <c r="D1915" s="43"/>
      <c r="E1915" s="43"/>
      <c r="F1915" s="43"/>
      <c r="G1915" s="43"/>
      <c r="H1915" s="43"/>
      <c r="I1915" s="43"/>
    </row>
    <row r="1916" ht="12.75" customHeight="1">
      <c r="A1916" s="43"/>
      <c r="B1916" s="43"/>
      <c r="C1916" s="43"/>
      <c r="D1916" s="43"/>
      <c r="E1916" s="43"/>
      <c r="F1916" s="43"/>
      <c r="G1916" s="43"/>
      <c r="H1916" s="43"/>
      <c r="I1916" s="43"/>
    </row>
    <row r="1917" ht="12.75" customHeight="1">
      <c r="A1917" s="43"/>
      <c r="B1917" s="43"/>
      <c r="C1917" s="43"/>
      <c r="D1917" s="43"/>
      <c r="E1917" s="43"/>
      <c r="F1917" s="43"/>
      <c r="G1917" s="43"/>
      <c r="H1917" s="43"/>
      <c r="I1917" s="43"/>
    </row>
    <row r="1918" ht="12.75" customHeight="1">
      <c r="A1918" s="43"/>
      <c r="B1918" s="43"/>
      <c r="C1918" s="43"/>
      <c r="D1918" s="43"/>
      <c r="E1918" s="43"/>
      <c r="F1918" s="43"/>
      <c r="G1918" s="43"/>
      <c r="H1918" s="43"/>
      <c r="I1918" s="43"/>
    </row>
    <row r="1919" ht="12.75" customHeight="1">
      <c r="A1919" s="43"/>
      <c r="B1919" s="43"/>
      <c r="C1919" s="43"/>
      <c r="D1919" s="43"/>
      <c r="E1919" s="43"/>
      <c r="F1919" s="43"/>
      <c r="G1919" s="43"/>
      <c r="H1919" s="43"/>
      <c r="I1919" s="43"/>
    </row>
    <row r="1920" ht="12.75" customHeight="1">
      <c r="A1920" s="43"/>
      <c r="B1920" s="43"/>
      <c r="C1920" s="43"/>
      <c r="D1920" s="43"/>
      <c r="E1920" s="43"/>
      <c r="F1920" s="43"/>
      <c r="G1920" s="43"/>
      <c r="H1920" s="43"/>
      <c r="I1920" s="43"/>
    </row>
    <row r="1921" ht="12.75" customHeight="1">
      <c r="A1921" s="43"/>
      <c r="B1921" s="43"/>
      <c r="C1921" s="43"/>
      <c r="D1921" s="43"/>
      <c r="E1921" s="43"/>
      <c r="F1921" s="43"/>
      <c r="G1921" s="43"/>
      <c r="H1921" s="43"/>
      <c r="I1921" s="43"/>
    </row>
    <row r="1922" ht="12.75" customHeight="1">
      <c r="A1922" s="43"/>
      <c r="B1922" s="43"/>
      <c r="C1922" s="43"/>
      <c r="D1922" s="43"/>
      <c r="E1922" s="43"/>
      <c r="F1922" s="43"/>
      <c r="G1922" s="43"/>
      <c r="H1922" s="43"/>
      <c r="I1922" s="43"/>
    </row>
    <row r="1923" ht="12.75" customHeight="1">
      <c r="A1923" s="43"/>
      <c r="B1923" s="43"/>
      <c r="C1923" s="43"/>
      <c r="D1923" s="43"/>
      <c r="E1923" s="43"/>
      <c r="F1923" s="43"/>
      <c r="G1923" s="43"/>
      <c r="H1923" s="43"/>
      <c r="I1923" s="43"/>
    </row>
    <row r="1924" ht="12.75" customHeight="1">
      <c r="A1924" s="43"/>
      <c r="B1924" s="43"/>
      <c r="C1924" s="43"/>
      <c r="D1924" s="43"/>
      <c r="E1924" s="43"/>
      <c r="F1924" s="43"/>
      <c r="G1924" s="43"/>
      <c r="H1924" s="43"/>
      <c r="I1924" s="43"/>
    </row>
    <row r="1925" ht="12.75" customHeight="1">
      <c r="A1925" s="43"/>
      <c r="B1925" s="43"/>
      <c r="C1925" s="43"/>
      <c r="D1925" s="43"/>
      <c r="E1925" s="43"/>
      <c r="F1925" s="43"/>
      <c r="G1925" s="43"/>
      <c r="H1925" s="43"/>
      <c r="I1925" s="43"/>
    </row>
    <row r="1926" ht="12.75" customHeight="1">
      <c r="A1926" s="43"/>
      <c r="B1926" s="43"/>
      <c r="C1926" s="43"/>
      <c r="D1926" s="43"/>
      <c r="E1926" s="43"/>
      <c r="F1926" s="43"/>
      <c r="G1926" s="43"/>
      <c r="H1926" s="43"/>
      <c r="I1926" s="43"/>
    </row>
    <row r="1927" ht="12.75" customHeight="1">
      <c r="A1927" s="43"/>
      <c r="B1927" s="43"/>
      <c r="C1927" s="43"/>
      <c r="D1927" s="43"/>
      <c r="E1927" s="43"/>
      <c r="F1927" s="43"/>
      <c r="G1927" s="43"/>
      <c r="H1927" s="43"/>
      <c r="I1927" s="43"/>
    </row>
    <row r="1928" ht="12.75" customHeight="1">
      <c r="A1928" s="43"/>
      <c r="B1928" s="43"/>
      <c r="C1928" s="43"/>
      <c r="D1928" s="43"/>
      <c r="E1928" s="43"/>
      <c r="F1928" s="43"/>
      <c r="G1928" s="43"/>
      <c r="H1928" s="43"/>
      <c r="I1928" s="43"/>
    </row>
    <row r="1929" ht="12.75" customHeight="1">
      <c r="A1929" s="43"/>
      <c r="B1929" s="43"/>
      <c r="C1929" s="43"/>
      <c r="D1929" s="43"/>
      <c r="E1929" s="43"/>
      <c r="F1929" s="43"/>
      <c r="G1929" s="43"/>
      <c r="H1929" s="43"/>
      <c r="I1929" s="43"/>
    </row>
    <row r="1930" ht="12.75" customHeight="1">
      <c r="A1930" s="43"/>
      <c r="B1930" s="43"/>
      <c r="C1930" s="43"/>
      <c r="D1930" s="43"/>
      <c r="E1930" s="43"/>
      <c r="F1930" s="43"/>
      <c r="G1930" s="43"/>
      <c r="H1930" s="43"/>
      <c r="I1930" s="43"/>
    </row>
    <row r="1931" ht="12.75" customHeight="1">
      <c r="A1931" s="43"/>
      <c r="B1931" s="43"/>
      <c r="C1931" s="43"/>
      <c r="D1931" s="43"/>
      <c r="E1931" s="43"/>
      <c r="F1931" s="43"/>
      <c r="G1931" s="43"/>
      <c r="H1931" s="43"/>
      <c r="I1931" s="43"/>
    </row>
    <row r="1932" ht="12.75" customHeight="1">
      <c r="A1932" s="43"/>
      <c r="B1932" s="43"/>
      <c r="C1932" s="43"/>
      <c r="D1932" s="43"/>
      <c r="E1932" s="43"/>
      <c r="F1932" s="43"/>
      <c r="G1932" s="43"/>
      <c r="H1932" s="43"/>
      <c r="I1932" s="43"/>
    </row>
    <row r="1933" ht="12.75" customHeight="1">
      <c r="A1933" s="43"/>
      <c r="B1933" s="43"/>
      <c r="C1933" s="43"/>
      <c r="D1933" s="43"/>
      <c r="E1933" s="43"/>
      <c r="F1933" s="43"/>
      <c r="G1933" s="43"/>
      <c r="H1933" s="43"/>
      <c r="I1933" s="43"/>
    </row>
    <row r="1934" ht="12.75" customHeight="1">
      <c r="A1934" s="43"/>
      <c r="B1934" s="43"/>
      <c r="C1934" s="43"/>
      <c r="D1934" s="43"/>
      <c r="E1934" s="43"/>
      <c r="F1934" s="43"/>
      <c r="G1934" s="43"/>
      <c r="H1934" s="43"/>
      <c r="I1934" s="43"/>
    </row>
    <row r="1935" ht="12.75" customHeight="1">
      <c r="A1935" s="43"/>
      <c r="B1935" s="43"/>
      <c r="C1935" s="43"/>
      <c r="D1935" s="43"/>
      <c r="E1935" s="43"/>
      <c r="F1935" s="43"/>
      <c r="G1935" s="43"/>
      <c r="H1935" s="43"/>
      <c r="I1935" s="43"/>
    </row>
    <row r="1936" ht="12.75" customHeight="1">
      <c r="A1936" s="43"/>
      <c r="B1936" s="43"/>
      <c r="C1936" s="43"/>
      <c r="D1936" s="43"/>
      <c r="E1936" s="43"/>
      <c r="F1936" s="43"/>
      <c r="G1936" s="43"/>
      <c r="H1936" s="43"/>
      <c r="I1936" s="43"/>
    </row>
    <row r="1937" ht="12.75" customHeight="1">
      <c r="A1937" s="43"/>
      <c r="B1937" s="43"/>
      <c r="C1937" s="43"/>
      <c r="D1937" s="43"/>
      <c r="E1937" s="43"/>
      <c r="F1937" s="43"/>
      <c r="G1937" s="43"/>
      <c r="H1937" s="43"/>
      <c r="I1937" s="43"/>
    </row>
    <row r="1938" ht="12.75" customHeight="1">
      <c r="A1938" s="43"/>
      <c r="B1938" s="43"/>
      <c r="C1938" s="43"/>
      <c r="D1938" s="43"/>
      <c r="E1938" s="43"/>
      <c r="F1938" s="43"/>
      <c r="G1938" s="43"/>
      <c r="H1938" s="43"/>
      <c r="I1938" s="43"/>
    </row>
    <row r="1939" ht="12.75" customHeight="1">
      <c r="A1939" s="43"/>
      <c r="B1939" s="43"/>
      <c r="C1939" s="43"/>
      <c r="D1939" s="43"/>
      <c r="E1939" s="43"/>
      <c r="F1939" s="43"/>
      <c r="G1939" s="43"/>
      <c r="H1939" s="43"/>
      <c r="I1939" s="43"/>
    </row>
    <row r="1940" ht="12.75" customHeight="1">
      <c r="A1940" s="43"/>
      <c r="B1940" s="43"/>
      <c r="C1940" s="43"/>
      <c r="D1940" s="43"/>
      <c r="E1940" s="43"/>
      <c r="F1940" s="43"/>
      <c r="G1940" s="43"/>
      <c r="H1940" s="43"/>
      <c r="I1940" s="43"/>
    </row>
    <row r="1941" ht="12.75" customHeight="1">
      <c r="A1941" s="43"/>
      <c r="B1941" s="43"/>
      <c r="C1941" s="43"/>
      <c r="D1941" s="43"/>
      <c r="E1941" s="43"/>
      <c r="F1941" s="43"/>
      <c r="G1941" s="43"/>
      <c r="H1941" s="43"/>
      <c r="I1941" s="43"/>
    </row>
    <row r="1942" ht="12.75" customHeight="1">
      <c r="A1942" s="43"/>
      <c r="B1942" s="43"/>
      <c r="C1942" s="43"/>
      <c r="D1942" s="43"/>
      <c r="E1942" s="43"/>
      <c r="F1942" s="43"/>
      <c r="G1942" s="43"/>
      <c r="H1942" s="43"/>
      <c r="I1942" s="43"/>
    </row>
    <row r="1943" ht="12.75" customHeight="1">
      <c r="A1943" s="43"/>
      <c r="B1943" s="43"/>
      <c r="C1943" s="43"/>
      <c r="D1943" s="43"/>
      <c r="E1943" s="43"/>
      <c r="F1943" s="43"/>
      <c r="G1943" s="43"/>
      <c r="H1943" s="43"/>
      <c r="I1943" s="43"/>
    </row>
    <row r="1944" ht="12.75" customHeight="1">
      <c r="A1944" s="43"/>
      <c r="B1944" s="43"/>
      <c r="C1944" s="43"/>
      <c r="D1944" s="43"/>
      <c r="E1944" s="43"/>
      <c r="F1944" s="43"/>
      <c r="G1944" s="43"/>
      <c r="H1944" s="43"/>
      <c r="I1944" s="43"/>
    </row>
    <row r="1945" ht="12.75" customHeight="1">
      <c r="A1945" s="43"/>
      <c r="B1945" s="43"/>
      <c r="C1945" s="43"/>
      <c r="D1945" s="43"/>
      <c r="E1945" s="43"/>
      <c r="F1945" s="43"/>
      <c r="G1945" s="43"/>
      <c r="H1945" s="43"/>
      <c r="I1945" s="43"/>
    </row>
    <row r="1946" ht="12.75" customHeight="1">
      <c r="A1946" s="43"/>
      <c r="B1946" s="43"/>
      <c r="C1946" s="43"/>
      <c r="D1946" s="43"/>
      <c r="E1946" s="43"/>
      <c r="F1946" s="43"/>
      <c r="G1946" s="43"/>
      <c r="H1946" s="43"/>
      <c r="I1946" s="43"/>
    </row>
    <row r="1947" ht="12.75" customHeight="1">
      <c r="A1947" s="43"/>
      <c r="B1947" s="43"/>
      <c r="C1947" s="43"/>
      <c r="D1947" s="43"/>
      <c r="E1947" s="43"/>
      <c r="F1947" s="43"/>
      <c r="G1947" s="43"/>
      <c r="H1947" s="43"/>
      <c r="I1947" s="43"/>
    </row>
    <row r="1948" ht="12.75" customHeight="1">
      <c r="A1948" s="43"/>
      <c r="B1948" s="43"/>
      <c r="C1948" s="43"/>
      <c r="D1948" s="43"/>
      <c r="E1948" s="43"/>
      <c r="F1948" s="43"/>
      <c r="G1948" s="43"/>
      <c r="H1948" s="43"/>
      <c r="I1948" s="43"/>
    </row>
    <row r="1949" ht="12.75" customHeight="1">
      <c r="A1949" s="43"/>
      <c r="B1949" s="43"/>
      <c r="C1949" s="43"/>
      <c r="D1949" s="43"/>
      <c r="E1949" s="43"/>
      <c r="F1949" s="43"/>
      <c r="G1949" s="43"/>
      <c r="H1949" s="43"/>
      <c r="I1949" s="43"/>
    </row>
    <row r="1950" ht="12.75" customHeight="1">
      <c r="A1950" s="43"/>
      <c r="B1950" s="43"/>
      <c r="C1950" s="43"/>
      <c r="D1950" s="43"/>
      <c r="E1950" s="43"/>
      <c r="F1950" s="43"/>
      <c r="G1950" s="43"/>
      <c r="H1950" s="43"/>
      <c r="I1950" s="43"/>
    </row>
    <row r="1951" ht="12.75" customHeight="1">
      <c r="A1951" s="43"/>
      <c r="B1951" s="43"/>
      <c r="C1951" s="43"/>
      <c r="D1951" s="43"/>
      <c r="E1951" s="43"/>
      <c r="F1951" s="43"/>
      <c r="G1951" s="43"/>
      <c r="H1951" s="43"/>
      <c r="I1951" s="43"/>
    </row>
    <row r="1952" ht="12.75" customHeight="1">
      <c r="A1952" s="43"/>
      <c r="B1952" s="43"/>
      <c r="C1952" s="43"/>
      <c r="D1952" s="43"/>
      <c r="E1952" s="43"/>
      <c r="F1952" s="43"/>
      <c r="G1952" s="43"/>
      <c r="H1952" s="43"/>
      <c r="I1952" s="43"/>
    </row>
    <row r="1953" ht="12.75" customHeight="1">
      <c r="A1953" s="43"/>
      <c r="B1953" s="43"/>
      <c r="C1953" s="43"/>
      <c r="D1953" s="43"/>
      <c r="E1953" s="43"/>
      <c r="F1953" s="43"/>
      <c r="G1953" s="43"/>
      <c r="H1953" s="43"/>
      <c r="I1953" s="43"/>
    </row>
    <row r="1954" ht="12.75" customHeight="1">
      <c r="A1954" s="43"/>
      <c r="B1954" s="43"/>
      <c r="C1954" s="43"/>
      <c r="D1954" s="43"/>
      <c r="E1954" s="43"/>
      <c r="F1954" s="43"/>
      <c r="G1954" s="43"/>
      <c r="H1954" s="43"/>
      <c r="I1954" s="43"/>
    </row>
    <row r="1955" ht="12.75" customHeight="1">
      <c r="A1955" s="43"/>
      <c r="B1955" s="43"/>
      <c r="C1955" s="43"/>
      <c r="D1955" s="43"/>
      <c r="E1955" s="43"/>
      <c r="F1955" s="43"/>
      <c r="G1955" s="43"/>
      <c r="H1955" s="43"/>
      <c r="I1955" s="43"/>
    </row>
    <row r="1956" ht="12.75" customHeight="1">
      <c r="A1956" s="43"/>
      <c r="B1956" s="43"/>
      <c r="C1956" s="43"/>
      <c r="D1956" s="43"/>
      <c r="E1956" s="43"/>
      <c r="F1956" s="43"/>
      <c r="G1956" s="43"/>
      <c r="H1956" s="43"/>
      <c r="I1956" s="43"/>
    </row>
    <row r="1957" ht="12.75" customHeight="1">
      <c r="A1957" s="43"/>
      <c r="B1957" s="43"/>
      <c r="C1957" s="43"/>
      <c r="D1957" s="43"/>
      <c r="E1957" s="43"/>
      <c r="F1957" s="43"/>
      <c r="G1957" s="43"/>
      <c r="H1957" s="43"/>
      <c r="I1957" s="43"/>
    </row>
    <row r="1958" ht="12.75" customHeight="1">
      <c r="A1958" s="43"/>
      <c r="B1958" s="43"/>
      <c r="C1958" s="43"/>
      <c r="D1958" s="43"/>
      <c r="E1958" s="43"/>
      <c r="F1958" s="43"/>
      <c r="G1958" s="43"/>
      <c r="H1958" s="43"/>
      <c r="I1958" s="43"/>
    </row>
    <row r="1959" ht="12.75" customHeight="1">
      <c r="A1959" s="43"/>
      <c r="B1959" s="43"/>
      <c r="C1959" s="43"/>
      <c r="D1959" s="43"/>
      <c r="E1959" s="43"/>
      <c r="F1959" s="43"/>
      <c r="G1959" s="43"/>
      <c r="H1959" s="43"/>
      <c r="I1959" s="43"/>
    </row>
    <row r="1960" ht="12.75" customHeight="1">
      <c r="A1960" s="43"/>
      <c r="B1960" s="43"/>
      <c r="C1960" s="43"/>
      <c r="D1960" s="43"/>
      <c r="E1960" s="43"/>
      <c r="F1960" s="43"/>
      <c r="G1960" s="43"/>
      <c r="H1960" s="43"/>
      <c r="I1960" s="43"/>
    </row>
    <row r="1961" ht="12.75" customHeight="1">
      <c r="A1961" s="43"/>
      <c r="B1961" s="43"/>
      <c r="C1961" s="43"/>
      <c r="D1961" s="43"/>
      <c r="E1961" s="43"/>
      <c r="F1961" s="43"/>
      <c r="G1961" s="43"/>
      <c r="H1961" s="43"/>
      <c r="I1961" s="43"/>
    </row>
    <row r="1962" ht="12.75" customHeight="1">
      <c r="A1962" s="43"/>
      <c r="B1962" s="43"/>
      <c r="C1962" s="43"/>
      <c r="D1962" s="43"/>
      <c r="E1962" s="43"/>
      <c r="F1962" s="43"/>
      <c r="G1962" s="43"/>
      <c r="H1962" s="43"/>
      <c r="I1962" s="43"/>
    </row>
    <row r="1963" ht="12.75" customHeight="1">
      <c r="A1963" s="43"/>
      <c r="B1963" s="43"/>
      <c r="C1963" s="43"/>
      <c r="D1963" s="43"/>
      <c r="E1963" s="43"/>
      <c r="F1963" s="43"/>
      <c r="G1963" s="43"/>
      <c r="H1963" s="43"/>
      <c r="I1963" s="43"/>
    </row>
    <row r="1964" ht="12.75" customHeight="1">
      <c r="A1964" s="43"/>
      <c r="B1964" s="43"/>
      <c r="C1964" s="43"/>
      <c r="D1964" s="43"/>
      <c r="E1964" s="43"/>
      <c r="F1964" s="43"/>
      <c r="G1964" s="43"/>
      <c r="H1964" s="43"/>
      <c r="I1964" s="43"/>
    </row>
    <row r="1965" ht="12.75" customHeight="1">
      <c r="A1965" s="43"/>
      <c r="B1965" s="43"/>
      <c r="C1965" s="43"/>
      <c r="D1965" s="43"/>
      <c r="E1965" s="43"/>
      <c r="F1965" s="43"/>
      <c r="G1965" s="43"/>
      <c r="H1965" s="43"/>
      <c r="I1965" s="43"/>
    </row>
    <row r="1966" ht="12.75" customHeight="1">
      <c r="A1966" s="43"/>
      <c r="B1966" s="43"/>
      <c r="C1966" s="43"/>
      <c r="D1966" s="43"/>
      <c r="E1966" s="43"/>
      <c r="F1966" s="43"/>
      <c r="G1966" s="43"/>
      <c r="H1966" s="43"/>
      <c r="I1966" s="43"/>
    </row>
    <row r="1967" ht="12.75" customHeight="1">
      <c r="A1967" s="43"/>
      <c r="B1967" s="43"/>
      <c r="C1967" s="43"/>
      <c r="D1967" s="43"/>
      <c r="E1967" s="43"/>
      <c r="F1967" s="43"/>
      <c r="G1967" s="43"/>
      <c r="H1967" s="43"/>
      <c r="I1967" s="43"/>
    </row>
    <row r="1968" ht="12.75" customHeight="1">
      <c r="A1968" s="43"/>
      <c r="B1968" s="43"/>
      <c r="C1968" s="43"/>
      <c r="D1968" s="43"/>
      <c r="E1968" s="43"/>
      <c r="F1968" s="43"/>
      <c r="G1968" s="43"/>
      <c r="H1968" s="43"/>
      <c r="I1968" s="43"/>
    </row>
    <row r="1969" ht="12.75" customHeight="1">
      <c r="A1969" s="43"/>
      <c r="B1969" s="43"/>
      <c r="C1969" s="43"/>
      <c r="D1969" s="43"/>
      <c r="E1969" s="43"/>
      <c r="F1969" s="43"/>
      <c r="G1969" s="43"/>
      <c r="H1969" s="43"/>
      <c r="I1969" s="43"/>
    </row>
    <row r="1970" ht="12.75" customHeight="1">
      <c r="A1970" s="43"/>
      <c r="B1970" s="43"/>
      <c r="C1970" s="43"/>
      <c r="D1970" s="43"/>
      <c r="E1970" s="43"/>
      <c r="F1970" s="43"/>
      <c r="G1970" s="43"/>
      <c r="H1970" s="43"/>
      <c r="I1970" s="43"/>
    </row>
    <row r="1971" ht="12.75" customHeight="1">
      <c r="A1971" s="43"/>
      <c r="B1971" s="43"/>
      <c r="C1971" s="43"/>
      <c r="D1971" s="43"/>
      <c r="E1971" s="43"/>
      <c r="F1971" s="43"/>
      <c r="G1971" s="43"/>
      <c r="H1971" s="43"/>
      <c r="I1971" s="43"/>
    </row>
    <row r="1972" ht="12.75" customHeight="1">
      <c r="A1972" s="43"/>
      <c r="B1972" s="43"/>
      <c r="C1972" s="43"/>
      <c r="D1972" s="43"/>
      <c r="E1972" s="43"/>
      <c r="F1972" s="43"/>
      <c r="G1972" s="43"/>
      <c r="H1972" s="43"/>
      <c r="I1972" s="43"/>
    </row>
    <row r="1973" ht="12.75" customHeight="1">
      <c r="A1973" s="43"/>
      <c r="B1973" s="43"/>
      <c r="C1973" s="43"/>
      <c r="D1973" s="43"/>
      <c r="E1973" s="43"/>
      <c r="F1973" s="43"/>
      <c r="G1973" s="43"/>
      <c r="H1973" s="43"/>
      <c r="I1973" s="43"/>
    </row>
    <row r="1974" ht="12.75" customHeight="1">
      <c r="A1974" s="43"/>
      <c r="B1974" s="43"/>
      <c r="C1974" s="43"/>
      <c r="D1974" s="43"/>
      <c r="E1974" s="43"/>
      <c r="F1974" s="43"/>
      <c r="G1974" s="43"/>
      <c r="H1974" s="43"/>
      <c r="I1974" s="43"/>
    </row>
    <row r="1975" ht="12.75" customHeight="1">
      <c r="A1975" s="43"/>
      <c r="B1975" s="43"/>
      <c r="C1975" s="43"/>
      <c r="D1975" s="43"/>
      <c r="E1975" s="43"/>
      <c r="F1975" s="43"/>
      <c r="G1975" s="43"/>
      <c r="H1975" s="43"/>
      <c r="I1975" s="43"/>
    </row>
    <row r="1976" ht="12.75" customHeight="1">
      <c r="A1976" s="43"/>
      <c r="B1976" s="43"/>
      <c r="C1976" s="43"/>
      <c r="D1976" s="43"/>
      <c r="E1976" s="43"/>
      <c r="F1976" s="43"/>
      <c r="G1976" s="43"/>
      <c r="H1976" s="43"/>
      <c r="I1976" s="43"/>
    </row>
    <row r="1977" ht="12.75" customHeight="1">
      <c r="A1977" s="43"/>
      <c r="B1977" s="43"/>
      <c r="C1977" s="43"/>
      <c r="D1977" s="43"/>
      <c r="E1977" s="43"/>
      <c r="F1977" s="43"/>
      <c r="G1977" s="43"/>
      <c r="H1977" s="43"/>
      <c r="I1977" s="43"/>
    </row>
    <row r="1978" ht="12.75" customHeight="1">
      <c r="A1978" s="43"/>
      <c r="B1978" s="43"/>
      <c r="C1978" s="43"/>
      <c r="D1978" s="43"/>
      <c r="E1978" s="43"/>
      <c r="F1978" s="43"/>
      <c r="G1978" s="43"/>
      <c r="H1978" s="43"/>
      <c r="I1978" s="43"/>
    </row>
    <row r="1979" ht="12.75" customHeight="1">
      <c r="A1979" s="43"/>
      <c r="B1979" s="43"/>
      <c r="C1979" s="43"/>
      <c r="D1979" s="43"/>
      <c r="E1979" s="43"/>
      <c r="F1979" s="43"/>
      <c r="G1979" s="43"/>
      <c r="H1979" s="43"/>
      <c r="I1979" s="43"/>
    </row>
    <row r="1980" ht="12.75" customHeight="1">
      <c r="A1980" s="43"/>
      <c r="B1980" s="43"/>
      <c r="C1980" s="43"/>
      <c r="D1980" s="43"/>
      <c r="E1980" s="43"/>
      <c r="F1980" s="43"/>
      <c r="G1980" s="43"/>
      <c r="H1980" s="43"/>
      <c r="I1980" s="43"/>
    </row>
    <row r="1981" ht="12.75" customHeight="1">
      <c r="A1981" s="43"/>
      <c r="B1981" s="43"/>
      <c r="C1981" s="43"/>
      <c r="D1981" s="43"/>
      <c r="E1981" s="43"/>
      <c r="F1981" s="43"/>
      <c r="G1981" s="43"/>
      <c r="H1981" s="43"/>
      <c r="I1981" s="43"/>
    </row>
    <row r="1982" ht="12.75" customHeight="1">
      <c r="A1982" s="43"/>
      <c r="B1982" s="43"/>
      <c r="C1982" s="43"/>
      <c r="D1982" s="43"/>
      <c r="E1982" s="43"/>
      <c r="F1982" s="43"/>
      <c r="G1982" s="43"/>
      <c r="H1982" s="43"/>
      <c r="I1982" s="43"/>
    </row>
    <row r="1983" ht="12.75" customHeight="1">
      <c r="A1983" s="43"/>
      <c r="B1983" s="43"/>
      <c r="C1983" s="43"/>
      <c r="D1983" s="43"/>
      <c r="E1983" s="43"/>
      <c r="F1983" s="43"/>
      <c r="G1983" s="43"/>
      <c r="H1983" s="43"/>
      <c r="I1983" s="43"/>
    </row>
    <row r="1984" ht="12.75" customHeight="1">
      <c r="A1984" s="43"/>
      <c r="B1984" s="43"/>
      <c r="C1984" s="43"/>
      <c r="D1984" s="43"/>
      <c r="E1984" s="43"/>
      <c r="F1984" s="43"/>
      <c r="G1984" s="43"/>
      <c r="H1984" s="43"/>
      <c r="I1984" s="43"/>
    </row>
    <row r="1985" ht="12.75" customHeight="1">
      <c r="A1985" s="43"/>
      <c r="B1985" s="43"/>
      <c r="C1985" s="43"/>
      <c r="D1985" s="43"/>
      <c r="E1985" s="43"/>
      <c r="F1985" s="43"/>
      <c r="G1985" s="43"/>
      <c r="H1985" s="43"/>
      <c r="I1985" s="43"/>
    </row>
    <row r="1986" ht="12.75" customHeight="1">
      <c r="A1986" s="43"/>
      <c r="B1986" s="43"/>
      <c r="C1986" s="43"/>
      <c r="D1986" s="43"/>
      <c r="E1986" s="43"/>
      <c r="F1986" s="43"/>
      <c r="G1986" s="43"/>
      <c r="H1986" s="43"/>
      <c r="I1986" s="43"/>
    </row>
    <row r="1987" ht="12.75" customHeight="1">
      <c r="A1987" s="43"/>
      <c r="B1987" s="43"/>
      <c r="C1987" s="43"/>
      <c r="D1987" s="43"/>
      <c r="E1987" s="43"/>
      <c r="F1987" s="43"/>
      <c r="G1987" s="43"/>
      <c r="H1987" s="43"/>
      <c r="I1987" s="43"/>
    </row>
    <row r="1988" ht="12.75" customHeight="1">
      <c r="A1988" s="43"/>
      <c r="B1988" s="43"/>
      <c r="C1988" s="43"/>
      <c r="D1988" s="43"/>
      <c r="E1988" s="43"/>
      <c r="F1988" s="43"/>
      <c r="G1988" s="43"/>
      <c r="H1988" s="43"/>
      <c r="I1988" s="43"/>
    </row>
    <row r="1989" ht="12.75" customHeight="1">
      <c r="A1989" s="43"/>
      <c r="B1989" s="43"/>
      <c r="C1989" s="43"/>
      <c r="D1989" s="43"/>
      <c r="E1989" s="43"/>
      <c r="F1989" s="43"/>
      <c r="G1989" s="43"/>
      <c r="H1989" s="43"/>
      <c r="I1989" s="43"/>
    </row>
    <row r="1990" ht="12.75" customHeight="1">
      <c r="A1990" s="43"/>
      <c r="B1990" s="43"/>
      <c r="C1990" s="43"/>
      <c r="D1990" s="43"/>
      <c r="E1990" s="43"/>
      <c r="F1990" s="43"/>
      <c r="G1990" s="43"/>
      <c r="H1990" s="43"/>
      <c r="I1990" s="43"/>
    </row>
    <row r="1991" ht="12.75" customHeight="1">
      <c r="A1991" s="43"/>
      <c r="B1991" s="43"/>
      <c r="C1991" s="43"/>
      <c r="D1991" s="43"/>
      <c r="E1991" s="43"/>
      <c r="F1991" s="43"/>
      <c r="G1991" s="43"/>
      <c r="H1991" s="43"/>
      <c r="I1991" s="43"/>
    </row>
    <row r="1992" ht="12.75" customHeight="1">
      <c r="A1992" s="43"/>
      <c r="B1992" s="43"/>
      <c r="C1992" s="43"/>
      <c r="D1992" s="43"/>
      <c r="E1992" s="43"/>
      <c r="F1992" s="43"/>
      <c r="G1992" s="43"/>
      <c r="H1992" s="43"/>
      <c r="I1992" s="43"/>
    </row>
    <row r="1993" ht="12.75" customHeight="1">
      <c r="A1993" s="43"/>
      <c r="B1993" s="43"/>
      <c r="C1993" s="43"/>
      <c r="D1993" s="43"/>
      <c r="E1993" s="43"/>
      <c r="F1993" s="43"/>
      <c r="G1993" s="43"/>
      <c r="H1993" s="43"/>
      <c r="I1993" s="43"/>
    </row>
    <row r="1994" ht="12.75" customHeight="1">
      <c r="A1994" s="43"/>
      <c r="B1994" s="43"/>
      <c r="C1994" s="43"/>
      <c r="D1994" s="43"/>
      <c r="E1994" s="43"/>
      <c r="F1994" s="43"/>
      <c r="G1994" s="43"/>
      <c r="H1994" s="43"/>
      <c r="I1994" s="43"/>
    </row>
    <row r="1995" ht="12.75" customHeight="1">
      <c r="A1995" s="43"/>
      <c r="B1995" s="43"/>
      <c r="C1995" s="43"/>
      <c r="D1995" s="43"/>
      <c r="E1995" s="43"/>
      <c r="F1995" s="43"/>
      <c r="G1995" s="43"/>
      <c r="H1995" s="43"/>
      <c r="I1995" s="43"/>
    </row>
    <row r="1996" ht="12.75" customHeight="1">
      <c r="A1996" s="43"/>
      <c r="B1996" s="43"/>
      <c r="C1996" s="43"/>
      <c r="D1996" s="43"/>
      <c r="E1996" s="43"/>
      <c r="F1996" s="43"/>
      <c r="G1996" s="43"/>
      <c r="H1996" s="43"/>
      <c r="I1996" s="43"/>
    </row>
    <row r="1997" ht="12.75" customHeight="1">
      <c r="A1997" s="43"/>
      <c r="B1997" s="43"/>
      <c r="C1997" s="43"/>
      <c r="D1997" s="43"/>
      <c r="E1997" s="43"/>
      <c r="F1997" s="43"/>
      <c r="G1997" s="43"/>
      <c r="H1997" s="43"/>
      <c r="I1997" s="43"/>
    </row>
    <row r="1998" ht="12.75" customHeight="1">
      <c r="A1998" s="43"/>
      <c r="B1998" s="43"/>
      <c r="C1998" s="43"/>
      <c r="D1998" s="43"/>
      <c r="E1998" s="43"/>
      <c r="F1998" s="43"/>
      <c r="G1998" s="43"/>
      <c r="H1998" s="43"/>
      <c r="I1998" s="43"/>
    </row>
    <row r="1999" ht="12.75" customHeight="1">
      <c r="A1999" s="43"/>
      <c r="B1999" s="43"/>
      <c r="C1999" s="43"/>
      <c r="D1999" s="43"/>
      <c r="E1999" s="43"/>
      <c r="F1999" s="43"/>
      <c r="G1999" s="43"/>
      <c r="H1999" s="43"/>
      <c r="I1999" s="43"/>
    </row>
    <row r="2000" ht="12.75" customHeight="1">
      <c r="A2000" s="43"/>
      <c r="B2000" s="43"/>
      <c r="C2000" s="43"/>
      <c r="D2000" s="43"/>
      <c r="E2000" s="43"/>
      <c r="F2000" s="43"/>
      <c r="G2000" s="43"/>
      <c r="H2000" s="43"/>
      <c r="I2000" s="43"/>
    </row>
    <row r="2001" ht="12.75" customHeight="1">
      <c r="A2001" s="43"/>
      <c r="B2001" s="43"/>
      <c r="C2001" s="43"/>
      <c r="D2001" s="43"/>
      <c r="E2001" s="43"/>
      <c r="F2001" s="43"/>
      <c r="G2001" s="43"/>
      <c r="H2001" s="43"/>
      <c r="I2001" s="43"/>
    </row>
    <row r="2002" ht="12.75" customHeight="1">
      <c r="A2002" s="43"/>
      <c r="B2002" s="43"/>
      <c r="C2002" s="43"/>
      <c r="D2002" s="43"/>
      <c r="E2002" s="43"/>
      <c r="F2002" s="43"/>
      <c r="G2002" s="43"/>
      <c r="H2002" s="43"/>
      <c r="I2002" s="43"/>
    </row>
    <row r="2003" ht="12.75" customHeight="1">
      <c r="A2003" s="43"/>
      <c r="B2003" s="43"/>
      <c r="C2003" s="43"/>
      <c r="D2003" s="43"/>
      <c r="E2003" s="43"/>
      <c r="F2003" s="43"/>
      <c r="G2003" s="43"/>
      <c r="H2003" s="43"/>
      <c r="I2003" s="43"/>
    </row>
    <row r="2004" ht="12.75" customHeight="1">
      <c r="A2004" s="43"/>
      <c r="B2004" s="43"/>
      <c r="C2004" s="43"/>
      <c r="D2004" s="43"/>
      <c r="E2004" s="43"/>
      <c r="F2004" s="43"/>
      <c r="G2004" s="43"/>
      <c r="H2004" s="43"/>
      <c r="I2004" s="43"/>
    </row>
    <row r="2005" ht="12.75" customHeight="1">
      <c r="A2005" s="43"/>
      <c r="B2005" s="43"/>
      <c r="C2005" s="43"/>
      <c r="D2005" s="43"/>
      <c r="E2005" s="43"/>
      <c r="F2005" s="43"/>
      <c r="G2005" s="43"/>
      <c r="H2005" s="43"/>
      <c r="I2005" s="43"/>
    </row>
    <row r="2006" ht="12.75" customHeight="1">
      <c r="A2006" s="43"/>
      <c r="B2006" s="43"/>
      <c r="C2006" s="43"/>
      <c r="D2006" s="43"/>
      <c r="E2006" s="43"/>
      <c r="F2006" s="43"/>
      <c r="G2006" s="43"/>
      <c r="H2006" s="43"/>
      <c r="I2006" s="43"/>
    </row>
    <row r="2007" ht="12.75" customHeight="1">
      <c r="A2007" s="43"/>
      <c r="B2007" s="43"/>
      <c r="C2007" s="43"/>
      <c r="D2007" s="43"/>
      <c r="E2007" s="43"/>
      <c r="F2007" s="43"/>
      <c r="G2007" s="43"/>
      <c r="H2007" s="43"/>
      <c r="I2007" s="43"/>
    </row>
    <row r="2008" ht="12.75" customHeight="1">
      <c r="A2008" s="43"/>
      <c r="B2008" s="43"/>
      <c r="C2008" s="43"/>
      <c r="D2008" s="43"/>
      <c r="E2008" s="43"/>
      <c r="F2008" s="43"/>
      <c r="G2008" s="43"/>
      <c r="H2008" s="43"/>
      <c r="I2008" s="43"/>
    </row>
    <row r="2009" ht="12.75" customHeight="1">
      <c r="A2009" s="43"/>
      <c r="B2009" s="43"/>
      <c r="C2009" s="43"/>
      <c r="D2009" s="43"/>
      <c r="E2009" s="43"/>
      <c r="F2009" s="43"/>
      <c r="G2009" s="43"/>
      <c r="H2009" s="43"/>
      <c r="I2009" s="43"/>
    </row>
    <row r="2010" ht="12.75" customHeight="1">
      <c r="A2010" s="43"/>
      <c r="B2010" s="43"/>
      <c r="C2010" s="43"/>
      <c r="D2010" s="43"/>
      <c r="E2010" s="43"/>
      <c r="F2010" s="43"/>
      <c r="G2010" s="43"/>
      <c r="H2010" s="43"/>
      <c r="I2010" s="43"/>
    </row>
    <row r="2011" ht="12.75" customHeight="1">
      <c r="A2011" s="43"/>
      <c r="B2011" s="43"/>
      <c r="C2011" s="43"/>
      <c r="D2011" s="43"/>
      <c r="E2011" s="43"/>
      <c r="F2011" s="43"/>
      <c r="G2011" s="43"/>
      <c r="H2011" s="43"/>
      <c r="I2011" s="43"/>
    </row>
    <row r="2012" ht="12.75" customHeight="1">
      <c r="A2012" s="43"/>
      <c r="B2012" s="43"/>
      <c r="C2012" s="43"/>
      <c r="D2012" s="43"/>
      <c r="E2012" s="43"/>
      <c r="F2012" s="43"/>
      <c r="G2012" s="43"/>
      <c r="H2012" s="43"/>
      <c r="I2012" s="43"/>
    </row>
    <row r="2013" ht="12.75" customHeight="1">
      <c r="A2013" s="43"/>
      <c r="B2013" s="43"/>
      <c r="C2013" s="43"/>
      <c r="D2013" s="43"/>
      <c r="E2013" s="43"/>
      <c r="F2013" s="43"/>
      <c r="G2013" s="43"/>
      <c r="H2013" s="43"/>
      <c r="I2013" s="43"/>
    </row>
    <row r="2014" ht="12.75" customHeight="1">
      <c r="A2014" s="43"/>
      <c r="B2014" s="43"/>
      <c r="C2014" s="43"/>
      <c r="D2014" s="43"/>
      <c r="E2014" s="43"/>
      <c r="F2014" s="43"/>
      <c r="G2014" s="43"/>
      <c r="H2014" s="43"/>
      <c r="I2014" s="43"/>
    </row>
    <row r="2015" ht="12.75" customHeight="1">
      <c r="A2015" s="43"/>
      <c r="B2015" s="43"/>
      <c r="C2015" s="43"/>
      <c r="D2015" s="43"/>
      <c r="E2015" s="43"/>
      <c r="F2015" s="43"/>
      <c r="G2015" s="43"/>
      <c r="H2015" s="43"/>
      <c r="I2015" s="43"/>
    </row>
    <row r="2016" ht="12.75" customHeight="1">
      <c r="A2016" s="43"/>
      <c r="B2016" s="43"/>
      <c r="C2016" s="43"/>
      <c r="D2016" s="43"/>
      <c r="E2016" s="43"/>
      <c r="F2016" s="43"/>
      <c r="G2016" s="43"/>
      <c r="H2016" s="43"/>
      <c r="I2016" s="43"/>
    </row>
    <row r="2017" ht="12.75" customHeight="1">
      <c r="A2017" s="43"/>
      <c r="B2017" s="43"/>
      <c r="C2017" s="43"/>
      <c r="D2017" s="43"/>
      <c r="E2017" s="43"/>
      <c r="F2017" s="43"/>
      <c r="G2017" s="43"/>
      <c r="H2017" s="43"/>
      <c r="I2017" s="43"/>
    </row>
    <row r="2018" ht="12.75" customHeight="1">
      <c r="A2018" s="43"/>
      <c r="B2018" s="43"/>
      <c r="C2018" s="43"/>
      <c r="D2018" s="43"/>
      <c r="E2018" s="43"/>
      <c r="F2018" s="43"/>
      <c r="G2018" s="43"/>
      <c r="H2018" s="43"/>
      <c r="I2018" s="43"/>
    </row>
    <row r="2019" ht="12.75" customHeight="1">
      <c r="A2019" s="43"/>
      <c r="B2019" s="43"/>
      <c r="C2019" s="43"/>
      <c r="D2019" s="43"/>
      <c r="E2019" s="43"/>
      <c r="F2019" s="43"/>
      <c r="G2019" s="43"/>
      <c r="H2019" s="43"/>
      <c r="I2019" s="43"/>
    </row>
    <row r="2020" ht="12.75" customHeight="1">
      <c r="A2020" s="43"/>
      <c r="B2020" s="43"/>
      <c r="C2020" s="43"/>
      <c r="D2020" s="43"/>
      <c r="E2020" s="43"/>
      <c r="F2020" s="43"/>
      <c r="G2020" s="43"/>
      <c r="H2020" s="43"/>
      <c r="I2020" s="43"/>
    </row>
    <row r="2021" ht="12.75" customHeight="1">
      <c r="A2021" s="43"/>
      <c r="B2021" s="43"/>
      <c r="C2021" s="43"/>
      <c r="D2021" s="43"/>
      <c r="E2021" s="43"/>
      <c r="F2021" s="43"/>
      <c r="G2021" s="43"/>
      <c r="H2021" s="43"/>
      <c r="I2021" s="43"/>
    </row>
    <row r="2022" ht="12.75" customHeight="1">
      <c r="A2022" s="43"/>
      <c r="B2022" s="43"/>
      <c r="C2022" s="43"/>
      <c r="D2022" s="43"/>
      <c r="E2022" s="43"/>
      <c r="F2022" s="43"/>
      <c r="G2022" s="43"/>
      <c r="H2022" s="43"/>
      <c r="I2022" s="43"/>
    </row>
    <row r="2023" ht="12.75" customHeight="1">
      <c r="A2023" s="43"/>
      <c r="B2023" s="43"/>
      <c r="C2023" s="43"/>
      <c r="D2023" s="43"/>
      <c r="E2023" s="43"/>
      <c r="F2023" s="43"/>
      <c r="G2023" s="43"/>
      <c r="H2023" s="43"/>
      <c r="I2023" s="43"/>
    </row>
    <row r="2024" ht="12.75" customHeight="1">
      <c r="A2024" s="43"/>
      <c r="B2024" s="43"/>
      <c r="C2024" s="43"/>
      <c r="D2024" s="43"/>
      <c r="E2024" s="43"/>
      <c r="F2024" s="43"/>
      <c r="G2024" s="43"/>
      <c r="H2024" s="43"/>
      <c r="I2024" s="43"/>
    </row>
    <row r="2025" ht="12.75" customHeight="1">
      <c r="A2025" s="43"/>
      <c r="B2025" s="43"/>
      <c r="C2025" s="43"/>
      <c r="D2025" s="43"/>
      <c r="E2025" s="43"/>
      <c r="F2025" s="43"/>
      <c r="G2025" s="43"/>
      <c r="H2025" s="43"/>
      <c r="I2025" s="43"/>
    </row>
    <row r="2026" ht="12.75" customHeight="1">
      <c r="A2026" s="43"/>
      <c r="B2026" s="43"/>
      <c r="C2026" s="43"/>
      <c r="D2026" s="43"/>
      <c r="E2026" s="43"/>
      <c r="F2026" s="43"/>
      <c r="G2026" s="43"/>
      <c r="H2026" s="43"/>
      <c r="I2026" s="43"/>
    </row>
    <row r="2027" ht="12.75" customHeight="1">
      <c r="A2027" s="43"/>
      <c r="B2027" s="43"/>
      <c r="C2027" s="43"/>
      <c r="D2027" s="43"/>
      <c r="E2027" s="43"/>
      <c r="F2027" s="43"/>
      <c r="G2027" s="43"/>
      <c r="H2027" s="43"/>
      <c r="I2027" s="43"/>
    </row>
    <row r="2028" ht="12.75" customHeight="1">
      <c r="A2028" s="43"/>
      <c r="B2028" s="43"/>
      <c r="C2028" s="43"/>
      <c r="D2028" s="43"/>
      <c r="E2028" s="43"/>
      <c r="F2028" s="43"/>
      <c r="G2028" s="43"/>
      <c r="H2028" s="43"/>
      <c r="I2028" s="43"/>
    </row>
    <row r="2029" ht="12.75" customHeight="1">
      <c r="A2029" s="43"/>
      <c r="B2029" s="43"/>
      <c r="C2029" s="43"/>
      <c r="D2029" s="43"/>
      <c r="E2029" s="43"/>
      <c r="F2029" s="43"/>
      <c r="G2029" s="43"/>
      <c r="H2029" s="43"/>
      <c r="I2029" s="43"/>
    </row>
    <row r="2030" ht="12.75" customHeight="1">
      <c r="A2030" s="43"/>
      <c r="B2030" s="43"/>
      <c r="C2030" s="43"/>
      <c r="D2030" s="43"/>
      <c r="E2030" s="43"/>
      <c r="F2030" s="43"/>
      <c r="G2030" s="43"/>
      <c r="H2030" s="43"/>
      <c r="I2030" s="43"/>
    </row>
    <row r="2031" ht="12.75" customHeight="1">
      <c r="A2031" s="43"/>
      <c r="B2031" s="43"/>
      <c r="C2031" s="43"/>
      <c r="D2031" s="43"/>
      <c r="E2031" s="43"/>
      <c r="F2031" s="43"/>
      <c r="G2031" s="43"/>
      <c r="H2031" s="43"/>
      <c r="I2031" s="43"/>
    </row>
    <row r="2032" ht="12.75" customHeight="1">
      <c r="A2032" s="43"/>
      <c r="B2032" s="43"/>
      <c r="C2032" s="43"/>
      <c r="D2032" s="43"/>
      <c r="E2032" s="43"/>
      <c r="F2032" s="43"/>
      <c r="G2032" s="43"/>
      <c r="H2032" s="43"/>
      <c r="I2032" s="43"/>
    </row>
    <row r="2033" ht="12.75" customHeight="1">
      <c r="A2033" s="43"/>
      <c r="B2033" s="43"/>
      <c r="C2033" s="43"/>
      <c r="D2033" s="43"/>
      <c r="E2033" s="43"/>
      <c r="F2033" s="43"/>
      <c r="G2033" s="43"/>
      <c r="H2033" s="43"/>
      <c r="I2033" s="43"/>
    </row>
    <row r="2034" ht="12.75" customHeight="1">
      <c r="A2034" s="43"/>
      <c r="B2034" s="43"/>
      <c r="C2034" s="43"/>
      <c r="D2034" s="43"/>
      <c r="E2034" s="43"/>
      <c r="F2034" s="43"/>
      <c r="G2034" s="43"/>
      <c r="H2034" s="43"/>
      <c r="I2034" s="43"/>
    </row>
    <row r="2035" ht="12.75" customHeight="1">
      <c r="A2035" s="43"/>
      <c r="B2035" s="43"/>
      <c r="C2035" s="43"/>
      <c r="D2035" s="43"/>
      <c r="E2035" s="43"/>
      <c r="F2035" s="43"/>
      <c r="G2035" s="43"/>
      <c r="H2035" s="43"/>
      <c r="I2035" s="43"/>
    </row>
    <row r="2036" ht="12.75" customHeight="1">
      <c r="A2036" s="43"/>
      <c r="B2036" s="43"/>
      <c r="C2036" s="43"/>
      <c r="D2036" s="43"/>
      <c r="E2036" s="43"/>
      <c r="F2036" s="43"/>
      <c r="G2036" s="43"/>
      <c r="H2036" s="43"/>
      <c r="I2036" s="43"/>
    </row>
    <row r="2037" ht="12.75" customHeight="1">
      <c r="A2037" s="43"/>
      <c r="B2037" s="43"/>
      <c r="C2037" s="43"/>
      <c r="D2037" s="43"/>
      <c r="E2037" s="43"/>
      <c r="F2037" s="43"/>
      <c r="G2037" s="43"/>
      <c r="H2037" s="43"/>
      <c r="I2037" s="43"/>
    </row>
    <row r="2038" ht="12.75" customHeight="1">
      <c r="A2038" s="43"/>
      <c r="B2038" s="43"/>
      <c r="C2038" s="43"/>
      <c r="D2038" s="43"/>
      <c r="E2038" s="43"/>
      <c r="F2038" s="43"/>
      <c r="G2038" s="43"/>
      <c r="H2038" s="43"/>
      <c r="I2038" s="43"/>
    </row>
    <row r="2039" ht="12.75" customHeight="1">
      <c r="A2039" s="43"/>
      <c r="B2039" s="43"/>
      <c r="C2039" s="43"/>
      <c r="D2039" s="43"/>
      <c r="E2039" s="43"/>
      <c r="F2039" s="43"/>
      <c r="G2039" s="43"/>
      <c r="H2039" s="43"/>
      <c r="I2039" s="43"/>
    </row>
    <row r="2040" ht="12.75" customHeight="1">
      <c r="A2040" s="43"/>
      <c r="B2040" s="43"/>
      <c r="C2040" s="43"/>
      <c r="D2040" s="43"/>
      <c r="E2040" s="43"/>
      <c r="F2040" s="43"/>
      <c r="G2040" s="43"/>
      <c r="H2040" s="43"/>
      <c r="I2040" s="43"/>
    </row>
    <row r="2041" ht="12.75" customHeight="1">
      <c r="A2041" s="43"/>
      <c r="B2041" s="43"/>
      <c r="C2041" s="43"/>
      <c r="D2041" s="43"/>
      <c r="E2041" s="43"/>
      <c r="F2041" s="43"/>
      <c r="G2041" s="43"/>
      <c r="H2041" s="43"/>
      <c r="I2041" s="43"/>
    </row>
    <row r="2042" ht="12.75" customHeight="1">
      <c r="A2042" s="43"/>
      <c r="B2042" s="43"/>
      <c r="C2042" s="43"/>
      <c r="D2042" s="43"/>
      <c r="E2042" s="43"/>
      <c r="F2042" s="43"/>
      <c r="G2042" s="43"/>
      <c r="H2042" s="43"/>
      <c r="I2042" s="43"/>
    </row>
    <row r="2043" ht="12.75" customHeight="1">
      <c r="A2043" s="43"/>
      <c r="B2043" s="43"/>
      <c r="C2043" s="43"/>
      <c r="D2043" s="43"/>
      <c r="E2043" s="43"/>
      <c r="F2043" s="43"/>
      <c r="G2043" s="43"/>
      <c r="H2043" s="43"/>
      <c r="I2043" s="43"/>
    </row>
    <row r="2044" ht="12.75" customHeight="1">
      <c r="A2044" s="43"/>
      <c r="B2044" s="43"/>
      <c r="C2044" s="43"/>
      <c r="D2044" s="43"/>
      <c r="E2044" s="43"/>
      <c r="F2044" s="43"/>
      <c r="G2044" s="43"/>
      <c r="H2044" s="43"/>
      <c r="I2044" s="43"/>
    </row>
    <row r="2045" ht="12.75" customHeight="1">
      <c r="A2045" s="43"/>
      <c r="B2045" s="43"/>
      <c r="C2045" s="43"/>
      <c r="D2045" s="43"/>
      <c r="E2045" s="43"/>
      <c r="F2045" s="43"/>
      <c r="G2045" s="43"/>
      <c r="H2045" s="43"/>
      <c r="I2045" s="43"/>
    </row>
    <row r="2046" ht="12.75" customHeight="1">
      <c r="A2046" s="43"/>
      <c r="B2046" s="43"/>
      <c r="C2046" s="43"/>
      <c r="D2046" s="43"/>
      <c r="E2046" s="43"/>
      <c r="F2046" s="43"/>
      <c r="G2046" s="43"/>
      <c r="H2046" s="43"/>
      <c r="I2046" s="43"/>
    </row>
    <row r="2047" ht="12.75" customHeight="1">
      <c r="A2047" s="43"/>
      <c r="B2047" s="43"/>
      <c r="C2047" s="43"/>
      <c r="D2047" s="43"/>
      <c r="E2047" s="43"/>
      <c r="F2047" s="43"/>
      <c r="G2047" s="43"/>
      <c r="H2047" s="43"/>
      <c r="I2047" s="43"/>
    </row>
    <row r="2048" ht="12.75" customHeight="1">
      <c r="A2048" s="43"/>
      <c r="B2048" s="43"/>
      <c r="C2048" s="43"/>
      <c r="D2048" s="43"/>
      <c r="E2048" s="43"/>
      <c r="F2048" s="43"/>
      <c r="G2048" s="43"/>
      <c r="H2048" s="43"/>
      <c r="I2048" s="43"/>
    </row>
    <row r="2049" ht="12.75" customHeight="1">
      <c r="A2049" s="43"/>
      <c r="B2049" s="43"/>
      <c r="C2049" s="43"/>
      <c r="D2049" s="43"/>
      <c r="E2049" s="43"/>
      <c r="F2049" s="43"/>
      <c r="G2049" s="43"/>
      <c r="H2049" s="43"/>
      <c r="I2049" s="43"/>
    </row>
    <row r="2050" ht="12.75" customHeight="1">
      <c r="A2050" s="43"/>
      <c r="B2050" s="43"/>
      <c r="C2050" s="43"/>
      <c r="D2050" s="43"/>
      <c r="E2050" s="43"/>
      <c r="F2050" s="43"/>
      <c r="G2050" s="43"/>
      <c r="H2050" s="43"/>
      <c r="I2050" s="43"/>
    </row>
    <row r="2051" ht="12.75" customHeight="1">
      <c r="A2051" s="43"/>
      <c r="B2051" s="43"/>
      <c r="C2051" s="43"/>
      <c r="D2051" s="43"/>
      <c r="E2051" s="43"/>
      <c r="F2051" s="43"/>
      <c r="G2051" s="43"/>
      <c r="H2051" s="43"/>
      <c r="I2051" s="43"/>
    </row>
    <row r="2052" ht="12.75" customHeight="1">
      <c r="A2052" s="43"/>
      <c r="B2052" s="43"/>
      <c r="C2052" s="43"/>
      <c r="D2052" s="43"/>
      <c r="E2052" s="43"/>
      <c r="F2052" s="43"/>
      <c r="G2052" s="43"/>
      <c r="H2052" s="43"/>
      <c r="I2052" s="43"/>
    </row>
    <row r="2053" ht="12.75" customHeight="1">
      <c r="A2053" s="43"/>
      <c r="B2053" s="43"/>
      <c r="C2053" s="43"/>
      <c r="D2053" s="43"/>
      <c r="E2053" s="43"/>
      <c r="F2053" s="43"/>
      <c r="G2053" s="43"/>
      <c r="H2053" s="43"/>
      <c r="I2053" s="43"/>
    </row>
    <row r="2054" ht="12.75" customHeight="1">
      <c r="A2054" s="43"/>
      <c r="B2054" s="43"/>
      <c r="C2054" s="43"/>
      <c r="D2054" s="43"/>
      <c r="E2054" s="43"/>
      <c r="F2054" s="43"/>
      <c r="G2054" s="43"/>
      <c r="H2054" s="43"/>
      <c r="I2054" s="43"/>
    </row>
    <row r="2055" ht="12.75" customHeight="1">
      <c r="A2055" s="43"/>
      <c r="B2055" s="43"/>
      <c r="C2055" s="43"/>
      <c r="D2055" s="43"/>
      <c r="E2055" s="43"/>
      <c r="F2055" s="43"/>
      <c r="G2055" s="43"/>
      <c r="H2055" s="43"/>
      <c r="I2055" s="43"/>
    </row>
    <row r="2056" ht="12.75" customHeight="1">
      <c r="A2056" s="43"/>
      <c r="B2056" s="43"/>
      <c r="C2056" s="43"/>
      <c r="D2056" s="43"/>
      <c r="E2056" s="43"/>
      <c r="F2056" s="43"/>
      <c r="G2056" s="43"/>
      <c r="H2056" s="43"/>
      <c r="I2056" s="43"/>
    </row>
    <row r="2057" ht="12.75" customHeight="1">
      <c r="A2057" s="43"/>
      <c r="B2057" s="43"/>
      <c r="C2057" s="43"/>
      <c r="D2057" s="43"/>
      <c r="E2057" s="43"/>
      <c r="F2057" s="43"/>
      <c r="G2057" s="43"/>
      <c r="H2057" s="43"/>
      <c r="I2057" s="43"/>
    </row>
    <row r="2058" ht="12.75" customHeight="1">
      <c r="A2058" s="43"/>
      <c r="B2058" s="43"/>
      <c r="C2058" s="43"/>
      <c r="D2058" s="43"/>
      <c r="E2058" s="43"/>
      <c r="F2058" s="43"/>
      <c r="G2058" s="43"/>
      <c r="H2058" s="43"/>
      <c r="I2058" s="43"/>
    </row>
    <row r="2059" ht="12.75" customHeight="1">
      <c r="A2059" s="43"/>
      <c r="B2059" s="43"/>
      <c r="C2059" s="43"/>
      <c r="D2059" s="43"/>
      <c r="E2059" s="43"/>
      <c r="F2059" s="43"/>
      <c r="G2059" s="43"/>
      <c r="H2059" s="43"/>
      <c r="I2059" s="43"/>
    </row>
    <row r="2060" ht="12.75" customHeight="1">
      <c r="A2060" s="43"/>
      <c r="B2060" s="43"/>
      <c r="C2060" s="43"/>
      <c r="D2060" s="43"/>
      <c r="E2060" s="43"/>
      <c r="F2060" s="43"/>
      <c r="G2060" s="43"/>
      <c r="H2060" s="43"/>
      <c r="I2060" s="43"/>
    </row>
    <row r="2061" ht="12.75" customHeight="1">
      <c r="A2061" s="43"/>
      <c r="B2061" s="43"/>
      <c r="C2061" s="43"/>
      <c r="D2061" s="43"/>
      <c r="E2061" s="43"/>
      <c r="F2061" s="43"/>
      <c r="G2061" s="43"/>
      <c r="H2061" s="43"/>
      <c r="I2061" s="43"/>
    </row>
    <row r="2062" ht="12.75" customHeight="1">
      <c r="A2062" s="43"/>
      <c r="B2062" s="43"/>
      <c r="C2062" s="43"/>
      <c r="D2062" s="43"/>
      <c r="E2062" s="43"/>
      <c r="F2062" s="43"/>
      <c r="G2062" s="43"/>
      <c r="H2062" s="43"/>
      <c r="I2062" s="43"/>
    </row>
    <row r="2063" ht="12.75" customHeight="1">
      <c r="A2063" s="43"/>
      <c r="B2063" s="43"/>
      <c r="C2063" s="43"/>
      <c r="D2063" s="43"/>
      <c r="E2063" s="43"/>
      <c r="F2063" s="43"/>
      <c r="G2063" s="43"/>
      <c r="H2063" s="43"/>
      <c r="I2063" s="43"/>
    </row>
    <row r="2064" ht="12.75" customHeight="1">
      <c r="A2064" s="43"/>
      <c r="B2064" s="43"/>
      <c r="C2064" s="43"/>
      <c r="D2064" s="43"/>
      <c r="E2064" s="43"/>
      <c r="F2064" s="43"/>
      <c r="G2064" s="43"/>
      <c r="H2064" s="43"/>
      <c r="I2064" s="43"/>
    </row>
    <row r="2065" ht="12.75" customHeight="1">
      <c r="A2065" s="43"/>
      <c r="B2065" s="43"/>
      <c r="C2065" s="43"/>
      <c r="D2065" s="43"/>
      <c r="E2065" s="43"/>
      <c r="F2065" s="43"/>
      <c r="G2065" s="43"/>
      <c r="H2065" s="43"/>
      <c r="I2065" s="43"/>
    </row>
    <row r="2066" ht="12.75" customHeight="1">
      <c r="A2066" s="43"/>
      <c r="B2066" s="43"/>
      <c r="C2066" s="43"/>
      <c r="D2066" s="43"/>
      <c r="E2066" s="43"/>
      <c r="F2066" s="43"/>
      <c r="G2066" s="43"/>
      <c r="H2066" s="43"/>
      <c r="I2066" s="43"/>
    </row>
    <row r="2067" ht="12.75" customHeight="1">
      <c r="A2067" s="43"/>
      <c r="B2067" s="43"/>
      <c r="C2067" s="43"/>
      <c r="D2067" s="43"/>
      <c r="E2067" s="43"/>
      <c r="F2067" s="43"/>
      <c r="G2067" s="43"/>
      <c r="H2067" s="43"/>
      <c r="I2067" s="43"/>
    </row>
    <row r="2068" ht="12.75" customHeight="1">
      <c r="A2068" s="43"/>
      <c r="B2068" s="43"/>
      <c r="C2068" s="43"/>
      <c r="D2068" s="43"/>
      <c r="E2068" s="43"/>
      <c r="F2068" s="43"/>
      <c r="G2068" s="43"/>
      <c r="H2068" s="43"/>
      <c r="I2068" s="43"/>
    </row>
    <row r="2069" ht="12.75" customHeight="1">
      <c r="A2069" s="43"/>
      <c r="B2069" s="43"/>
      <c r="C2069" s="43"/>
      <c r="D2069" s="43"/>
      <c r="E2069" s="43"/>
      <c r="F2069" s="43"/>
      <c r="G2069" s="43"/>
      <c r="H2069" s="43"/>
      <c r="I2069" s="43"/>
    </row>
    <row r="2070" ht="12.75" customHeight="1">
      <c r="A2070" s="43"/>
      <c r="B2070" s="43"/>
      <c r="C2070" s="43"/>
      <c r="D2070" s="43"/>
      <c r="E2070" s="43"/>
      <c r="F2070" s="43"/>
      <c r="G2070" s="43"/>
      <c r="H2070" s="43"/>
      <c r="I2070" s="43"/>
    </row>
    <row r="2071" ht="12.75" customHeight="1">
      <c r="A2071" s="43"/>
      <c r="B2071" s="43"/>
      <c r="C2071" s="43"/>
      <c r="D2071" s="43"/>
      <c r="E2071" s="43"/>
      <c r="F2071" s="43"/>
      <c r="G2071" s="43"/>
      <c r="H2071" s="43"/>
      <c r="I2071" s="43"/>
    </row>
    <row r="2072" ht="12.75" customHeight="1">
      <c r="A2072" s="43"/>
      <c r="B2072" s="43"/>
      <c r="C2072" s="43"/>
      <c r="D2072" s="43"/>
      <c r="E2072" s="43"/>
      <c r="F2072" s="43"/>
      <c r="G2072" s="43"/>
      <c r="H2072" s="43"/>
      <c r="I2072" s="43"/>
    </row>
    <row r="2073" ht="12.75" customHeight="1">
      <c r="A2073" s="43"/>
      <c r="B2073" s="43"/>
      <c r="C2073" s="43"/>
      <c r="D2073" s="43"/>
      <c r="E2073" s="43"/>
      <c r="F2073" s="43"/>
      <c r="G2073" s="43"/>
      <c r="H2073" s="43"/>
      <c r="I2073" s="43"/>
    </row>
    <row r="2074" ht="12.75" customHeight="1">
      <c r="A2074" s="43"/>
      <c r="B2074" s="43"/>
      <c r="C2074" s="43"/>
      <c r="D2074" s="43"/>
      <c r="E2074" s="43"/>
      <c r="F2074" s="43"/>
      <c r="G2074" s="43"/>
      <c r="H2074" s="43"/>
      <c r="I2074" s="43"/>
    </row>
    <row r="2075" ht="12.75" customHeight="1">
      <c r="A2075" s="43"/>
      <c r="B2075" s="43"/>
      <c r="C2075" s="43"/>
      <c r="D2075" s="43"/>
      <c r="E2075" s="43"/>
      <c r="F2075" s="43"/>
      <c r="G2075" s="43"/>
      <c r="H2075" s="43"/>
      <c r="I2075" s="43"/>
    </row>
    <row r="2076" ht="12.75" customHeight="1">
      <c r="A2076" s="43"/>
      <c r="B2076" s="43"/>
      <c r="C2076" s="43"/>
      <c r="D2076" s="43"/>
      <c r="E2076" s="43"/>
      <c r="F2076" s="43"/>
      <c r="G2076" s="43"/>
      <c r="H2076" s="43"/>
      <c r="I2076" s="43"/>
    </row>
    <row r="2077" ht="12.75" customHeight="1">
      <c r="A2077" s="43"/>
      <c r="B2077" s="43"/>
      <c r="C2077" s="43"/>
      <c r="D2077" s="43"/>
      <c r="E2077" s="43"/>
      <c r="F2077" s="43"/>
      <c r="G2077" s="43"/>
      <c r="H2077" s="43"/>
      <c r="I2077" s="43"/>
    </row>
    <row r="2078" ht="12.75" customHeight="1">
      <c r="A2078" s="43"/>
      <c r="B2078" s="43"/>
      <c r="C2078" s="43"/>
      <c r="D2078" s="43"/>
      <c r="E2078" s="43"/>
      <c r="F2078" s="43"/>
      <c r="G2078" s="43"/>
      <c r="H2078" s="43"/>
      <c r="I2078" s="43"/>
    </row>
    <row r="2079" ht="12.75" customHeight="1">
      <c r="A2079" s="43"/>
      <c r="B2079" s="43"/>
      <c r="C2079" s="43"/>
      <c r="D2079" s="43"/>
      <c r="E2079" s="43"/>
      <c r="F2079" s="43"/>
      <c r="G2079" s="43"/>
      <c r="H2079" s="43"/>
      <c r="I2079" s="43"/>
    </row>
    <row r="2080" ht="12.75" customHeight="1">
      <c r="A2080" s="43"/>
      <c r="B2080" s="43"/>
      <c r="C2080" s="43"/>
      <c r="D2080" s="43"/>
      <c r="E2080" s="43"/>
      <c r="F2080" s="43"/>
      <c r="G2080" s="43"/>
      <c r="H2080" s="43"/>
      <c r="I2080" s="43"/>
    </row>
    <row r="2081" ht="12.75" customHeight="1">
      <c r="A2081" s="43"/>
      <c r="B2081" s="43"/>
      <c r="C2081" s="43"/>
      <c r="D2081" s="43"/>
      <c r="E2081" s="43"/>
      <c r="F2081" s="43"/>
      <c r="G2081" s="43"/>
      <c r="H2081" s="43"/>
      <c r="I2081" s="43"/>
    </row>
    <row r="2082" ht="12.75" customHeight="1">
      <c r="A2082" s="43"/>
      <c r="B2082" s="43"/>
      <c r="C2082" s="43"/>
      <c r="D2082" s="43"/>
      <c r="E2082" s="43"/>
      <c r="F2082" s="43"/>
      <c r="G2082" s="43"/>
      <c r="H2082" s="43"/>
      <c r="I2082" s="43"/>
    </row>
    <row r="2083" ht="12.75" customHeight="1">
      <c r="A2083" s="43"/>
      <c r="B2083" s="43"/>
      <c r="C2083" s="43"/>
      <c r="D2083" s="43"/>
      <c r="E2083" s="43"/>
      <c r="F2083" s="43"/>
      <c r="G2083" s="43"/>
      <c r="H2083" s="43"/>
      <c r="I2083" s="43"/>
    </row>
    <row r="2084" ht="12.75" customHeight="1">
      <c r="A2084" s="43"/>
      <c r="B2084" s="43"/>
      <c r="C2084" s="43"/>
      <c r="D2084" s="43"/>
      <c r="E2084" s="43"/>
      <c r="F2084" s="43"/>
      <c r="G2084" s="43"/>
      <c r="H2084" s="43"/>
      <c r="I2084" s="43"/>
    </row>
    <row r="2085" ht="12.75" customHeight="1">
      <c r="A2085" s="43"/>
      <c r="B2085" s="43"/>
      <c r="C2085" s="43"/>
      <c r="D2085" s="43"/>
      <c r="E2085" s="43"/>
      <c r="F2085" s="43"/>
      <c r="G2085" s="43"/>
      <c r="H2085" s="43"/>
      <c r="I2085" s="43"/>
    </row>
    <row r="2086" ht="12.75" customHeight="1">
      <c r="A2086" s="43"/>
      <c r="B2086" s="43"/>
      <c r="C2086" s="43"/>
      <c r="D2086" s="43"/>
      <c r="E2086" s="43"/>
      <c r="F2086" s="43"/>
      <c r="G2086" s="43"/>
      <c r="H2086" s="43"/>
      <c r="I2086" s="43"/>
    </row>
    <row r="2087" ht="12.75" customHeight="1">
      <c r="A2087" s="43"/>
      <c r="B2087" s="43"/>
      <c r="C2087" s="43"/>
      <c r="D2087" s="43"/>
      <c r="E2087" s="43"/>
      <c r="F2087" s="43"/>
      <c r="G2087" s="43"/>
      <c r="H2087" s="43"/>
      <c r="I2087" s="43"/>
    </row>
    <row r="2088" ht="12.75" customHeight="1">
      <c r="A2088" s="43"/>
      <c r="B2088" s="43"/>
      <c r="C2088" s="43"/>
      <c r="D2088" s="43"/>
      <c r="E2088" s="43"/>
      <c r="F2088" s="43"/>
      <c r="G2088" s="43"/>
      <c r="H2088" s="43"/>
      <c r="I2088" s="43"/>
    </row>
    <row r="2089" ht="12.75" customHeight="1">
      <c r="A2089" s="43"/>
      <c r="B2089" s="43"/>
      <c r="C2089" s="43"/>
      <c r="D2089" s="43"/>
      <c r="E2089" s="43"/>
      <c r="F2089" s="43"/>
      <c r="G2089" s="43"/>
      <c r="H2089" s="43"/>
      <c r="I2089" s="43"/>
    </row>
    <row r="2090" ht="12.75" customHeight="1">
      <c r="A2090" s="43"/>
      <c r="B2090" s="43"/>
      <c r="C2090" s="43"/>
      <c r="D2090" s="43"/>
      <c r="E2090" s="43"/>
      <c r="F2090" s="43"/>
      <c r="G2090" s="43"/>
      <c r="H2090" s="43"/>
      <c r="I2090" s="43"/>
    </row>
    <row r="2091" ht="12.75" customHeight="1">
      <c r="A2091" s="43"/>
      <c r="B2091" s="43"/>
      <c r="C2091" s="43"/>
      <c r="D2091" s="43"/>
      <c r="E2091" s="43"/>
      <c r="F2091" s="43"/>
      <c r="G2091" s="43"/>
      <c r="H2091" s="43"/>
      <c r="I2091" s="43"/>
    </row>
    <row r="2092" ht="12.75" customHeight="1">
      <c r="A2092" s="43"/>
      <c r="B2092" s="43"/>
      <c r="C2092" s="43"/>
      <c r="D2092" s="43"/>
      <c r="E2092" s="43"/>
      <c r="F2092" s="43"/>
      <c r="G2092" s="43"/>
      <c r="H2092" s="43"/>
      <c r="I2092" s="43"/>
    </row>
  </sheetData>
  <printOptions/>
  <pageMargins bottom="0.5" footer="0.0" header="0.0" left="0.5" right="0.5" top="0.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66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19.43"/>
    <col customWidth="1" min="2" max="2" width="22.0"/>
    <col customWidth="1" min="3" max="5" width="33.43"/>
    <col customWidth="1" min="6" max="6" width="13.43"/>
    <col customWidth="1" min="7" max="14" width="8.86"/>
  </cols>
  <sheetData>
    <row r="1" ht="12.75" customHeight="1">
      <c r="A1" s="41" t="s">
        <v>38</v>
      </c>
      <c r="B1" s="14"/>
      <c r="C1" s="14"/>
      <c r="D1" s="14"/>
      <c r="E1" s="14"/>
      <c r="F1" s="42"/>
      <c r="G1" s="43"/>
      <c r="H1" s="43"/>
      <c r="I1" s="43"/>
      <c r="J1" s="43"/>
      <c r="K1" s="43"/>
      <c r="L1" s="43"/>
      <c r="M1" s="43"/>
      <c r="N1" s="43"/>
    </row>
    <row r="2" ht="29.25" customHeight="1">
      <c r="A2" s="44" t="s">
        <v>39</v>
      </c>
      <c r="B2" s="45" t="s">
        <v>40</v>
      </c>
      <c r="C2" s="45" t="s">
        <v>41</v>
      </c>
      <c r="D2" s="45" t="s">
        <v>41</v>
      </c>
      <c r="E2" s="46" t="s">
        <v>42</v>
      </c>
      <c r="F2" s="47" t="s">
        <v>43</v>
      </c>
      <c r="G2" s="42"/>
      <c r="H2" s="42"/>
      <c r="I2" s="42"/>
      <c r="J2" s="42"/>
      <c r="K2" s="42"/>
      <c r="L2" s="42"/>
      <c r="M2" s="42"/>
      <c r="N2" s="42"/>
    </row>
    <row r="3" ht="15.0" customHeight="1">
      <c r="A3" s="48" t="s">
        <v>74</v>
      </c>
      <c r="B3" s="48" t="s">
        <v>25</v>
      </c>
      <c r="C3" s="48" t="s">
        <v>75</v>
      </c>
      <c r="D3" s="48" t="s">
        <v>58</v>
      </c>
      <c r="E3" s="48"/>
      <c r="F3" s="48">
        <v>192210.0</v>
      </c>
      <c r="G3" s="43"/>
      <c r="H3" s="43"/>
      <c r="I3" s="43"/>
      <c r="J3" s="43"/>
      <c r="K3" s="43"/>
      <c r="L3" s="43"/>
      <c r="M3" s="43"/>
      <c r="N3" s="43"/>
    </row>
    <row r="4" ht="12.75" customHeight="1">
      <c r="A4" s="48" t="s">
        <v>74</v>
      </c>
      <c r="B4" s="48" t="s">
        <v>25</v>
      </c>
      <c r="C4" s="48" t="s">
        <v>75</v>
      </c>
      <c r="D4" s="48" t="s">
        <v>58</v>
      </c>
      <c r="E4" s="48"/>
      <c r="F4" s="48">
        <v>0.0</v>
      </c>
      <c r="G4" s="43"/>
      <c r="H4" s="43"/>
      <c r="I4" s="43"/>
      <c r="J4" s="43"/>
      <c r="K4" s="43"/>
      <c r="L4" s="43"/>
      <c r="M4" s="43"/>
      <c r="N4" s="43"/>
    </row>
    <row r="5" ht="12.75" customHeight="1">
      <c r="A5" s="48" t="s">
        <v>74</v>
      </c>
      <c r="B5" s="48" t="s">
        <v>25</v>
      </c>
      <c r="C5" s="48" t="s">
        <v>75</v>
      </c>
      <c r="D5" s="48" t="s">
        <v>8</v>
      </c>
      <c r="E5" s="48"/>
      <c r="F5" s="48">
        <v>0.0</v>
      </c>
      <c r="G5" s="43"/>
      <c r="H5" s="43"/>
      <c r="I5" s="43"/>
      <c r="J5" s="43"/>
      <c r="K5" s="43"/>
      <c r="L5" s="43"/>
      <c r="M5" s="43"/>
      <c r="N5" s="43"/>
    </row>
    <row r="6" ht="12.75" customHeight="1">
      <c r="A6" s="48" t="s">
        <v>74</v>
      </c>
      <c r="B6" s="48" t="s">
        <v>25</v>
      </c>
      <c r="C6" s="48" t="s">
        <v>75</v>
      </c>
      <c r="D6" s="48" t="s">
        <v>8</v>
      </c>
      <c r="E6" s="48"/>
      <c r="F6" s="48">
        <v>0.0</v>
      </c>
      <c r="G6" s="43"/>
      <c r="H6" s="43"/>
      <c r="I6" s="43"/>
      <c r="J6" s="43"/>
      <c r="K6" s="43"/>
      <c r="L6" s="43"/>
      <c r="M6" s="43"/>
      <c r="N6" s="43"/>
    </row>
    <row r="7" ht="12.75" customHeight="1">
      <c r="A7" s="48" t="s">
        <v>74</v>
      </c>
      <c r="B7" s="48" t="s">
        <v>25</v>
      </c>
      <c r="C7" s="48" t="s">
        <v>75</v>
      </c>
      <c r="D7" s="48" t="s">
        <v>8</v>
      </c>
      <c r="E7" s="48"/>
      <c r="F7" s="48">
        <v>204125.3</v>
      </c>
      <c r="G7" s="43"/>
      <c r="H7" s="43"/>
      <c r="I7" s="43"/>
      <c r="J7" s="43"/>
      <c r="K7" s="43"/>
      <c r="L7" s="43"/>
      <c r="M7" s="43"/>
      <c r="N7" s="43"/>
    </row>
    <row r="8" ht="12.75" customHeight="1">
      <c r="A8" s="48" t="s">
        <v>74</v>
      </c>
      <c r="B8" s="48" t="s">
        <v>25</v>
      </c>
      <c r="C8" s="48" t="s">
        <v>75</v>
      </c>
      <c r="D8" s="48" t="s">
        <v>8</v>
      </c>
      <c r="E8" s="48"/>
      <c r="F8" s="48">
        <v>0.0</v>
      </c>
      <c r="G8" s="43"/>
      <c r="H8" s="43"/>
      <c r="I8" s="43"/>
      <c r="J8" s="43"/>
      <c r="K8" s="43"/>
      <c r="L8" s="43"/>
      <c r="M8" s="43"/>
      <c r="N8" s="43"/>
    </row>
    <row r="9" ht="12.75" customHeight="1">
      <c r="A9" s="48" t="s">
        <v>74</v>
      </c>
      <c r="B9" s="48" t="s">
        <v>25</v>
      </c>
      <c r="C9" s="48" t="s">
        <v>75</v>
      </c>
      <c r="D9" s="48" t="s">
        <v>8</v>
      </c>
      <c r="E9" s="48"/>
      <c r="F9" s="48">
        <v>51221.6</v>
      </c>
      <c r="G9" s="43"/>
      <c r="H9" s="43"/>
      <c r="I9" s="43"/>
      <c r="J9" s="43"/>
      <c r="K9" s="43"/>
      <c r="L9" s="43"/>
      <c r="M9" s="43"/>
      <c r="N9" s="43"/>
    </row>
    <row r="10" ht="12.75" customHeight="1">
      <c r="A10" s="48" t="s">
        <v>74</v>
      </c>
      <c r="B10" s="48" t="s">
        <v>25</v>
      </c>
      <c r="C10" s="48" t="s">
        <v>75</v>
      </c>
      <c r="D10" s="48" t="s">
        <v>8</v>
      </c>
      <c r="E10" s="48"/>
      <c r="F10" s="48">
        <v>0.0</v>
      </c>
      <c r="G10" s="43"/>
      <c r="H10" s="43"/>
      <c r="I10" s="43"/>
      <c r="J10" s="43"/>
      <c r="K10" s="43"/>
      <c r="L10" s="43"/>
      <c r="M10" s="43"/>
      <c r="N10" s="43"/>
    </row>
    <row r="11" ht="12.75" customHeight="1">
      <c r="A11" s="48" t="s">
        <v>74</v>
      </c>
      <c r="B11" s="48" t="s">
        <v>25</v>
      </c>
      <c r="C11" s="48" t="s">
        <v>75</v>
      </c>
      <c r="D11" s="48" t="s">
        <v>8</v>
      </c>
      <c r="E11" s="48"/>
      <c r="F11" s="48">
        <v>0.0</v>
      </c>
      <c r="G11" s="43"/>
      <c r="H11" s="43"/>
      <c r="I11" s="43"/>
      <c r="J11" s="43"/>
      <c r="K11" s="43"/>
      <c r="L11" s="43"/>
      <c r="M11" s="43"/>
      <c r="N11" s="43"/>
    </row>
    <row r="12" ht="12.75" customHeight="1">
      <c r="A12" s="48" t="s">
        <v>74</v>
      </c>
      <c r="B12" s="48" t="s">
        <v>25</v>
      </c>
      <c r="C12" s="48" t="s">
        <v>75</v>
      </c>
      <c r="D12" s="48" t="s">
        <v>8</v>
      </c>
      <c r="E12" s="48"/>
      <c r="F12" s="48">
        <v>306968.39999999997</v>
      </c>
      <c r="G12" s="43"/>
      <c r="H12" s="43"/>
      <c r="I12" s="43"/>
      <c r="J12" s="43"/>
      <c r="K12" s="43"/>
      <c r="L12" s="43"/>
      <c r="M12" s="43"/>
      <c r="N12" s="43"/>
    </row>
    <row r="13" ht="12.75" customHeight="1">
      <c r="A13" s="48" t="s">
        <v>74</v>
      </c>
      <c r="B13" s="48" t="s">
        <v>25</v>
      </c>
      <c r="C13" s="48" t="s">
        <v>75</v>
      </c>
      <c r="D13" s="48" t="s">
        <v>8</v>
      </c>
      <c r="E13" s="48"/>
      <c r="F13" s="48">
        <v>0.0</v>
      </c>
      <c r="G13" s="43"/>
      <c r="H13" s="43"/>
      <c r="I13" s="43"/>
      <c r="J13" s="43"/>
      <c r="K13" s="43"/>
      <c r="L13" s="43"/>
      <c r="M13" s="43"/>
      <c r="N13" s="43"/>
    </row>
    <row r="14" ht="12.75" customHeight="1">
      <c r="A14" s="48" t="s">
        <v>74</v>
      </c>
      <c r="B14" s="48" t="s">
        <v>25</v>
      </c>
      <c r="C14" s="48" t="s">
        <v>75</v>
      </c>
      <c r="D14" s="48" t="s">
        <v>8</v>
      </c>
      <c r="E14" s="48"/>
      <c r="F14" s="48">
        <v>0.0</v>
      </c>
      <c r="G14" s="43"/>
      <c r="H14" s="43"/>
      <c r="I14" s="43"/>
      <c r="J14" s="43"/>
      <c r="K14" s="43"/>
      <c r="L14" s="43"/>
      <c r="M14" s="43"/>
      <c r="N14" s="43"/>
    </row>
    <row r="15" ht="12.75" customHeight="1">
      <c r="A15" s="48" t="s">
        <v>74</v>
      </c>
      <c r="B15" s="48" t="s">
        <v>25</v>
      </c>
      <c r="C15" s="48" t="s">
        <v>75</v>
      </c>
      <c r="D15" s="48" t="s">
        <v>8</v>
      </c>
      <c r="E15" s="48"/>
      <c r="F15" s="48">
        <v>0.0</v>
      </c>
      <c r="G15" s="43"/>
      <c r="H15" s="43"/>
      <c r="I15" s="43"/>
      <c r="J15" s="43"/>
      <c r="K15" s="43"/>
      <c r="L15" s="43"/>
      <c r="M15" s="43"/>
      <c r="N15" s="43"/>
    </row>
    <row r="16" ht="12.75" customHeight="1">
      <c r="A16" s="48" t="s">
        <v>74</v>
      </c>
      <c r="B16" s="48" t="s">
        <v>25</v>
      </c>
      <c r="C16" s="48" t="s">
        <v>75</v>
      </c>
      <c r="D16" s="48" t="s">
        <v>8</v>
      </c>
      <c r="E16" s="48"/>
      <c r="F16" s="48">
        <v>0.0</v>
      </c>
      <c r="G16" s="43"/>
      <c r="H16" s="43"/>
      <c r="I16" s="43"/>
      <c r="J16" s="43"/>
      <c r="K16" s="43"/>
      <c r="L16" s="43"/>
      <c r="M16" s="43"/>
      <c r="N16" s="43"/>
    </row>
    <row r="17" ht="12.75" customHeight="1">
      <c r="A17" s="48" t="s">
        <v>74</v>
      </c>
      <c r="B17" s="48" t="s">
        <v>25</v>
      </c>
      <c r="C17" s="48" t="s">
        <v>75</v>
      </c>
      <c r="D17" s="48" t="s">
        <v>8</v>
      </c>
      <c r="E17" s="48"/>
      <c r="F17" s="48">
        <v>0.0</v>
      </c>
      <c r="G17" s="43"/>
      <c r="H17" s="43"/>
      <c r="I17" s="43"/>
      <c r="J17" s="43"/>
      <c r="K17" s="43"/>
      <c r="L17" s="43"/>
      <c r="M17" s="43"/>
      <c r="N17" s="43"/>
    </row>
    <row r="18" ht="12.75" customHeight="1">
      <c r="A18" s="48" t="s">
        <v>74</v>
      </c>
      <c r="B18" s="48" t="s">
        <v>25</v>
      </c>
      <c r="C18" s="48" t="s">
        <v>75</v>
      </c>
      <c r="D18" s="48" t="s">
        <v>8</v>
      </c>
      <c r="E18" s="48"/>
      <c r="F18" s="48">
        <v>0.0</v>
      </c>
      <c r="G18" s="43"/>
      <c r="H18" s="43"/>
      <c r="I18" s="43"/>
      <c r="J18" s="43"/>
      <c r="K18" s="43"/>
      <c r="L18" s="43"/>
      <c r="M18" s="43"/>
      <c r="N18" s="43"/>
    </row>
    <row r="19" ht="12.75" customHeight="1">
      <c r="A19" s="48" t="s">
        <v>74</v>
      </c>
      <c r="B19" s="48" t="s">
        <v>25</v>
      </c>
      <c r="C19" s="48" t="s">
        <v>75</v>
      </c>
      <c r="D19" s="48" t="s">
        <v>8</v>
      </c>
      <c r="E19" s="48"/>
      <c r="F19" s="48">
        <v>0.0</v>
      </c>
      <c r="G19" s="43"/>
      <c r="H19" s="43"/>
      <c r="I19" s="43"/>
      <c r="J19" s="43"/>
      <c r="K19" s="43"/>
      <c r="L19" s="43"/>
      <c r="M19" s="43"/>
      <c r="N19" s="43"/>
    </row>
    <row r="20" ht="12.0" customHeight="1">
      <c r="A20" s="48" t="s">
        <v>74</v>
      </c>
      <c r="B20" s="48" t="s">
        <v>25</v>
      </c>
      <c r="C20" s="48" t="s">
        <v>75</v>
      </c>
      <c r="D20" s="48" t="s">
        <v>8</v>
      </c>
      <c r="E20" s="48"/>
      <c r="F20" s="48">
        <v>0.0</v>
      </c>
      <c r="G20" s="43"/>
      <c r="H20" s="43"/>
      <c r="I20" s="43"/>
      <c r="J20" s="43"/>
      <c r="K20" s="43"/>
      <c r="L20" s="43"/>
      <c r="M20" s="43"/>
      <c r="N20" s="43"/>
    </row>
    <row r="21" ht="12.0" customHeight="1">
      <c r="A21" s="48" t="s">
        <v>74</v>
      </c>
      <c r="B21" s="48" t="s">
        <v>25</v>
      </c>
      <c r="C21" s="48" t="s">
        <v>75</v>
      </c>
      <c r="D21" s="48" t="s">
        <v>8</v>
      </c>
      <c r="E21" s="48"/>
      <c r="F21" s="48">
        <v>0.0</v>
      </c>
      <c r="G21" s="43"/>
      <c r="H21" s="43"/>
      <c r="I21" s="43"/>
      <c r="J21" s="43"/>
      <c r="K21" s="43"/>
      <c r="L21" s="43"/>
      <c r="M21" s="43"/>
      <c r="N21" s="43"/>
    </row>
    <row r="22" ht="12.0" customHeight="1">
      <c r="A22" s="48" t="s">
        <v>74</v>
      </c>
      <c r="B22" s="48" t="s">
        <v>25</v>
      </c>
      <c r="C22" s="48" t="s">
        <v>75</v>
      </c>
      <c r="D22" s="48" t="s">
        <v>8</v>
      </c>
      <c r="E22" s="48"/>
      <c r="F22" s="48">
        <v>117931.79999999999</v>
      </c>
      <c r="G22" s="43"/>
      <c r="H22" s="43"/>
      <c r="I22" s="43"/>
      <c r="J22" s="43"/>
      <c r="K22" s="43"/>
      <c r="L22" s="43"/>
      <c r="M22" s="43"/>
      <c r="N22" s="43"/>
    </row>
    <row r="23" ht="12.0" customHeight="1">
      <c r="A23" s="48" t="s">
        <v>74</v>
      </c>
      <c r="B23" s="48" t="s">
        <v>25</v>
      </c>
      <c r="C23" s="50" t="s">
        <v>75</v>
      </c>
      <c r="D23" s="50" t="s">
        <v>8</v>
      </c>
      <c r="E23" s="50"/>
      <c r="F23" s="48">
        <v>0.0</v>
      </c>
      <c r="G23" s="43"/>
      <c r="H23" s="43"/>
      <c r="I23" s="43"/>
      <c r="J23" s="43"/>
      <c r="K23" s="43"/>
      <c r="L23" s="43"/>
      <c r="M23" s="43"/>
      <c r="N23" s="43"/>
    </row>
    <row r="24" ht="12.0" customHeight="1">
      <c r="A24" s="48" t="s">
        <v>74</v>
      </c>
      <c r="B24" s="48" t="s">
        <v>25</v>
      </c>
      <c r="C24" s="50" t="s">
        <v>75</v>
      </c>
      <c r="D24" s="50" t="s">
        <v>8</v>
      </c>
      <c r="E24" s="50"/>
      <c r="F24" s="48">
        <v>9460.0</v>
      </c>
      <c r="G24" s="43"/>
      <c r="H24" s="43"/>
      <c r="I24" s="43"/>
      <c r="J24" s="43"/>
      <c r="K24" s="43"/>
      <c r="L24" s="43"/>
      <c r="M24" s="43"/>
      <c r="N24" s="43"/>
    </row>
    <row r="25" ht="12.0" customHeight="1">
      <c r="A25" s="48" t="s">
        <v>74</v>
      </c>
      <c r="B25" s="48" t="s">
        <v>25</v>
      </c>
      <c r="C25" s="50" t="s">
        <v>75</v>
      </c>
      <c r="D25" s="50" t="s">
        <v>8</v>
      </c>
      <c r="E25" s="50"/>
      <c r="F25" s="48">
        <v>0.0</v>
      </c>
      <c r="G25" s="43"/>
      <c r="H25" s="43"/>
      <c r="I25" s="43"/>
      <c r="J25" s="43"/>
      <c r="K25" s="43"/>
      <c r="L25" s="43"/>
      <c r="M25" s="43"/>
      <c r="N25" s="43"/>
    </row>
    <row r="26" ht="12.0" customHeight="1">
      <c r="A26" s="48" t="s">
        <v>74</v>
      </c>
      <c r="B26" s="48" t="s">
        <v>25</v>
      </c>
      <c r="C26" s="50" t="s">
        <v>75</v>
      </c>
      <c r="D26" s="50" t="s">
        <v>8</v>
      </c>
      <c r="E26" s="50"/>
      <c r="F26" s="48">
        <v>0.0</v>
      </c>
      <c r="G26" s="43"/>
      <c r="H26" s="43"/>
      <c r="I26" s="43"/>
      <c r="J26" s="43"/>
      <c r="K26" s="43"/>
      <c r="L26" s="43"/>
      <c r="M26" s="43"/>
      <c r="N26" s="43"/>
    </row>
    <row r="27" ht="12.0" customHeight="1">
      <c r="A27" s="48" t="s">
        <v>74</v>
      </c>
      <c r="B27" s="48" t="s">
        <v>25</v>
      </c>
      <c r="C27" s="50" t="s">
        <v>75</v>
      </c>
      <c r="D27" s="50" t="s">
        <v>8</v>
      </c>
      <c r="E27" s="50"/>
      <c r="F27" s="48">
        <v>0.0</v>
      </c>
      <c r="G27" s="43"/>
      <c r="H27" s="43"/>
      <c r="I27" s="43"/>
      <c r="J27" s="43"/>
      <c r="K27" s="43"/>
      <c r="L27" s="43"/>
      <c r="M27" s="43"/>
      <c r="N27" s="43"/>
    </row>
    <row r="28" ht="12.0" customHeight="1">
      <c r="A28" s="48" t="s">
        <v>74</v>
      </c>
      <c r="B28" s="48" t="s">
        <v>25</v>
      </c>
      <c r="C28" s="50" t="s">
        <v>75</v>
      </c>
      <c r="D28" s="50" t="s">
        <v>8</v>
      </c>
      <c r="E28" s="50"/>
      <c r="F28" s="48">
        <v>0.0</v>
      </c>
      <c r="G28" s="43"/>
      <c r="H28" s="43"/>
      <c r="I28" s="43"/>
      <c r="J28" s="43"/>
      <c r="K28" s="43"/>
      <c r="L28" s="43"/>
      <c r="M28" s="43"/>
      <c r="N28" s="43"/>
    </row>
    <row r="29" ht="12.0" customHeight="1">
      <c r="A29" s="48" t="s">
        <v>74</v>
      </c>
      <c r="B29" s="48" t="s">
        <v>25</v>
      </c>
      <c r="C29" s="50" t="s">
        <v>75</v>
      </c>
      <c r="D29" s="50" t="s">
        <v>8</v>
      </c>
      <c r="E29" s="50"/>
      <c r="F29" s="48">
        <v>0.0</v>
      </c>
      <c r="G29" s="43"/>
      <c r="H29" s="43"/>
      <c r="I29" s="43"/>
      <c r="J29" s="43"/>
      <c r="K29" s="43"/>
      <c r="L29" s="43"/>
      <c r="M29" s="43"/>
      <c r="N29" s="43"/>
    </row>
    <row r="30" ht="12.0" customHeight="1">
      <c r="A30" s="48" t="s">
        <v>74</v>
      </c>
      <c r="B30" s="48" t="s">
        <v>25</v>
      </c>
      <c r="C30" s="50" t="s">
        <v>75</v>
      </c>
      <c r="D30" s="50" t="s">
        <v>8</v>
      </c>
      <c r="E30" s="50"/>
      <c r="F30" s="48">
        <v>5912.5</v>
      </c>
      <c r="G30" s="43"/>
      <c r="H30" s="43"/>
      <c r="I30" s="43"/>
      <c r="J30" s="43"/>
      <c r="K30" s="43"/>
      <c r="L30" s="43"/>
      <c r="M30" s="43"/>
      <c r="N30" s="43"/>
    </row>
    <row r="31" ht="12.0" customHeight="1">
      <c r="A31" s="48" t="s">
        <v>74</v>
      </c>
      <c r="B31" s="48" t="s">
        <v>25</v>
      </c>
      <c r="C31" s="50" t="s">
        <v>75</v>
      </c>
      <c r="D31" s="50" t="s">
        <v>8</v>
      </c>
      <c r="E31" s="50"/>
      <c r="F31" s="48">
        <v>16125.0</v>
      </c>
      <c r="G31" s="43"/>
      <c r="H31" s="43"/>
      <c r="I31" s="43"/>
      <c r="J31" s="43"/>
      <c r="K31" s="43"/>
      <c r="L31" s="43"/>
      <c r="M31" s="43"/>
      <c r="N31" s="43"/>
    </row>
    <row r="32" ht="12.0" customHeight="1">
      <c r="A32" s="48" t="s">
        <v>74</v>
      </c>
      <c r="B32" s="48" t="s">
        <v>25</v>
      </c>
      <c r="C32" s="50" t="s">
        <v>75</v>
      </c>
      <c r="D32" s="50" t="s">
        <v>8</v>
      </c>
      <c r="E32" s="50"/>
      <c r="F32" s="48">
        <v>21229.1</v>
      </c>
      <c r="G32" s="43"/>
      <c r="H32" s="43"/>
      <c r="I32" s="43"/>
      <c r="J32" s="43"/>
      <c r="K32" s="43"/>
      <c r="L32" s="43"/>
      <c r="M32" s="43"/>
      <c r="N32" s="43"/>
    </row>
    <row r="33" ht="12.0" customHeight="1">
      <c r="A33" s="48" t="s">
        <v>74</v>
      </c>
      <c r="B33" s="48" t="s">
        <v>25</v>
      </c>
      <c r="C33" s="50" t="s">
        <v>75</v>
      </c>
      <c r="D33" s="50" t="s">
        <v>8</v>
      </c>
      <c r="E33" s="50"/>
      <c r="F33" s="48">
        <v>11932.5</v>
      </c>
      <c r="G33" s="43"/>
      <c r="H33" s="43"/>
      <c r="I33" s="43"/>
      <c r="J33" s="43"/>
      <c r="K33" s="43"/>
      <c r="L33" s="43"/>
      <c r="M33" s="43"/>
      <c r="N33" s="43"/>
    </row>
    <row r="34" ht="12.0" customHeight="1">
      <c r="A34" s="48" t="s">
        <v>74</v>
      </c>
      <c r="B34" s="48" t="s">
        <v>25</v>
      </c>
      <c r="C34" s="50" t="s">
        <v>75</v>
      </c>
      <c r="D34" s="50" t="s">
        <v>54</v>
      </c>
      <c r="E34" s="50"/>
      <c r="F34" s="48">
        <v>24424.0</v>
      </c>
      <c r="G34" s="43"/>
      <c r="H34" s="43"/>
      <c r="I34" s="43"/>
      <c r="J34" s="43"/>
      <c r="K34" s="43"/>
      <c r="L34" s="43"/>
      <c r="M34" s="43"/>
      <c r="N34" s="43"/>
    </row>
    <row r="35" ht="12.0" customHeight="1">
      <c r="A35" s="48" t="s">
        <v>74</v>
      </c>
      <c r="B35" s="48" t="s">
        <v>25</v>
      </c>
      <c r="C35" s="50" t="s">
        <v>75</v>
      </c>
      <c r="D35" s="50" t="s">
        <v>54</v>
      </c>
      <c r="E35" s="50"/>
      <c r="F35" s="48">
        <v>0.0</v>
      </c>
      <c r="G35" s="43"/>
      <c r="H35" s="43"/>
      <c r="I35" s="43"/>
      <c r="J35" s="43"/>
      <c r="K35" s="43"/>
      <c r="L35" s="43"/>
      <c r="M35" s="43"/>
      <c r="N35" s="43"/>
    </row>
    <row r="36" ht="12.0" customHeight="1">
      <c r="A36" s="48" t="s">
        <v>74</v>
      </c>
      <c r="B36" s="48" t="s">
        <v>25</v>
      </c>
      <c r="C36" s="50" t="s">
        <v>75</v>
      </c>
      <c r="D36" s="50" t="s">
        <v>49</v>
      </c>
      <c r="E36" s="50"/>
      <c r="F36" s="48">
        <v>3698.0</v>
      </c>
      <c r="G36" s="43"/>
      <c r="H36" s="43"/>
      <c r="I36" s="43"/>
      <c r="J36" s="43"/>
      <c r="K36" s="43"/>
      <c r="L36" s="43"/>
      <c r="M36" s="43"/>
      <c r="N36" s="43"/>
    </row>
    <row r="37" ht="12.0" customHeight="1">
      <c r="A37" s="48" t="s">
        <v>74</v>
      </c>
      <c r="B37" s="48" t="s">
        <v>25</v>
      </c>
      <c r="C37" s="50" t="s">
        <v>75</v>
      </c>
      <c r="D37" s="50" t="s">
        <v>50</v>
      </c>
      <c r="E37" s="50"/>
      <c r="F37" s="48">
        <v>541.8</v>
      </c>
      <c r="G37" s="43"/>
      <c r="H37" s="43"/>
      <c r="I37" s="43"/>
      <c r="J37" s="43"/>
      <c r="K37" s="43"/>
      <c r="L37" s="43"/>
      <c r="M37" s="43"/>
      <c r="N37" s="43"/>
    </row>
    <row r="38" ht="12.0" customHeight="1">
      <c r="A38" s="48" t="s">
        <v>74</v>
      </c>
      <c r="B38" s="48" t="s">
        <v>25</v>
      </c>
      <c r="C38" s="50" t="s">
        <v>75</v>
      </c>
      <c r="D38" s="50" t="s">
        <v>50</v>
      </c>
      <c r="E38" s="50"/>
      <c r="F38" s="48">
        <v>774.0</v>
      </c>
      <c r="G38" s="43"/>
      <c r="H38" s="43"/>
      <c r="I38" s="43"/>
      <c r="J38" s="43"/>
      <c r="K38" s="43"/>
      <c r="L38" s="43"/>
      <c r="M38" s="43"/>
      <c r="N38" s="43"/>
    </row>
    <row r="39" ht="12.0" customHeight="1">
      <c r="A39" s="48" t="s">
        <v>74</v>
      </c>
      <c r="B39" s="48" t="s">
        <v>25</v>
      </c>
      <c r="C39" s="50" t="s">
        <v>75</v>
      </c>
      <c r="D39" s="50" t="s">
        <v>50</v>
      </c>
      <c r="E39" s="50"/>
      <c r="F39" s="48">
        <v>688.0</v>
      </c>
      <c r="G39" s="43"/>
      <c r="H39" s="43"/>
      <c r="I39" s="43"/>
      <c r="J39" s="43"/>
      <c r="K39" s="43"/>
      <c r="L39" s="43"/>
      <c r="M39" s="43"/>
      <c r="N39" s="43"/>
    </row>
    <row r="40" ht="12.0" customHeight="1">
      <c r="A40" s="48" t="s">
        <v>74</v>
      </c>
      <c r="B40" s="48" t="s">
        <v>25</v>
      </c>
      <c r="C40" s="48" t="s">
        <v>75</v>
      </c>
      <c r="D40" s="48" t="s">
        <v>50</v>
      </c>
      <c r="E40" s="48"/>
      <c r="F40" s="48">
        <v>8221.6</v>
      </c>
      <c r="G40" s="43"/>
      <c r="H40" s="43"/>
      <c r="I40" s="43"/>
      <c r="J40" s="43"/>
      <c r="K40" s="43"/>
      <c r="L40" s="43"/>
      <c r="M40" s="43"/>
      <c r="N40" s="43"/>
    </row>
    <row r="41" ht="12.0" customHeight="1">
      <c r="A41" s="48" t="s">
        <v>74</v>
      </c>
      <c r="B41" s="48" t="s">
        <v>25</v>
      </c>
      <c r="C41" s="48" t="s">
        <v>75</v>
      </c>
      <c r="D41" s="48" t="s">
        <v>50</v>
      </c>
      <c r="E41" s="48"/>
      <c r="F41" s="48">
        <v>511.7</v>
      </c>
      <c r="G41" s="43"/>
      <c r="H41" s="43"/>
      <c r="I41" s="43"/>
      <c r="J41" s="43"/>
      <c r="K41" s="43"/>
      <c r="L41" s="43"/>
      <c r="M41" s="43"/>
      <c r="N41" s="43"/>
    </row>
    <row r="42" ht="12.75" customHeight="1">
      <c r="A42" s="48" t="s">
        <v>74</v>
      </c>
      <c r="B42" s="48" t="s">
        <v>25</v>
      </c>
      <c r="C42" s="48" t="s">
        <v>75</v>
      </c>
      <c r="D42" s="48" t="s">
        <v>50</v>
      </c>
      <c r="E42" s="48"/>
      <c r="F42" s="48">
        <v>10001.8</v>
      </c>
      <c r="G42" s="43"/>
      <c r="H42" s="43"/>
      <c r="I42" s="43"/>
      <c r="J42" s="43"/>
      <c r="K42" s="43"/>
      <c r="L42" s="43"/>
      <c r="M42" s="43"/>
      <c r="N42" s="43"/>
    </row>
    <row r="43" ht="12.75" customHeight="1">
      <c r="A43" s="48" t="s">
        <v>74</v>
      </c>
      <c r="B43" s="48" t="s">
        <v>25</v>
      </c>
      <c r="C43" s="48" t="s">
        <v>75</v>
      </c>
      <c r="D43" s="48" t="s">
        <v>50</v>
      </c>
      <c r="E43" s="48"/>
      <c r="F43" s="48">
        <v>1720.0</v>
      </c>
      <c r="G43" s="43"/>
      <c r="H43" s="43"/>
      <c r="I43" s="43"/>
      <c r="J43" s="43"/>
      <c r="K43" s="43"/>
      <c r="L43" s="43"/>
      <c r="M43" s="43"/>
      <c r="N43" s="43"/>
    </row>
    <row r="44" ht="12.75" customHeight="1">
      <c r="A44" s="48" t="s">
        <v>74</v>
      </c>
      <c r="B44" s="48" t="s">
        <v>25</v>
      </c>
      <c r="C44" s="48" t="s">
        <v>75</v>
      </c>
      <c r="D44" s="48" t="s">
        <v>50</v>
      </c>
      <c r="E44" s="48"/>
      <c r="F44" s="48">
        <v>571.9</v>
      </c>
      <c r="G44" s="43"/>
      <c r="H44" s="43"/>
      <c r="I44" s="43"/>
      <c r="J44" s="43"/>
      <c r="K44" s="43"/>
      <c r="L44" s="43"/>
      <c r="M44" s="43"/>
      <c r="N44" s="43"/>
    </row>
    <row r="45" ht="12.75" customHeight="1">
      <c r="A45" s="48" t="s">
        <v>74</v>
      </c>
      <c r="B45" s="48" t="s">
        <v>25</v>
      </c>
      <c r="C45" s="48" t="s">
        <v>75</v>
      </c>
      <c r="D45" s="48" t="s">
        <v>50</v>
      </c>
      <c r="E45" s="48"/>
      <c r="F45" s="48">
        <v>1044.8999999999999</v>
      </c>
      <c r="G45" s="43"/>
      <c r="H45" s="43"/>
      <c r="I45" s="43"/>
      <c r="J45" s="43"/>
      <c r="K45" s="43"/>
      <c r="L45" s="43"/>
      <c r="M45" s="43"/>
      <c r="N45" s="43"/>
    </row>
    <row r="46" ht="12.0" customHeight="1">
      <c r="A46" s="48" t="s">
        <v>74</v>
      </c>
      <c r="B46" s="48" t="s">
        <v>25</v>
      </c>
      <c r="C46" s="48" t="s">
        <v>75</v>
      </c>
      <c r="D46" s="48" t="s">
        <v>47</v>
      </c>
      <c r="E46" s="48"/>
      <c r="F46" s="48">
        <v>0.0</v>
      </c>
      <c r="G46" s="43"/>
      <c r="H46" s="43"/>
      <c r="I46" s="43"/>
      <c r="J46" s="43"/>
      <c r="K46" s="43"/>
      <c r="L46" s="43"/>
      <c r="M46" s="43"/>
      <c r="N46" s="43"/>
    </row>
    <row r="47" ht="12.0" customHeight="1">
      <c r="A47" s="48" t="s">
        <v>74</v>
      </c>
      <c r="B47" s="48" t="s">
        <v>25</v>
      </c>
      <c r="C47" s="48" t="s">
        <v>76</v>
      </c>
      <c r="D47" s="48" t="s">
        <v>52</v>
      </c>
      <c r="E47" s="48"/>
      <c r="F47" s="48">
        <v>0.0</v>
      </c>
      <c r="G47" s="43"/>
      <c r="H47" s="43"/>
      <c r="I47" s="43"/>
      <c r="J47" s="43"/>
      <c r="K47" s="43"/>
      <c r="L47" s="43"/>
      <c r="M47" s="43"/>
      <c r="N47" s="43"/>
    </row>
    <row r="48" ht="12.0" customHeight="1">
      <c r="A48" s="48" t="s">
        <v>74</v>
      </c>
      <c r="B48" s="48" t="s">
        <v>25</v>
      </c>
      <c r="C48" s="48" t="s">
        <v>76</v>
      </c>
      <c r="D48" s="48" t="s">
        <v>52</v>
      </c>
      <c r="E48" s="48"/>
      <c r="F48" s="48">
        <v>7417.5</v>
      </c>
      <c r="G48" s="43"/>
      <c r="H48" s="43"/>
      <c r="I48" s="43"/>
      <c r="J48" s="43"/>
      <c r="K48" s="43"/>
      <c r="L48" s="43"/>
      <c r="M48" s="43"/>
      <c r="N48" s="43"/>
    </row>
    <row r="49" ht="12.0" customHeight="1">
      <c r="A49" s="48" t="s">
        <v>74</v>
      </c>
      <c r="B49" s="48" t="s">
        <v>25</v>
      </c>
      <c r="C49" s="48" t="s">
        <v>76</v>
      </c>
      <c r="D49" s="48" t="s">
        <v>52</v>
      </c>
      <c r="E49" s="48"/>
      <c r="F49" s="48">
        <v>-16125.0</v>
      </c>
      <c r="G49" s="43"/>
      <c r="H49" s="43"/>
      <c r="I49" s="43"/>
      <c r="J49" s="43"/>
      <c r="K49" s="43"/>
      <c r="L49" s="43"/>
      <c r="M49" s="43"/>
      <c r="N49" s="43"/>
    </row>
    <row r="50" ht="12.0" customHeight="1">
      <c r="A50" s="48" t="s">
        <v>74</v>
      </c>
      <c r="B50" s="48" t="s">
        <v>25</v>
      </c>
      <c r="C50" s="48" t="s">
        <v>76</v>
      </c>
      <c r="D50" s="48" t="s">
        <v>53</v>
      </c>
      <c r="E50" s="48"/>
      <c r="F50" s="48">
        <v>-27287.8</v>
      </c>
      <c r="G50" s="43"/>
      <c r="H50" s="43"/>
      <c r="I50" s="43"/>
      <c r="J50" s="43"/>
      <c r="K50" s="43"/>
      <c r="L50" s="43"/>
      <c r="M50" s="43"/>
      <c r="N50" s="43"/>
    </row>
    <row r="51" ht="12.0" customHeight="1">
      <c r="A51" s="48" t="s">
        <v>74</v>
      </c>
      <c r="B51" s="48" t="s">
        <v>25</v>
      </c>
      <c r="C51" s="48" t="s">
        <v>76</v>
      </c>
      <c r="D51" s="48" t="s">
        <v>58</v>
      </c>
      <c r="E51" s="48"/>
      <c r="F51" s="48">
        <v>113889.79999999999</v>
      </c>
      <c r="G51" s="43"/>
      <c r="H51" s="43"/>
      <c r="I51" s="43"/>
      <c r="J51" s="43"/>
      <c r="K51" s="43"/>
      <c r="L51" s="43"/>
      <c r="M51" s="43"/>
      <c r="N51" s="43"/>
    </row>
    <row r="52" ht="12.0" customHeight="1">
      <c r="A52" s="48" t="s">
        <v>74</v>
      </c>
      <c r="B52" s="48" t="s">
        <v>25</v>
      </c>
      <c r="C52" s="48" t="s">
        <v>76</v>
      </c>
      <c r="D52" s="48" t="s">
        <v>58</v>
      </c>
      <c r="E52" s="48"/>
      <c r="F52" s="48">
        <v>50310.0</v>
      </c>
      <c r="G52" s="43"/>
      <c r="H52" s="43"/>
      <c r="I52" s="43"/>
      <c r="J52" s="43"/>
      <c r="K52" s="43"/>
      <c r="L52" s="43"/>
      <c r="M52" s="43"/>
      <c r="N52" s="43"/>
    </row>
    <row r="53" ht="12.0" customHeight="1">
      <c r="A53" s="48" t="s">
        <v>74</v>
      </c>
      <c r="B53" s="48" t="s">
        <v>25</v>
      </c>
      <c r="C53" s="48" t="s">
        <v>76</v>
      </c>
      <c r="D53" s="48" t="s">
        <v>8</v>
      </c>
      <c r="E53" s="48"/>
      <c r="F53" s="48">
        <v>4678.4</v>
      </c>
      <c r="G53" s="43"/>
      <c r="H53" s="43"/>
      <c r="I53" s="43"/>
      <c r="J53" s="43"/>
      <c r="K53" s="43"/>
      <c r="L53" s="43"/>
      <c r="M53" s="43"/>
      <c r="N53" s="43"/>
    </row>
    <row r="54" ht="12.0" customHeight="1">
      <c r="A54" s="48" t="s">
        <v>74</v>
      </c>
      <c r="B54" s="48" t="s">
        <v>25</v>
      </c>
      <c r="C54" s="48" t="s">
        <v>76</v>
      </c>
      <c r="D54" s="48" t="s">
        <v>54</v>
      </c>
      <c r="E54" s="48"/>
      <c r="F54" s="48">
        <v>48852.299999999996</v>
      </c>
      <c r="G54" s="43"/>
      <c r="H54" s="43"/>
      <c r="I54" s="43"/>
      <c r="J54" s="43"/>
      <c r="K54" s="43"/>
      <c r="L54" s="43"/>
      <c r="M54" s="43"/>
      <c r="N54" s="43"/>
    </row>
    <row r="55" ht="12.0" customHeight="1">
      <c r="A55" s="48" t="s">
        <v>74</v>
      </c>
      <c r="B55" s="48" t="s">
        <v>25</v>
      </c>
      <c r="C55" s="48" t="s">
        <v>76</v>
      </c>
      <c r="D55" s="48" t="s">
        <v>54</v>
      </c>
      <c r="E55" s="48"/>
      <c r="F55" s="48">
        <v>1526.5</v>
      </c>
      <c r="G55" s="43"/>
      <c r="H55" s="43"/>
      <c r="I55" s="43"/>
      <c r="J55" s="43"/>
      <c r="K55" s="43"/>
      <c r="L55" s="43"/>
      <c r="M55" s="43"/>
      <c r="N55" s="43"/>
    </row>
    <row r="56" ht="12.0" customHeight="1">
      <c r="A56" s="48" t="s">
        <v>74</v>
      </c>
      <c r="B56" s="48" t="s">
        <v>25</v>
      </c>
      <c r="C56" s="48" t="s">
        <v>76</v>
      </c>
      <c r="D56" s="48" t="s">
        <v>50</v>
      </c>
      <c r="E56" s="48"/>
      <c r="F56" s="48">
        <v>19999.3</v>
      </c>
      <c r="G56" s="43"/>
      <c r="H56" s="43"/>
      <c r="I56" s="43"/>
      <c r="J56" s="43"/>
      <c r="K56" s="43"/>
      <c r="L56" s="43"/>
      <c r="M56" s="43"/>
      <c r="N56" s="43"/>
    </row>
    <row r="57" ht="12.0" customHeight="1">
      <c r="A57" s="48" t="s">
        <v>74</v>
      </c>
      <c r="B57" s="48" t="s">
        <v>25</v>
      </c>
      <c r="C57" s="48" t="s">
        <v>76</v>
      </c>
      <c r="D57" s="48" t="s">
        <v>50</v>
      </c>
      <c r="E57" s="48"/>
      <c r="F57" s="48">
        <v>16563.6</v>
      </c>
      <c r="G57" s="43"/>
      <c r="H57" s="43"/>
      <c r="I57" s="43"/>
      <c r="J57" s="43"/>
      <c r="K57" s="43"/>
      <c r="L57" s="43"/>
      <c r="M57" s="43"/>
      <c r="N57" s="43"/>
    </row>
    <row r="58" ht="12.0" customHeight="1">
      <c r="A58" s="48" t="s">
        <v>74</v>
      </c>
      <c r="B58" s="48" t="s">
        <v>25</v>
      </c>
      <c r="C58" s="48" t="s">
        <v>76</v>
      </c>
      <c r="D58" s="48" t="s">
        <v>50</v>
      </c>
      <c r="E58" s="48"/>
      <c r="F58" s="48">
        <v>8737.6</v>
      </c>
      <c r="G58" s="43"/>
      <c r="H58" s="43"/>
      <c r="I58" s="43"/>
      <c r="J58" s="43"/>
      <c r="K58" s="43"/>
      <c r="L58" s="43"/>
      <c r="M58" s="43"/>
      <c r="N58" s="43"/>
    </row>
    <row r="59" ht="12.75" customHeight="1">
      <c r="A59" s="48" t="s">
        <v>74</v>
      </c>
      <c r="B59" s="48" t="s">
        <v>25</v>
      </c>
      <c r="C59" s="48" t="s">
        <v>76</v>
      </c>
      <c r="D59" s="48" t="s">
        <v>50</v>
      </c>
      <c r="E59" s="48"/>
      <c r="F59" s="48">
        <v>12762.4</v>
      </c>
      <c r="G59" s="43"/>
      <c r="H59" s="43"/>
      <c r="I59" s="43"/>
      <c r="J59" s="43"/>
      <c r="K59" s="43"/>
      <c r="L59" s="43"/>
      <c r="M59" s="43"/>
      <c r="N59" s="43"/>
    </row>
    <row r="60" ht="12.75" customHeight="1">
      <c r="A60" s="48" t="s">
        <v>74</v>
      </c>
      <c r="B60" s="48" t="s">
        <v>25</v>
      </c>
      <c r="C60" s="48" t="s">
        <v>76</v>
      </c>
      <c r="D60" s="48" t="s">
        <v>47</v>
      </c>
      <c r="E60" s="48"/>
      <c r="F60" s="48">
        <v>1788.8</v>
      </c>
      <c r="G60" s="43"/>
      <c r="H60" s="43"/>
      <c r="I60" s="43"/>
      <c r="J60" s="43"/>
      <c r="K60" s="43"/>
      <c r="L60" s="43"/>
      <c r="M60" s="43"/>
      <c r="N60" s="43"/>
    </row>
    <row r="61" ht="12.75" customHeight="1">
      <c r="A61" s="48" t="s">
        <v>74</v>
      </c>
      <c r="B61" s="48" t="s">
        <v>25</v>
      </c>
      <c r="C61" s="48" t="s">
        <v>76</v>
      </c>
      <c r="D61" s="48" t="s">
        <v>47</v>
      </c>
      <c r="E61" s="48"/>
      <c r="F61" s="48">
        <v>12667.8</v>
      </c>
      <c r="G61" s="43"/>
      <c r="H61" s="43"/>
      <c r="I61" s="43"/>
      <c r="J61" s="43"/>
      <c r="K61" s="43"/>
      <c r="L61" s="43"/>
      <c r="M61" s="43"/>
      <c r="N61" s="43"/>
    </row>
    <row r="62" ht="12.75" customHeight="1">
      <c r="A62" s="48" t="s">
        <v>74</v>
      </c>
      <c r="B62" s="48" t="s">
        <v>25</v>
      </c>
      <c r="C62" s="48" t="s">
        <v>76</v>
      </c>
      <c r="D62" s="48" t="s">
        <v>47</v>
      </c>
      <c r="E62" s="48"/>
      <c r="F62" s="48">
        <v>636.4</v>
      </c>
      <c r="G62" s="43"/>
      <c r="H62" s="43"/>
      <c r="I62" s="43"/>
      <c r="J62" s="43"/>
      <c r="K62" s="43"/>
      <c r="L62" s="43"/>
      <c r="M62" s="43"/>
      <c r="N62" s="43"/>
    </row>
    <row r="63" ht="12.75" customHeight="1">
      <c r="A63" s="48" t="s">
        <v>74</v>
      </c>
      <c r="B63" s="48" t="s">
        <v>25</v>
      </c>
      <c r="C63" s="48" t="s">
        <v>76</v>
      </c>
      <c r="D63" s="48" t="s">
        <v>47</v>
      </c>
      <c r="E63" s="48"/>
      <c r="F63" s="48">
        <v>4128.0</v>
      </c>
      <c r="G63" s="43"/>
      <c r="H63" s="43"/>
      <c r="I63" s="43"/>
      <c r="J63" s="43"/>
      <c r="K63" s="43"/>
      <c r="L63" s="43"/>
      <c r="M63" s="43"/>
      <c r="N63" s="43"/>
    </row>
    <row r="64" ht="12.75" customHeight="1">
      <c r="A64" s="48" t="s">
        <v>74</v>
      </c>
      <c r="B64" s="48" t="s">
        <v>25</v>
      </c>
      <c r="C64" s="48" t="s">
        <v>76</v>
      </c>
      <c r="D64" s="48" t="s">
        <v>47</v>
      </c>
      <c r="E64" s="48"/>
      <c r="F64" s="48">
        <v>0.0</v>
      </c>
      <c r="G64" s="43"/>
      <c r="H64" s="43"/>
      <c r="I64" s="43"/>
      <c r="J64" s="43"/>
      <c r="K64" s="43"/>
      <c r="L64" s="43"/>
      <c r="M64" s="43"/>
      <c r="N64" s="43"/>
    </row>
    <row r="65" ht="12.75" customHeight="1">
      <c r="A65" s="48" t="s">
        <v>74</v>
      </c>
      <c r="B65" s="48" t="s">
        <v>25</v>
      </c>
      <c r="C65" s="48" t="s">
        <v>77</v>
      </c>
      <c r="D65" s="48" t="s">
        <v>52</v>
      </c>
      <c r="E65" s="48"/>
      <c r="F65" s="48">
        <v>0.0</v>
      </c>
      <c r="G65" s="43"/>
      <c r="H65" s="43"/>
      <c r="I65" s="43"/>
      <c r="J65" s="43"/>
      <c r="K65" s="43"/>
      <c r="L65" s="43"/>
      <c r="M65" s="43"/>
      <c r="N65" s="43"/>
    </row>
    <row r="66" ht="12.75" customHeight="1" outlineLevel="1">
      <c r="A66" s="48" t="s">
        <v>74</v>
      </c>
      <c r="B66" s="48" t="s">
        <v>25</v>
      </c>
      <c r="C66" s="48" t="s">
        <v>77</v>
      </c>
      <c r="D66" s="48" t="s">
        <v>49</v>
      </c>
      <c r="E66" s="48"/>
      <c r="F66" s="48">
        <v>0.0</v>
      </c>
      <c r="G66" s="43"/>
      <c r="H66" s="43"/>
      <c r="I66" s="43"/>
      <c r="J66" s="43"/>
      <c r="K66" s="43"/>
      <c r="L66" s="43"/>
      <c r="M66" s="43"/>
      <c r="N66" s="43"/>
    </row>
    <row r="67" ht="12.75" customHeight="1" outlineLevel="1">
      <c r="A67" s="48" t="s">
        <v>74</v>
      </c>
      <c r="B67" s="48" t="s">
        <v>25</v>
      </c>
      <c r="C67" s="48" t="s">
        <v>7</v>
      </c>
      <c r="D67" s="48" t="s">
        <v>52</v>
      </c>
      <c r="E67" s="48"/>
      <c r="F67" s="48">
        <v>14331.9</v>
      </c>
      <c r="G67" s="43"/>
      <c r="H67" s="43"/>
      <c r="I67" s="43"/>
      <c r="J67" s="43"/>
      <c r="K67" s="43"/>
      <c r="L67" s="43"/>
      <c r="M67" s="43"/>
      <c r="N67" s="43"/>
    </row>
    <row r="68" ht="12.75" customHeight="1">
      <c r="A68" s="48" t="s">
        <v>74</v>
      </c>
      <c r="B68" s="48" t="s">
        <v>25</v>
      </c>
      <c r="C68" s="48" t="s">
        <v>7</v>
      </c>
      <c r="D68" s="48" t="s">
        <v>52</v>
      </c>
      <c r="E68" s="48"/>
      <c r="F68" s="48">
        <v>7740.0</v>
      </c>
      <c r="G68" s="43"/>
      <c r="H68" s="43"/>
      <c r="I68" s="43"/>
      <c r="J68" s="43"/>
      <c r="K68" s="43"/>
      <c r="L68" s="43"/>
      <c r="M68" s="43"/>
      <c r="N68" s="43"/>
    </row>
    <row r="69" ht="12.75" customHeight="1">
      <c r="A69" s="48" t="s">
        <v>74</v>
      </c>
      <c r="B69" s="48" t="s">
        <v>25</v>
      </c>
      <c r="C69" s="48" t="s">
        <v>7</v>
      </c>
      <c r="D69" s="48" t="s">
        <v>58</v>
      </c>
      <c r="E69" s="48"/>
      <c r="F69" s="48">
        <v>33540.0</v>
      </c>
      <c r="G69" s="43"/>
      <c r="H69" s="43"/>
      <c r="I69" s="43"/>
      <c r="J69" s="43"/>
      <c r="K69" s="43"/>
      <c r="L69" s="43"/>
      <c r="M69" s="43"/>
      <c r="N69" s="43"/>
    </row>
    <row r="70" ht="12.75" customHeight="1">
      <c r="A70" s="48" t="s">
        <v>74</v>
      </c>
      <c r="B70" s="48" t="s">
        <v>25</v>
      </c>
      <c r="C70" s="48" t="s">
        <v>7</v>
      </c>
      <c r="D70" s="48" t="s">
        <v>8</v>
      </c>
      <c r="E70" s="48"/>
      <c r="F70" s="48">
        <v>0.0</v>
      </c>
      <c r="G70" s="43"/>
      <c r="H70" s="43"/>
      <c r="I70" s="43"/>
      <c r="J70" s="43"/>
      <c r="K70" s="43"/>
      <c r="L70" s="43"/>
      <c r="M70" s="43"/>
      <c r="N70" s="43"/>
    </row>
    <row r="71" ht="12.75" customHeight="1" outlineLevel="1">
      <c r="A71" s="48" t="s">
        <v>74</v>
      </c>
      <c r="B71" s="48" t="s">
        <v>25</v>
      </c>
      <c r="C71" s="48" t="s">
        <v>7</v>
      </c>
      <c r="D71" s="48" t="s">
        <v>54</v>
      </c>
      <c r="E71" s="48"/>
      <c r="F71" s="48">
        <v>120971.9</v>
      </c>
      <c r="G71" s="43"/>
      <c r="H71" s="43"/>
      <c r="I71" s="43"/>
      <c r="J71" s="43"/>
      <c r="K71" s="43"/>
      <c r="L71" s="43"/>
      <c r="M71" s="43"/>
      <c r="N71" s="43"/>
    </row>
    <row r="72" ht="12.75" customHeight="1" outlineLevel="1">
      <c r="A72" s="48" t="s">
        <v>74</v>
      </c>
      <c r="B72" s="48" t="s">
        <v>25</v>
      </c>
      <c r="C72" s="48" t="s">
        <v>7</v>
      </c>
      <c r="D72" s="48" t="s">
        <v>50</v>
      </c>
      <c r="E72" s="48"/>
      <c r="F72" s="48">
        <v>5392.2</v>
      </c>
      <c r="G72" s="43"/>
      <c r="H72" s="43"/>
      <c r="I72" s="43"/>
      <c r="J72" s="43"/>
      <c r="K72" s="43"/>
      <c r="L72" s="43"/>
      <c r="M72" s="43"/>
      <c r="N72" s="43"/>
    </row>
    <row r="73" ht="12.75" customHeight="1">
      <c r="A73" s="48" t="s">
        <v>74</v>
      </c>
      <c r="B73" s="48" t="s">
        <v>25</v>
      </c>
      <c r="C73" s="48" t="s">
        <v>7</v>
      </c>
      <c r="D73" s="48" t="s">
        <v>50</v>
      </c>
      <c r="E73" s="48"/>
      <c r="F73" s="48">
        <v>331.09999999999997</v>
      </c>
      <c r="G73" s="43"/>
      <c r="H73" s="43"/>
      <c r="I73" s="43"/>
      <c r="J73" s="43"/>
      <c r="K73" s="43"/>
      <c r="L73" s="43"/>
      <c r="M73" s="43"/>
      <c r="N73" s="43"/>
    </row>
    <row r="74" ht="12.75" customHeight="1">
      <c r="A74" s="48" t="s">
        <v>74</v>
      </c>
      <c r="B74" s="48" t="s">
        <v>25</v>
      </c>
      <c r="C74" s="48" t="s">
        <v>7</v>
      </c>
      <c r="D74" s="48" t="s">
        <v>50</v>
      </c>
      <c r="E74" s="48"/>
      <c r="F74" s="48">
        <v>10818.8</v>
      </c>
      <c r="G74" s="43"/>
      <c r="H74" s="43"/>
      <c r="I74" s="43"/>
      <c r="J74" s="43"/>
      <c r="K74" s="43"/>
      <c r="L74" s="43"/>
      <c r="M74" s="43"/>
      <c r="N74" s="43"/>
    </row>
    <row r="75" ht="12.75" customHeight="1">
      <c r="A75" s="48" t="s">
        <v>74</v>
      </c>
      <c r="B75" s="48" t="s">
        <v>25</v>
      </c>
      <c r="C75" s="48" t="s">
        <v>7</v>
      </c>
      <c r="D75" s="48" t="s">
        <v>50</v>
      </c>
      <c r="E75" s="48"/>
      <c r="F75" s="48">
        <v>10238.3</v>
      </c>
      <c r="G75" s="43"/>
      <c r="H75" s="43"/>
      <c r="I75" s="43"/>
      <c r="J75" s="43"/>
      <c r="K75" s="43"/>
      <c r="L75" s="43"/>
      <c r="M75" s="43"/>
      <c r="N75" s="43"/>
    </row>
    <row r="76" ht="12.75" customHeight="1" outlineLevel="1">
      <c r="A76" s="48" t="s">
        <v>74</v>
      </c>
      <c r="B76" s="48" t="s">
        <v>25</v>
      </c>
      <c r="C76" s="48" t="s">
        <v>7</v>
      </c>
      <c r="D76" s="48" t="s">
        <v>50</v>
      </c>
      <c r="E76" s="48"/>
      <c r="F76" s="48">
        <v>5959.8</v>
      </c>
      <c r="G76" s="43"/>
      <c r="H76" s="43"/>
      <c r="I76" s="43"/>
      <c r="J76" s="43"/>
      <c r="K76" s="43"/>
      <c r="L76" s="43"/>
      <c r="M76" s="43"/>
      <c r="N76" s="43"/>
    </row>
    <row r="77" ht="12.75" customHeight="1" outlineLevel="1">
      <c r="A77" s="48" t="s">
        <v>74</v>
      </c>
      <c r="B77" s="48" t="s">
        <v>25</v>
      </c>
      <c r="C77" s="48" t="s">
        <v>7</v>
      </c>
      <c r="D77" s="48" t="s">
        <v>50</v>
      </c>
      <c r="E77" s="48"/>
      <c r="F77" s="48">
        <v>52976.0</v>
      </c>
      <c r="G77" s="43"/>
      <c r="H77" s="43"/>
      <c r="I77" s="43"/>
      <c r="J77" s="43"/>
      <c r="K77" s="43"/>
      <c r="L77" s="43"/>
      <c r="M77" s="43"/>
      <c r="N77" s="43"/>
    </row>
    <row r="78" ht="12.75" customHeight="1">
      <c r="A78" s="48" t="s">
        <v>74</v>
      </c>
      <c r="B78" s="48" t="s">
        <v>25</v>
      </c>
      <c r="C78" s="48" t="s">
        <v>7</v>
      </c>
      <c r="D78" s="48" t="s">
        <v>50</v>
      </c>
      <c r="E78" s="48"/>
      <c r="F78" s="48">
        <v>8131.299999999999</v>
      </c>
      <c r="G78" s="43"/>
      <c r="H78" s="43"/>
      <c r="I78" s="43"/>
      <c r="J78" s="43"/>
      <c r="K78" s="43"/>
      <c r="L78" s="43"/>
      <c r="M78" s="43"/>
      <c r="N78" s="43"/>
    </row>
    <row r="79" ht="12.75" customHeight="1">
      <c r="A79" s="48" t="s">
        <v>74</v>
      </c>
      <c r="B79" s="48" t="s">
        <v>25</v>
      </c>
      <c r="C79" s="48" t="s">
        <v>7</v>
      </c>
      <c r="D79" s="48" t="s">
        <v>50</v>
      </c>
      <c r="E79" s="48"/>
      <c r="F79" s="48">
        <v>0.0</v>
      </c>
      <c r="G79" s="43"/>
      <c r="H79" s="43"/>
      <c r="I79" s="43"/>
      <c r="J79" s="43"/>
      <c r="K79" s="43"/>
      <c r="L79" s="43"/>
      <c r="M79" s="43"/>
      <c r="N79" s="43"/>
    </row>
    <row r="80" ht="12.75" customHeight="1">
      <c r="A80" s="48" t="s">
        <v>74</v>
      </c>
      <c r="B80" s="48" t="s">
        <v>25</v>
      </c>
      <c r="C80" s="48" t="s">
        <v>7</v>
      </c>
      <c r="D80" s="48" t="s">
        <v>47</v>
      </c>
      <c r="E80" s="48"/>
      <c r="F80" s="48">
        <v>967.5</v>
      </c>
      <c r="G80" s="43"/>
      <c r="H80" s="43"/>
      <c r="I80" s="43"/>
      <c r="J80" s="43"/>
      <c r="K80" s="43"/>
      <c r="L80" s="43"/>
      <c r="M80" s="43"/>
      <c r="N80" s="43"/>
    </row>
    <row r="81" ht="13.5" customHeight="1">
      <c r="A81" s="48" t="s">
        <v>74</v>
      </c>
      <c r="B81" s="48" t="s">
        <v>25</v>
      </c>
      <c r="C81" s="48" t="s">
        <v>7</v>
      </c>
      <c r="D81" s="48" t="s">
        <v>47</v>
      </c>
      <c r="E81" s="48"/>
      <c r="F81" s="48">
        <v>1444.8</v>
      </c>
      <c r="G81" s="43"/>
      <c r="H81" s="43"/>
      <c r="I81" s="43"/>
      <c r="J81" s="43"/>
      <c r="K81" s="43"/>
      <c r="L81" s="43"/>
      <c r="M81" s="43"/>
      <c r="N81" s="43"/>
    </row>
    <row r="82" ht="12.75" customHeight="1">
      <c r="A82" s="48" t="s">
        <v>74</v>
      </c>
      <c r="B82" s="48" t="s">
        <v>25</v>
      </c>
      <c r="C82" s="48" t="s">
        <v>7</v>
      </c>
      <c r="D82" s="48" t="s">
        <v>47</v>
      </c>
      <c r="E82" s="48"/>
      <c r="F82" s="48">
        <v>6114.599999999999</v>
      </c>
      <c r="G82" s="43"/>
      <c r="H82" s="43"/>
      <c r="I82" s="43"/>
      <c r="J82" s="43"/>
      <c r="K82" s="43"/>
      <c r="L82" s="43"/>
      <c r="M82" s="43"/>
      <c r="N82" s="43"/>
    </row>
    <row r="83" ht="12.75" customHeight="1">
      <c r="A83" s="48" t="s">
        <v>74</v>
      </c>
      <c r="B83" s="48" t="s">
        <v>25</v>
      </c>
      <c r="C83" s="48" t="s">
        <v>7</v>
      </c>
      <c r="D83" s="48" t="s">
        <v>47</v>
      </c>
      <c r="E83" s="48"/>
      <c r="F83" s="48">
        <v>0.0</v>
      </c>
      <c r="G83" s="43"/>
      <c r="H83" s="43"/>
      <c r="I83" s="43"/>
      <c r="J83" s="43"/>
      <c r="K83" s="43"/>
      <c r="L83" s="43"/>
      <c r="M83" s="43"/>
      <c r="N83" s="43"/>
    </row>
    <row r="84" ht="12.75" customHeight="1">
      <c r="A84" s="48" t="s">
        <v>74</v>
      </c>
      <c r="B84" s="48" t="s">
        <v>27</v>
      </c>
      <c r="C84" s="48" t="s">
        <v>78</v>
      </c>
      <c r="D84" s="48" t="s">
        <v>52</v>
      </c>
      <c r="E84" s="48"/>
      <c r="F84" s="48">
        <v>0.0</v>
      </c>
      <c r="G84" s="43"/>
      <c r="H84" s="43"/>
      <c r="I84" s="43"/>
      <c r="J84" s="43"/>
      <c r="K84" s="43"/>
      <c r="L84" s="43"/>
      <c r="M84" s="43"/>
      <c r="N84" s="43"/>
    </row>
    <row r="85" ht="12.75" customHeight="1">
      <c r="A85" s="48" t="s">
        <v>74</v>
      </c>
      <c r="B85" s="48" t="s">
        <v>27</v>
      </c>
      <c r="C85" s="48" t="s">
        <v>78</v>
      </c>
      <c r="D85" s="48" t="s">
        <v>52</v>
      </c>
      <c r="E85" s="48"/>
      <c r="F85" s="48">
        <v>17595.6</v>
      </c>
      <c r="G85" s="43"/>
      <c r="H85" s="43"/>
      <c r="I85" s="43"/>
      <c r="J85" s="43"/>
      <c r="K85" s="43"/>
      <c r="L85" s="43"/>
      <c r="M85" s="43"/>
      <c r="N85" s="43"/>
    </row>
    <row r="86" ht="12.75" customHeight="1">
      <c r="A86" s="48" t="s">
        <v>74</v>
      </c>
      <c r="B86" s="48" t="s">
        <v>27</v>
      </c>
      <c r="C86" s="48" t="s">
        <v>78</v>
      </c>
      <c r="D86" s="48" t="s">
        <v>52</v>
      </c>
      <c r="E86" s="48"/>
      <c r="F86" s="48">
        <v>48375.0</v>
      </c>
      <c r="G86" s="43"/>
      <c r="H86" s="43"/>
      <c r="I86" s="43"/>
      <c r="J86" s="43"/>
      <c r="K86" s="43"/>
      <c r="L86" s="43"/>
      <c r="M86" s="43"/>
      <c r="N86" s="43"/>
    </row>
    <row r="87" ht="12.75" customHeight="1">
      <c r="A87" s="48" t="s">
        <v>74</v>
      </c>
      <c r="B87" s="48" t="s">
        <v>27</v>
      </c>
      <c r="C87" s="48" t="s">
        <v>78</v>
      </c>
      <c r="D87" s="48" t="s">
        <v>58</v>
      </c>
      <c r="E87" s="48"/>
      <c r="F87" s="48">
        <v>30155.899999999998</v>
      </c>
      <c r="G87" s="43"/>
      <c r="H87" s="43"/>
      <c r="I87" s="43"/>
      <c r="J87" s="43"/>
      <c r="K87" s="43"/>
      <c r="L87" s="43"/>
      <c r="M87" s="43"/>
      <c r="N87" s="43"/>
    </row>
    <row r="88" ht="12.75" customHeight="1">
      <c r="A88" s="48" t="s">
        <v>74</v>
      </c>
      <c r="B88" s="48" t="s">
        <v>27</v>
      </c>
      <c r="C88" s="48" t="s">
        <v>78</v>
      </c>
      <c r="D88" s="48" t="s">
        <v>58</v>
      </c>
      <c r="E88" s="48"/>
      <c r="F88" s="48">
        <v>-129.0</v>
      </c>
      <c r="G88" s="43"/>
      <c r="H88" s="43"/>
      <c r="I88" s="43"/>
      <c r="J88" s="43"/>
      <c r="K88" s="43"/>
      <c r="L88" s="43"/>
      <c r="M88" s="43"/>
      <c r="N88" s="43"/>
    </row>
    <row r="89" ht="12.75" customHeight="1">
      <c r="A89" s="48" t="s">
        <v>74</v>
      </c>
      <c r="B89" s="48" t="s">
        <v>27</v>
      </c>
      <c r="C89" s="48" t="s">
        <v>78</v>
      </c>
      <c r="D89" s="48" t="s">
        <v>58</v>
      </c>
      <c r="E89" s="48"/>
      <c r="F89" s="48">
        <v>117390.0</v>
      </c>
      <c r="G89" s="43"/>
      <c r="H89" s="43"/>
      <c r="I89" s="43"/>
      <c r="J89" s="43"/>
      <c r="K89" s="43"/>
      <c r="L89" s="43"/>
      <c r="M89" s="43"/>
      <c r="N89" s="43"/>
    </row>
    <row r="90" ht="12.75" customHeight="1">
      <c r="A90" s="48" t="s">
        <v>74</v>
      </c>
      <c r="B90" s="48" t="s">
        <v>27</v>
      </c>
      <c r="C90" s="48" t="s">
        <v>78</v>
      </c>
      <c r="D90" s="48" t="s">
        <v>54</v>
      </c>
      <c r="E90" s="48"/>
      <c r="F90" s="48">
        <v>1135.2</v>
      </c>
      <c r="G90" s="43"/>
      <c r="H90" s="43"/>
      <c r="I90" s="43"/>
      <c r="J90" s="43"/>
      <c r="K90" s="43"/>
      <c r="L90" s="43"/>
      <c r="M90" s="43"/>
      <c r="N90" s="43"/>
    </row>
    <row r="91" ht="12.75" customHeight="1">
      <c r="A91" s="48" t="s">
        <v>74</v>
      </c>
      <c r="B91" s="48" t="s">
        <v>27</v>
      </c>
      <c r="C91" s="48" t="s">
        <v>78</v>
      </c>
      <c r="D91" s="48" t="s">
        <v>54</v>
      </c>
      <c r="E91" s="48"/>
      <c r="F91" s="48">
        <v>464.4</v>
      </c>
      <c r="G91" s="43"/>
      <c r="H91" s="43"/>
      <c r="I91" s="43"/>
      <c r="J91" s="43"/>
      <c r="K91" s="43"/>
      <c r="L91" s="43"/>
      <c r="M91" s="43"/>
      <c r="N91" s="43"/>
    </row>
    <row r="92" ht="12.75" customHeight="1">
      <c r="A92" s="48" t="s">
        <v>74</v>
      </c>
      <c r="B92" s="48" t="s">
        <v>27</v>
      </c>
      <c r="C92" s="48" t="s">
        <v>78</v>
      </c>
      <c r="D92" s="48" t="s">
        <v>54</v>
      </c>
      <c r="E92" s="48"/>
      <c r="F92" s="48">
        <v>73276.3</v>
      </c>
      <c r="G92" s="43"/>
      <c r="H92" s="43"/>
      <c r="I92" s="43"/>
      <c r="J92" s="43"/>
      <c r="K92" s="43"/>
      <c r="L92" s="43"/>
      <c r="M92" s="43"/>
      <c r="N92" s="43"/>
    </row>
    <row r="93" ht="12.75" customHeight="1">
      <c r="A93" s="48" t="s">
        <v>74</v>
      </c>
      <c r="B93" s="48" t="s">
        <v>27</v>
      </c>
      <c r="C93" s="48" t="s">
        <v>78</v>
      </c>
      <c r="D93" s="48" t="s">
        <v>49</v>
      </c>
      <c r="E93" s="48"/>
      <c r="F93" s="48">
        <v>-40850.0</v>
      </c>
      <c r="G93" s="43"/>
      <c r="H93" s="43"/>
      <c r="I93" s="43"/>
      <c r="J93" s="43"/>
      <c r="K93" s="43"/>
      <c r="L93" s="43"/>
      <c r="M93" s="43"/>
      <c r="N93" s="43"/>
    </row>
    <row r="94" ht="12.75" customHeight="1">
      <c r="A94" s="48" t="s">
        <v>74</v>
      </c>
      <c r="B94" s="48" t="s">
        <v>27</v>
      </c>
      <c r="C94" s="48" t="s">
        <v>78</v>
      </c>
      <c r="D94" s="48" t="s">
        <v>49</v>
      </c>
      <c r="E94" s="48"/>
      <c r="F94" s="48">
        <v>40850.0</v>
      </c>
      <c r="G94" s="43"/>
      <c r="H94" s="43"/>
      <c r="I94" s="43"/>
      <c r="J94" s="43"/>
      <c r="K94" s="43"/>
      <c r="L94" s="43"/>
      <c r="M94" s="43"/>
      <c r="N94" s="43"/>
    </row>
    <row r="95" ht="12.75" customHeight="1">
      <c r="A95" s="48" t="s">
        <v>74</v>
      </c>
      <c r="B95" s="48" t="s">
        <v>27</v>
      </c>
      <c r="C95" s="48" t="s">
        <v>78</v>
      </c>
      <c r="D95" s="48" t="s">
        <v>49</v>
      </c>
      <c r="E95" s="48"/>
      <c r="F95" s="48">
        <v>324650.0</v>
      </c>
      <c r="G95" s="43"/>
      <c r="H95" s="43"/>
      <c r="I95" s="43"/>
      <c r="J95" s="43"/>
      <c r="K95" s="43"/>
      <c r="L95" s="43"/>
      <c r="M95" s="43"/>
      <c r="N95" s="43"/>
    </row>
    <row r="96" ht="12.75" customHeight="1">
      <c r="A96" s="48" t="s">
        <v>74</v>
      </c>
      <c r="B96" s="48" t="s">
        <v>27</v>
      </c>
      <c r="C96" s="48" t="s">
        <v>78</v>
      </c>
      <c r="D96" s="48" t="s">
        <v>50</v>
      </c>
      <c r="E96" s="48"/>
      <c r="F96" s="48">
        <v>8797.8</v>
      </c>
      <c r="G96" s="43"/>
      <c r="H96" s="43"/>
      <c r="I96" s="43"/>
      <c r="J96" s="43"/>
      <c r="K96" s="43"/>
      <c r="L96" s="43"/>
      <c r="M96" s="43"/>
      <c r="N96" s="43"/>
    </row>
    <row r="97" ht="12.75" customHeight="1">
      <c r="A97" s="48" t="s">
        <v>74</v>
      </c>
      <c r="B97" s="48" t="s">
        <v>27</v>
      </c>
      <c r="C97" s="48" t="s">
        <v>78</v>
      </c>
      <c r="D97" s="48" t="s">
        <v>50</v>
      </c>
      <c r="E97" s="48"/>
      <c r="F97" s="48">
        <v>14486.699999999999</v>
      </c>
      <c r="G97" s="43"/>
      <c r="H97" s="43"/>
      <c r="I97" s="43"/>
      <c r="J97" s="43"/>
      <c r="K97" s="43"/>
      <c r="L97" s="43"/>
      <c r="M97" s="43"/>
      <c r="N97" s="43"/>
    </row>
    <row r="98" ht="12.75" customHeight="1">
      <c r="A98" s="48" t="s">
        <v>74</v>
      </c>
      <c r="B98" s="48" t="s">
        <v>27</v>
      </c>
      <c r="C98" s="48" t="s">
        <v>78</v>
      </c>
      <c r="D98" s="48" t="s">
        <v>50</v>
      </c>
      <c r="E98" s="48"/>
      <c r="F98" s="48">
        <v>8436.6</v>
      </c>
      <c r="G98" s="43"/>
      <c r="H98" s="43"/>
      <c r="I98" s="43"/>
      <c r="J98" s="43"/>
      <c r="K98" s="43"/>
      <c r="L98" s="43"/>
      <c r="M98" s="43"/>
      <c r="N98" s="43"/>
    </row>
    <row r="99" ht="12.75" customHeight="1">
      <c r="A99" s="48" t="s">
        <v>74</v>
      </c>
      <c r="B99" s="48" t="s">
        <v>27</v>
      </c>
      <c r="C99" s="48" t="s">
        <v>78</v>
      </c>
      <c r="D99" s="48" t="s">
        <v>50</v>
      </c>
      <c r="E99" s="48"/>
      <c r="F99" s="48">
        <v>25851.6</v>
      </c>
      <c r="G99" s="43"/>
      <c r="H99" s="43"/>
      <c r="I99" s="43"/>
      <c r="J99" s="43"/>
      <c r="K99" s="43"/>
      <c r="L99" s="43"/>
      <c r="M99" s="43"/>
      <c r="N99" s="43"/>
    </row>
    <row r="100" ht="12.75" customHeight="1">
      <c r="A100" s="48" t="s">
        <v>74</v>
      </c>
      <c r="B100" s="48" t="s">
        <v>27</v>
      </c>
      <c r="C100" s="48" t="s">
        <v>78</v>
      </c>
      <c r="D100" s="48" t="s">
        <v>50</v>
      </c>
      <c r="E100" s="48"/>
      <c r="F100" s="48">
        <v>7731.4</v>
      </c>
      <c r="G100" s="43"/>
      <c r="H100" s="43"/>
      <c r="I100" s="43"/>
      <c r="J100" s="43"/>
      <c r="K100" s="43"/>
      <c r="L100" s="43"/>
      <c r="M100" s="43"/>
      <c r="N100" s="43"/>
    </row>
    <row r="101" ht="12.75" customHeight="1">
      <c r="A101" s="48" t="s">
        <v>74</v>
      </c>
      <c r="B101" s="48" t="s">
        <v>27</v>
      </c>
      <c r="C101" s="48" t="s">
        <v>78</v>
      </c>
      <c r="D101" s="48" t="s">
        <v>47</v>
      </c>
      <c r="E101" s="48"/>
      <c r="F101" s="48">
        <v>7494.9</v>
      </c>
      <c r="G101" s="43"/>
      <c r="H101" s="43"/>
      <c r="I101" s="43"/>
      <c r="J101" s="43"/>
      <c r="K101" s="43"/>
      <c r="L101" s="43"/>
      <c r="M101" s="43"/>
      <c r="N101" s="43"/>
    </row>
    <row r="102" ht="12.75" customHeight="1">
      <c r="A102" s="48" t="s">
        <v>74</v>
      </c>
      <c r="B102" s="48" t="s">
        <v>27</v>
      </c>
      <c r="C102" s="48" t="s">
        <v>78</v>
      </c>
      <c r="D102" s="48" t="s">
        <v>47</v>
      </c>
      <c r="E102" s="48"/>
      <c r="F102" s="48">
        <v>13097.8</v>
      </c>
      <c r="G102" s="43"/>
      <c r="H102" s="43"/>
      <c r="I102" s="43"/>
      <c r="J102" s="43"/>
      <c r="K102" s="43"/>
      <c r="L102" s="43"/>
      <c r="M102" s="43"/>
      <c r="N102" s="43"/>
    </row>
    <row r="103" ht="12.75" customHeight="1">
      <c r="A103" s="48" t="s">
        <v>74</v>
      </c>
      <c r="B103" s="48" t="s">
        <v>27</v>
      </c>
      <c r="C103" s="48" t="s">
        <v>78</v>
      </c>
      <c r="D103" s="48" t="s">
        <v>47</v>
      </c>
      <c r="E103" s="48"/>
      <c r="F103" s="48">
        <v>11386.4</v>
      </c>
      <c r="G103" s="43"/>
      <c r="H103" s="43"/>
      <c r="I103" s="43"/>
      <c r="J103" s="43"/>
      <c r="K103" s="43"/>
      <c r="L103" s="43"/>
      <c r="M103" s="43"/>
      <c r="N103" s="43"/>
    </row>
    <row r="104" ht="12.75" customHeight="1">
      <c r="A104" s="48" t="s">
        <v>74</v>
      </c>
      <c r="B104" s="48" t="s">
        <v>27</v>
      </c>
      <c r="C104" s="48" t="s">
        <v>78</v>
      </c>
      <c r="D104" s="48" t="s">
        <v>47</v>
      </c>
      <c r="E104" s="48"/>
      <c r="F104" s="48">
        <v>14293.199999999999</v>
      </c>
      <c r="G104" s="43"/>
      <c r="H104" s="43"/>
      <c r="I104" s="43"/>
      <c r="J104" s="43"/>
      <c r="K104" s="43"/>
      <c r="L104" s="43"/>
      <c r="M104" s="43"/>
      <c r="N104" s="43"/>
    </row>
    <row r="105" ht="12.75" customHeight="1">
      <c r="A105" s="48" t="s">
        <v>74</v>
      </c>
      <c r="B105" s="48" t="s">
        <v>27</v>
      </c>
      <c r="C105" s="48" t="s">
        <v>78</v>
      </c>
      <c r="D105" s="48" t="s">
        <v>47</v>
      </c>
      <c r="E105" s="48"/>
      <c r="F105" s="48">
        <v>-24505.7</v>
      </c>
      <c r="G105" s="43"/>
      <c r="H105" s="43"/>
      <c r="I105" s="43"/>
      <c r="J105" s="43"/>
      <c r="K105" s="43"/>
      <c r="L105" s="43"/>
      <c r="M105" s="43"/>
      <c r="N105" s="43"/>
    </row>
    <row r="106" ht="12.75" customHeight="1">
      <c r="A106" s="48" t="s">
        <v>74</v>
      </c>
      <c r="B106" s="48" t="s">
        <v>27</v>
      </c>
      <c r="C106" s="48" t="s">
        <v>78</v>
      </c>
      <c r="D106" s="48" t="s">
        <v>47</v>
      </c>
      <c r="E106" s="48"/>
      <c r="F106" s="48">
        <v>24505.7</v>
      </c>
      <c r="G106" s="43"/>
      <c r="H106" s="43"/>
      <c r="I106" s="43"/>
      <c r="J106" s="43"/>
      <c r="K106" s="43"/>
      <c r="L106" s="43"/>
      <c r="M106" s="43"/>
      <c r="N106" s="43"/>
    </row>
    <row r="107" ht="12.75" customHeight="1">
      <c r="A107" s="48" t="s">
        <v>74</v>
      </c>
      <c r="B107" s="48" t="s">
        <v>27</v>
      </c>
      <c r="C107" s="48" t="s">
        <v>78</v>
      </c>
      <c r="D107" s="48" t="s">
        <v>47</v>
      </c>
      <c r="E107" s="48"/>
      <c r="F107" s="48">
        <v>6015.7</v>
      </c>
      <c r="G107" s="43"/>
      <c r="H107" s="43"/>
      <c r="I107" s="43"/>
      <c r="J107" s="43"/>
      <c r="K107" s="43"/>
      <c r="L107" s="43"/>
      <c r="M107" s="43"/>
      <c r="N107" s="43"/>
    </row>
    <row r="108" ht="12.75" customHeight="1">
      <c r="A108" s="48" t="s">
        <v>74</v>
      </c>
      <c r="B108" s="48" t="s">
        <v>25</v>
      </c>
      <c r="C108" s="48" t="s">
        <v>75</v>
      </c>
      <c r="D108" s="48" t="s">
        <v>53</v>
      </c>
      <c r="E108" s="48"/>
      <c r="F108" s="48">
        <v>774.0</v>
      </c>
      <c r="G108" s="43"/>
      <c r="H108" s="43"/>
      <c r="I108" s="43"/>
      <c r="J108" s="43"/>
      <c r="K108" s="43"/>
      <c r="L108" s="43"/>
      <c r="M108" s="43"/>
      <c r="N108" s="43"/>
    </row>
    <row r="109" ht="12.75" customHeight="1">
      <c r="A109" s="48" t="s">
        <v>74</v>
      </c>
      <c r="B109" s="48" t="s">
        <v>25</v>
      </c>
      <c r="C109" s="48" t="s">
        <v>75</v>
      </c>
      <c r="D109" s="48" t="s">
        <v>8</v>
      </c>
      <c r="E109" s="48"/>
      <c r="F109" s="48">
        <v>0.0</v>
      </c>
      <c r="G109" s="43"/>
      <c r="H109" s="43"/>
      <c r="I109" s="43"/>
      <c r="J109" s="43"/>
      <c r="K109" s="43"/>
      <c r="L109" s="43"/>
      <c r="M109" s="43"/>
      <c r="N109" s="43"/>
    </row>
    <row r="110" ht="12.75" customHeight="1">
      <c r="A110" s="48" t="s">
        <v>74</v>
      </c>
      <c r="B110" s="48" t="s">
        <v>25</v>
      </c>
      <c r="C110" s="48" t="s">
        <v>75</v>
      </c>
      <c r="D110" s="48" t="s">
        <v>8</v>
      </c>
      <c r="E110" s="48"/>
      <c r="F110" s="48">
        <v>0.0</v>
      </c>
      <c r="G110" s="43"/>
      <c r="H110" s="43"/>
      <c r="I110" s="43"/>
      <c r="J110" s="43"/>
      <c r="K110" s="43"/>
      <c r="L110" s="43"/>
      <c r="M110" s="43"/>
      <c r="N110" s="43"/>
    </row>
    <row r="111" ht="12.75" customHeight="1">
      <c r="A111" s="48" t="s">
        <v>74</v>
      </c>
      <c r="B111" s="48" t="s">
        <v>25</v>
      </c>
      <c r="C111" s="48" t="s">
        <v>75</v>
      </c>
      <c r="D111" s="48" t="s">
        <v>8</v>
      </c>
      <c r="E111" s="48"/>
      <c r="F111" s="48">
        <v>0.0</v>
      </c>
      <c r="G111" s="43"/>
      <c r="H111" s="43"/>
      <c r="I111" s="43"/>
      <c r="J111" s="43"/>
      <c r="K111" s="43"/>
      <c r="L111" s="43"/>
      <c r="M111" s="43"/>
      <c r="N111" s="43"/>
    </row>
    <row r="112" ht="12.75" customHeight="1">
      <c r="A112" s="48" t="s">
        <v>74</v>
      </c>
      <c r="B112" s="48" t="s">
        <v>25</v>
      </c>
      <c r="C112" s="48" t="s">
        <v>75</v>
      </c>
      <c r="D112" s="48" t="s">
        <v>8</v>
      </c>
      <c r="E112" s="48"/>
      <c r="F112" s="48">
        <v>0.0</v>
      </c>
      <c r="G112" s="43"/>
      <c r="H112" s="43"/>
      <c r="I112" s="43"/>
      <c r="J112" s="43"/>
      <c r="K112" s="43"/>
      <c r="L112" s="43"/>
      <c r="M112" s="43"/>
      <c r="N112" s="43"/>
    </row>
    <row r="113" ht="12.75" customHeight="1">
      <c r="A113" s="48" t="s">
        <v>74</v>
      </c>
      <c r="B113" s="48" t="s">
        <v>25</v>
      </c>
      <c r="C113" s="48" t="s">
        <v>75</v>
      </c>
      <c r="D113" s="48" t="s">
        <v>8</v>
      </c>
      <c r="E113" s="48"/>
      <c r="F113" s="48">
        <v>0.0</v>
      </c>
      <c r="G113" s="43"/>
      <c r="H113" s="43"/>
      <c r="I113" s="43"/>
      <c r="J113" s="43"/>
      <c r="K113" s="43"/>
      <c r="L113" s="43"/>
      <c r="M113" s="43"/>
      <c r="N113" s="43"/>
    </row>
    <row r="114" ht="12.75" customHeight="1">
      <c r="A114" s="48" t="s">
        <v>74</v>
      </c>
      <c r="B114" s="48" t="s">
        <v>25</v>
      </c>
      <c r="C114" s="48" t="s">
        <v>75</v>
      </c>
      <c r="D114" s="48" t="s">
        <v>8</v>
      </c>
      <c r="E114" s="48"/>
      <c r="F114" s="48">
        <v>417.09999999999997</v>
      </c>
      <c r="G114" s="43"/>
      <c r="H114" s="43"/>
      <c r="I114" s="43"/>
      <c r="J114" s="43"/>
      <c r="K114" s="43"/>
      <c r="L114" s="43"/>
      <c r="M114" s="43"/>
      <c r="N114" s="43"/>
    </row>
    <row r="115" ht="12.75" customHeight="1">
      <c r="A115" s="48" t="s">
        <v>74</v>
      </c>
      <c r="B115" s="48" t="s">
        <v>25</v>
      </c>
      <c r="C115" s="48" t="s">
        <v>75</v>
      </c>
      <c r="D115" s="48" t="s">
        <v>8</v>
      </c>
      <c r="E115" s="48"/>
      <c r="F115" s="48">
        <v>0.0</v>
      </c>
      <c r="G115" s="43"/>
      <c r="H115" s="43"/>
      <c r="I115" s="43"/>
      <c r="J115" s="43"/>
      <c r="K115" s="43"/>
      <c r="L115" s="43"/>
      <c r="M115" s="43"/>
      <c r="N115" s="43"/>
    </row>
    <row r="116" ht="12.75" customHeight="1">
      <c r="A116" s="48" t="s">
        <v>74</v>
      </c>
      <c r="B116" s="48" t="s">
        <v>25</v>
      </c>
      <c r="C116" s="48" t="s">
        <v>75</v>
      </c>
      <c r="D116" s="48" t="s">
        <v>8</v>
      </c>
      <c r="E116" s="48"/>
      <c r="F116" s="48">
        <v>0.0</v>
      </c>
      <c r="G116" s="43"/>
      <c r="H116" s="43"/>
      <c r="I116" s="43"/>
      <c r="J116" s="43"/>
      <c r="K116" s="43"/>
      <c r="L116" s="43"/>
      <c r="M116" s="43"/>
      <c r="N116" s="43"/>
    </row>
    <row r="117" ht="12.75" customHeight="1">
      <c r="A117" s="48" t="s">
        <v>74</v>
      </c>
      <c r="B117" s="48" t="s">
        <v>25</v>
      </c>
      <c r="C117" s="48" t="s">
        <v>75</v>
      </c>
      <c r="D117" s="48" t="s">
        <v>8</v>
      </c>
      <c r="E117" s="48"/>
      <c r="F117" s="48">
        <v>3637.7999999999997</v>
      </c>
      <c r="G117" s="43"/>
      <c r="H117" s="43"/>
      <c r="I117" s="43"/>
      <c r="J117" s="43"/>
      <c r="K117" s="43"/>
      <c r="L117" s="43"/>
      <c r="M117" s="43"/>
      <c r="N117" s="43"/>
    </row>
    <row r="118" ht="12.75" customHeight="1">
      <c r="A118" s="48" t="s">
        <v>74</v>
      </c>
      <c r="B118" s="48" t="s">
        <v>25</v>
      </c>
      <c r="C118" s="48" t="s">
        <v>75</v>
      </c>
      <c r="D118" s="48" t="s">
        <v>8</v>
      </c>
      <c r="E118" s="48"/>
      <c r="F118" s="48">
        <v>0.0</v>
      </c>
      <c r="G118" s="43"/>
      <c r="H118" s="43"/>
      <c r="I118" s="43"/>
      <c r="J118" s="43"/>
      <c r="K118" s="43"/>
      <c r="L118" s="43"/>
      <c r="M118" s="43"/>
      <c r="N118" s="43"/>
    </row>
    <row r="119" ht="12.75" customHeight="1">
      <c r="A119" s="48" t="s">
        <v>74</v>
      </c>
      <c r="B119" s="48" t="s">
        <v>25</v>
      </c>
      <c r="C119" s="48" t="s">
        <v>75</v>
      </c>
      <c r="D119" s="48" t="s">
        <v>8</v>
      </c>
      <c r="E119" s="48"/>
      <c r="F119" s="48">
        <v>0.0</v>
      </c>
      <c r="G119" s="43"/>
      <c r="H119" s="43"/>
      <c r="I119" s="43"/>
      <c r="J119" s="43"/>
      <c r="K119" s="43"/>
      <c r="L119" s="43"/>
      <c r="M119" s="43"/>
      <c r="N119" s="43"/>
    </row>
    <row r="120" ht="12.75" customHeight="1">
      <c r="A120" s="48" t="s">
        <v>74</v>
      </c>
      <c r="B120" s="48" t="s">
        <v>25</v>
      </c>
      <c r="C120" s="48" t="s">
        <v>75</v>
      </c>
      <c r="D120" s="48" t="s">
        <v>8</v>
      </c>
      <c r="E120" s="48"/>
      <c r="F120" s="48">
        <v>0.0</v>
      </c>
      <c r="G120" s="43"/>
      <c r="H120" s="43"/>
      <c r="I120" s="43"/>
      <c r="J120" s="43"/>
      <c r="K120" s="43"/>
      <c r="L120" s="43"/>
      <c r="M120" s="43"/>
      <c r="N120" s="43"/>
    </row>
    <row r="121" ht="12.75" customHeight="1">
      <c r="A121" s="48" t="s">
        <v>74</v>
      </c>
      <c r="B121" s="48" t="s">
        <v>25</v>
      </c>
      <c r="C121" s="48" t="s">
        <v>75</v>
      </c>
      <c r="D121" s="48" t="s">
        <v>8</v>
      </c>
      <c r="E121" s="48"/>
      <c r="F121" s="48">
        <v>0.0</v>
      </c>
      <c r="G121" s="43"/>
      <c r="H121" s="43"/>
      <c r="I121" s="43"/>
      <c r="J121" s="43"/>
      <c r="K121" s="43"/>
      <c r="L121" s="43"/>
      <c r="M121" s="43"/>
      <c r="N121" s="43"/>
    </row>
    <row r="122" ht="12.75" customHeight="1">
      <c r="A122" s="48" t="s">
        <v>74</v>
      </c>
      <c r="B122" s="48" t="s">
        <v>25</v>
      </c>
      <c r="C122" s="48" t="s">
        <v>75</v>
      </c>
      <c r="D122" s="48" t="s">
        <v>8</v>
      </c>
      <c r="E122" s="48"/>
      <c r="F122" s="48">
        <v>236.5</v>
      </c>
      <c r="G122" s="43"/>
      <c r="H122" s="43"/>
      <c r="I122" s="43"/>
      <c r="J122" s="43"/>
      <c r="K122" s="43"/>
      <c r="L122" s="43"/>
      <c r="M122" s="43"/>
      <c r="N122" s="43"/>
    </row>
    <row r="123" ht="12.75" customHeight="1">
      <c r="A123" s="48" t="s">
        <v>74</v>
      </c>
      <c r="B123" s="48" t="s">
        <v>25</v>
      </c>
      <c r="C123" s="48" t="s">
        <v>75</v>
      </c>
      <c r="D123" s="48" t="s">
        <v>8</v>
      </c>
      <c r="E123" s="48"/>
      <c r="F123" s="48">
        <v>15639.099999999999</v>
      </c>
      <c r="G123" s="43"/>
      <c r="H123" s="43"/>
      <c r="I123" s="43"/>
      <c r="J123" s="43"/>
      <c r="K123" s="43"/>
      <c r="L123" s="43"/>
      <c r="M123" s="43"/>
      <c r="N123" s="43"/>
    </row>
    <row r="124" ht="12.75" customHeight="1">
      <c r="A124" s="48" t="s">
        <v>74</v>
      </c>
      <c r="B124" s="48" t="s">
        <v>25</v>
      </c>
      <c r="C124" s="48" t="s">
        <v>75</v>
      </c>
      <c r="D124" s="48" t="s">
        <v>8</v>
      </c>
      <c r="E124" s="48"/>
      <c r="F124" s="48">
        <v>0.0</v>
      </c>
      <c r="G124" s="43"/>
      <c r="H124" s="43"/>
      <c r="I124" s="43"/>
      <c r="J124" s="43"/>
      <c r="K124" s="43"/>
      <c r="L124" s="43"/>
      <c r="M124" s="43"/>
      <c r="N124" s="43"/>
    </row>
    <row r="125" ht="12.75" customHeight="1">
      <c r="A125" s="48" t="s">
        <v>74</v>
      </c>
      <c r="B125" s="48" t="s">
        <v>25</v>
      </c>
      <c r="C125" s="48" t="s">
        <v>75</v>
      </c>
      <c r="D125" s="48" t="s">
        <v>8</v>
      </c>
      <c r="E125" s="48"/>
      <c r="F125" s="48">
        <v>6716.599999999999</v>
      </c>
      <c r="G125" s="43"/>
      <c r="H125" s="43"/>
      <c r="I125" s="43"/>
      <c r="J125" s="43"/>
      <c r="K125" s="43"/>
      <c r="L125" s="43"/>
      <c r="M125" s="43"/>
      <c r="N125" s="43"/>
    </row>
    <row r="126" ht="12.75" customHeight="1">
      <c r="A126" s="48" t="s">
        <v>74</v>
      </c>
      <c r="B126" s="48" t="s">
        <v>25</v>
      </c>
      <c r="C126" s="48" t="s">
        <v>75</v>
      </c>
      <c r="D126" s="48" t="s">
        <v>8</v>
      </c>
      <c r="E126" s="48"/>
      <c r="F126" s="48">
        <v>0.0</v>
      </c>
      <c r="G126" s="43"/>
      <c r="H126" s="43"/>
      <c r="I126" s="43"/>
      <c r="J126" s="43"/>
      <c r="K126" s="43"/>
      <c r="L126" s="43"/>
      <c r="M126" s="43"/>
      <c r="N126" s="43"/>
    </row>
    <row r="127" ht="12.75" customHeight="1">
      <c r="A127" s="48" t="s">
        <v>74</v>
      </c>
      <c r="B127" s="48" t="s">
        <v>25</v>
      </c>
      <c r="C127" s="48" t="s">
        <v>75</v>
      </c>
      <c r="D127" s="48" t="s">
        <v>8</v>
      </c>
      <c r="E127" s="48"/>
      <c r="F127" s="48">
        <v>0.0</v>
      </c>
      <c r="G127" s="43"/>
      <c r="H127" s="43"/>
      <c r="I127" s="43"/>
      <c r="J127" s="43"/>
      <c r="K127" s="43"/>
      <c r="L127" s="43"/>
      <c r="M127" s="43"/>
      <c r="N127" s="43"/>
    </row>
    <row r="128" ht="12.75" customHeight="1">
      <c r="A128" s="48" t="s">
        <v>74</v>
      </c>
      <c r="B128" s="48" t="s">
        <v>25</v>
      </c>
      <c r="C128" s="48" t="s">
        <v>75</v>
      </c>
      <c r="D128" s="48" t="s">
        <v>8</v>
      </c>
      <c r="E128" s="48"/>
      <c r="F128" s="48">
        <v>0.0</v>
      </c>
      <c r="G128" s="43"/>
      <c r="H128" s="43"/>
      <c r="I128" s="43"/>
      <c r="J128" s="43"/>
      <c r="K128" s="43"/>
      <c r="L128" s="43"/>
      <c r="M128" s="43"/>
      <c r="N128" s="43"/>
    </row>
    <row r="129" ht="12.75" customHeight="1">
      <c r="A129" s="48" t="s">
        <v>74</v>
      </c>
      <c r="B129" s="48" t="s">
        <v>25</v>
      </c>
      <c r="C129" s="48" t="s">
        <v>75</v>
      </c>
      <c r="D129" s="48" t="s">
        <v>8</v>
      </c>
      <c r="E129" s="48"/>
      <c r="F129" s="48">
        <v>0.0</v>
      </c>
      <c r="G129" s="43"/>
      <c r="H129" s="43"/>
      <c r="I129" s="43"/>
      <c r="J129" s="43"/>
      <c r="K129" s="43"/>
      <c r="L129" s="43"/>
      <c r="M129" s="43"/>
      <c r="N129" s="43"/>
    </row>
    <row r="130" ht="12.75" customHeight="1">
      <c r="A130" s="48" t="s">
        <v>74</v>
      </c>
      <c r="B130" s="48" t="s">
        <v>25</v>
      </c>
      <c r="C130" s="48" t="s">
        <v>75</v>
      </c>
      <c r="D130" s="48" t="s">
        <v>8</v>
      </c>
      <c r="E130" s="48"/>
      <c r="F130" s="48">
        <v>0.0</v>
      </c>
      <c r="G130" s="43"/>
      <c r="H130" s="43"/>
      <c r="I130" s="43"/>
      <c r="J130" s="43"/>
      <c r="K130" s="43"/>
      <c r="L130" s="43"/>
      <c r="M130" s="43"/>
      <c r="N130" s="43"/>
    </row>
    <row r="131" ht="12.75" customHeight="1">
      <c r="A131" s="48" t="s">
        <v>74</v>
      </c>
      <c r="B131" s="48" t="s">
        <v>25</v>
      </c>
      <c r="C131" s="48" t="s">
        <v>75</v>
      </c>
      <c r="D131" s="48" t="s">
        <v>8</v>
      </c>
      <c r="E131" s="48"/>
      <c r="F131" s="48">
        <v>76273.4</v>
      </c>
      <c r="G131" s="43"/>
      <c r="H131" s="43"/>
      <c r="I131" s="43"/>
      <c r="J131" s="43"/>
      <c r="K131" s="43"/>
      <c r="L131" s="43"/>
      <c r="M131" s="43"/>
      <c r="N131" s="43"/>
    </row>
    <row r="132" ht="12.75" customHeight="1">
      <c r="A132" s="48" t="s">
        <v>74</v>
      </c>
      <c r="B132" s="48" t="s">
        <v>25</v>
      </c>
      <c r="C132" s="48" t="s">
        <v>75</v>
      </c>
      <c r="D132" s="48" t="s">
        <v>8</v>
      </c>
      <c r="E132" s="48"/>
      <c r="F132" s="48">
        <v>30972.899999999998</v>
      </c>
      <c r="G132" s="43"/>
      <c r="H132" s="43"/>
      <c r="I132" s="43"/>
      <c r="J132" s="43"/>
      <c r="K132" s="43"/>
      <c r="L132" s="43"/>
      <c r="M132" s="43"/>
      <c r="N132" s="43"/>
    </row>
    <row r="133" ht="12.75" customHeight="1">
      <c r="A133" s="48" t="s">
        <v>74</v>
      </c>
      <c r="B133" s="48" t="s">
        <v>25</v>
      </c>
      <c r="C133" s="48" t="s">
        <v>75</v>
      </c>
      <c r="D133" s="48" t="s">
        <v>8</v>
      </c>
      <c r="E133" s="48"/>
      <c r="F133" s="48">
        <v>0.0</v>
      </c>
      <c r="G133" s="43"/>
      <c r="H133" s="43"/>
      <c r="I133" s="43"/>
      <c r="J133" s="43"/>
      <c r="K133" s="43"/>
      <c r="L133" s="43"/>
      <c r="M133" s="43"/>
      <c r="N133" s="43"/>
    </row>
    <row r="134" ht="12.75" customHeight="1">
      <c r="A134" s="48" t="s">
        <v>74</v>
      </c>
      <c r="B134" s="48" t="s">
        <v>25</v>
      </c>
      <c r="C134" s="48" t="s">
        <v>75</v>
      </c>
      <c r="D134" s="48" t="s">
        <v>8</v>
      </c>
      <c r="E134" s="48"/>
      <c r="F134" s="48">
        <v>3203.5</v>
      </c>
      <c r="G134" s="43"/>
      <c r="H134" s="43"/>
      <c r="I134" s="43"/>
      <c r="J134" s="43"/>
      <c r="K134" s="43"/>
      <c r="L134" s="43"/>
      <c r="M134" s="43"/>
      <c r="N134" s="43"/>
    </row>
    <row r="135" ht="12.75" customHeight="1">
      <c r="A135" s="48" t="s">
        <v>74</v>
      </c>
      <c r="B135" s="48" t="s">
        <v>25</v>
      </c>
      <c r="C135" s="48" t="s">
        <v>75</v>
      </c>
      <c r="D135" s="48" t="s">
        <v>54</v>
      </c>
      <c r="E135" s="48"/>
      <c r="F135" s="48">
        <v>77.39999999999999</v>
      </c>
      <c r="G135" s="43"/>
      <c r="H135" s="43"/>
      <c r="I135" s="43"/>
      <c r="J135" s="43"/>
      <c r="K135" s="43"/>
      <c r="L135" s="43"/>
      <c r="M135" s="43"/>
      <c r="N135" s="43"/>
    </row>
    <row r="136" ht="12.75" customHeight="1">
      <c r="A136" s="48" t="s">
        <v>74</v>
      </c>
      <c r="B136" s="48" t="s">
        <v>25</v>
      </c>
      <c r="C136" s="48" t="s">
        <v>75</v>
      </c>
      <c r="D136" s="48" t="s">
        <v>54</v>
      </c>
      <c r="E136" s="48"/>
      <c r="F136" s="48">
        <v>0.0</v>
      </c>
      <c r="G136" s="43"/>
      <c r="H136" s="43"/>
      <c r="I136" s="43"/>
      <c r="J136" s="43"/>
      <c r="K136" s="43"/>
      <c r="L136" s="43"/>
      <c r="M136" s="43"/>
      <c r="N136" s="43"/>
    </row>
    <row r="137" ht="12.75" customHeight="1">
      <c r="A137" s="48" t="s">
        <v>74</v>
      </c>
      <c r="B137" s="48" t="s">
        <v>25</v>
      </c>
      <c r="C137" s="48" t="s">
        <v>75</v>
      </c>
      <c r="D137" s="48" t="s">
        <v>54</v>
      </c>
      <c r="E137" s="48"/>
      <c r="F137" s="48">
        <v>8350.6</v>
      </c>
      <c r="G137" s="43"/>
      <c r="H137" s="43"/>
      <c r="I137" s="43"/>
      <c r="J137" s="43"/>
      <c r="K137" s="43"/>
      <c r="L137" s="43"/>
      <c r="M137" s="43"/>
      <c r="N137" s="43"/>
    </row>
    <row r="138" ht="12.75" customHeight="1">
      <c r="A138" s="48" t="s">
        <v>74</v>
      </c>
      <c r="B138" s="48" t="s">
        <v>25</v>
      </c>
      <c r="C138" s="48" t="s">
        <v>75</v>
      </c>
      <c r="D138" s="48" t="s">
        <v>54</v>
      </c>
      <c r="E138" s="48"/>
      <c r="F138" s="48">
        <v>2322.0</v>
      </c>
      <c r="G138" s="43"/>
      <c r="H138" s="43"/>
      <c r="I138" s="43"/>
      <c r="J138" s="43"/>
      <c r="K138" s="43"/>
      <c r="L138" s="43"/>
      <c r="M138" s="43"/>
      <c r="N138" s="43"/>
    </row>
    <row r="139" ht="12.75" customHeight="1">
      <c r="A139" s="48" t="s">
        <v>74</v>
      </c>
      <c r="B139" s="48" t="s">
        <v>25</v>
      </c>
      <c r="C139" s="48" t="s">
        <v>75</v>
      </c>
      <c r="D139" s="48" t="s">
        <v>54</v>
      </c>
      <c r="E139" s="48"/>
      <c r="F139" s="48">
        <v>0.0</v>
      </c>
      <c r="G139" s="43"/>
      <c r="H139" s="43"/>
      <c r="I139" s="43"/>
      <c r="J139" s="43"/>
      <c r="K139" s="43"/>
      <c r="L139" s="43"/>
      <c r="M139" s="43"/>
      <c r="N139" s="43"/>
    </row>
    <row r="140" ht="12.75" customHeight="1">
      <c r="A140" s="48" t="s">
        <v>74</v>
      </c>
      <c r="B140" s="48" t="s">
        <v>25</v>
      </c>
      <c r="C140" s="48" t="s">
        <v>75</v>
      </c>
      <c r="D140" s="48" t="s">
        <v>49</v>
      </c>
      <c r="E140" s="48"/>
      <c r="F140" s="48">
        <v>43537.5</v>
      </c>
      <c r="G140" s="43"/>
      <c r="H140" s="43"/>
      <c r="I140" s="43"/>
      <c r="J140" s="43"/>
      <c r="K140" s="43"/>
      <c r="L140" s="43"/>
      <c r="M140" s="43"/>
      <c r="N140" s="43"/>
    </row>
    <row r="141" ht="12.75" customHeight="1">
      <c r="A141" s="48" t="s">
        <v>74</v>
      </c>
      <c r="B141" s="48" t="s">
        <v>25</v>
      </c>
      <c r="C141" s="48" t="s">
        <v>75</v>
      </c>
      <c r="D141" s="48" t="s">
        <v>49</v>
      </c>
      <c r="E141" s="48"/>
      <c r="F141" s="48">
        <v>3698.0</v>
      </c>
      <c r="G141" s="43"/>
      <c r="H141" s="43"/>
      <c r="I141" s="43"/>
      <c r="J141" s="43"/>
      <c r="K141" s="43"/>
      <c r="L141" s="43"/>
      <c r="M141" s="43"/>
      <c r="N141" s="43"/>
    </row>
    <row r="142" ht="12.75" customHeight="1">
      <c r="A142" s="48" t="s">
        <v>74</v>
      </c>
      <c r="B142" s="48" t="s">
        <v>25</v>
      </c>
      <c r="C142" s="48" t="s">
        <v>75</v>
      </c>
      <c r="D142" s="48" t="s">
        <v>50</v>
      </c>
      <c r="E142" s="48"/>
      <c r="F142" s="48">
        <v>387.0</v>
      </c>
      <c r="G142" s="43"/>
      <c r="H142" s="43"/>
      <c r="I142" s="43"/>
      <c r="J142" s="43"/>
      <c r="K142" s="43"/>
      <c r="L142" s="43"/>
      <c r="M142" s="43"/>
      <c r="N142" s="43"/>
    </row>
    <row r="143" ht="12.75" customHeight="1">
      <c r="A143" s="48" t="s">
        <v>74</v>
      </c>
      <c r="B143" s="48" t="s">
        <v>25</v>
      </c>
      <c r="C143" s="48" t="s">
        <v>75</v>
      </c>
      <c r="D143" s="48" t="s">
        <v>50</v>
      </c>
      <c r="E143" s="48"/>
      <c r="F143" s="48">
        <v>554.6999999999999</v>
      </c>
      <c r="G143" s="43"/>
      <c r="H143" s="43"/>
      <c r="I143" s="43"/>
      <c r="J143" s="43"/>
      <c r="K143" s="43"/>
      <c r="L143" s="43"/>
      <c r="M143" s="43"/>
      <c r="N143" s="43"/>
    </row>
    <row r="144" ht="12.75" customHeight="1">
      <c r="A144" s="48" t="s">
        <v>74</v>
      </c>
      <c r="B144" s="48" t="s">
        <v>25</v>
      </c>
      <c r="C144" s="48" t="s">
        <v>75</v>
      </c>
      <c r="D144" s="48" t="s">
        <v>50</v>
      </c>
      <c r="E144" s="48"/>
      <c r="F144" s="48">
        <v>1818.8999999999999</v>
      </c>
      <c r="G144" s="43"/>
      <c r="H144" s="43"/>
      <c r="I144" s="43"/>
      <c r="J144" s="43"/>
      <c r="K144" s="43"/>
      <c r="L144" s="43"/>
      <c r="M144" s="43"/>
      <c r="N144" s="43"/>
    </row>
    <row r="145" ht="12.75" customHeight="1">
      <c r="A145" s="48" t="s">
        <v>74</v>
      </c>
      <c r="B145" s="48" t="s">
        <v>25</v>
      </c>
      <c r="C145" s="48" t="s">
        <v>75</v>
      </c>
      <c r="D145" s="48" t="s">
        <v>50</v>
      </c>
      <c r="E145" s="48"/>
      <c r="F145" s="48">
        <v>490.2</v>
      </c>
      <c r="G145" s="43"/>
      <c r="H145" s="43"/>
      <c r="I145" s="43"/>
      <c r="J145" s="43"/>
      <c r="K145" s="43"/>
      <c r="L145" s="43"/>
      <c r="M145" s="43"/>
      <c r="N145" s="43"/>
    </row>
    <row r="146" ht="12.75" customHeight="1">
      <c r="A146" s="48" t="s">
        <v>74</v>
      </c>
      <c r="B146" s="48" t="s">
        <v>25</v>
      </c>
      <c r="C146" s="48" t="s">
        <v>75</v>
      </c>
      <c r="D146" s="48" t="s">
        <v>50</v>
      </c>
      <c r="E146" s="48"/>
      <c r="F146" s="48">
        <v>365.5</v>
      </c>
      <c r="G146" s="43"/>
      <c r="H146" s="43"/>
      <c r="I146" s="43"/>
      <c r="J146" s="43"/>
      <c r="K146" s="43"/>
      <c r="L146" s="43"/>
      <c r="M146" s="43"/>
      <c r="N146" s="43"/>
    </row>
    <row r="147" ht="12.75" customHeight="1">
      <c r="A147" s="48" t="s">
        <v>74</v>
      </c>
      <c r="B147" s="48" t="s">
        <v>25</v>
      </c>
      <c r="C147" s="48" t="s">
        <v>75</v>
      </c>
      <c r="D147" s="48" t="s">
        <v>50</v>
      </c>
      <c r="E147" s="48"/>
      <c r="F147" s="48">
        <v>408.5</v>
      </c>
      <c r="G147" s="43"/>
      <c r="H147" s="43"/>
      <c r="I147" s="43"/>
      <c r="J147" s="43"/>
      <c r="K147" s="43"/>
      <c r="L147" s="43"/>
      <c r="M147" s="43"/>
      <c r="N147" s="43"/>
    </row>
    <row r="148" ht="12.75" customHeight="1">
      <c r="A148" s="48" t="s">
        <v>74</v>
      </c>
      <c r="B148" s="48" t="s">
        <v>25</v>
      </c>
      <c r="C148" s="48" t="s">
        <v>75</v>
      </c>
      <c r="D148" s="48" t="s">
        <v>47</v>
      </c>
      <c r="E148" s="48"/>
      <c r="F148" s="48">
        <v>0.0</v>
      </c>
      <c r="G148" s="43"/>
      <c r="H148" s="43"/>
      <c r="I148" s="43"/>
      <c r="J148" s="43"/>
      <c r="K148" s="43"/>
      <c r="L148" s="43"/>
      <c r="M148" s="43"/>
      <c r="N148" s="43"/>
    </row>
    <row r="149" ht="12.75" customHeight="1">
      <c r="A149" s="48" t="s">
        <v>74</v>
      </c>
      <c r="B149" s="48" t="s">
        <v>25</v>
      </c>
      <c r="C149" s="48" t="s">
        <v>75</v>
      </c>
      <c r="D149" s="48" t="s">
        <v>47</v>
      </c>
      <c r="E149" s="48"/>
      <c r="F149" s="48">
        <v>395.59999999999997</v>
      </c>
      <c r="G149" s="43"/>
      <c r="H149" s="43"/>
      <c r="I149" s="43"/>
      <c r="J149" s="43"/>
      <c r="K149" s="43"/>
      <c r="L149" s="43"/>
      <c r="M149" s="43"/>
      <c r="N149" s="43"/>
    </row>
    <row r="150" ht="12.75" customHeight="1">
      <c r="A150" s="48" t="s">
        <v>74</v>
      </c>
      <c r="B150" s="48" t="s">
        <v>25</v>
      </c>
      <c r="C150" s="48" t="s">
        <v>75</v>
      </c>
      <c r="D150" s="48" t="s">
        <v>47</v>
      </c>
      <c r="E150" s="48"/>
      <c r="F150" s="48">
        <v>7133.7</v>
      </c>
      <c r="G150" s="43"/>
      <c r="H150" s="43"/>
      <c r="I150" s="43"/>
      <c r="J150" s="43"/>
      <c r="K150" s="43"/>
      <c r="L150" s="43"/>
      <c r="M150" s="43"/>
      <c r="N150" s="43"/>
    </row>
    <row r="151" ht="12.75" customHeight="1">
      <c r="A151" s="48" t="s">
        <v>74</v>
      </c>
      <c r="B151" s="48" t="s">
        <v>25</v>
      </c>
      <c r="C151" s="48" t="s">
        <v>75</v>
      </c>
      <c r="D151" s="48" t="s">
        <v>47</v>
      </c>
      <c r="E151" s="48"/>
      <c r="F151" s="48">
        <v>206.39999999999998</v>
      </c>
      <c r="G151" s="43"/>
      <c r="H151" s="43"/>
      <c r="I151" s="43"/>
      <c r="J151" s="43"/>
      <c r="K151" s="43"/>
      <c r="L151" s="43"/>
      <c r="M151" s="43"/>
      <c r="N151" s="43"/>
    </row>
    <row r="152" ht="12.75" customHeight="1">
      <c r="A152" s="48" t="s">
        <v>74</v>
      </c>
      <c r="B152" s="48" t="s">
        <v>25</v>
      </c>
      <c r="C152" s="48" t="s">
        <v>75</v>
      </c>
      <c r="D152" s="48" t="s">
        <v>47</v>
      </c>
      <c r="E152" s="48"/>
      <c r="F152" s="48">
        <v>0.0</v>
      </c>
      <c r="G152" s="43"/>
      <c r="H152" s="43"/>
      <c r="I152" s="43"/>
      <c r="J152" s="43"/>
      <c r="K152" s="43"/>
      <c r="L152" s="43"/>
      <c r="M152" s="43"/>
      <c r="N152" s="43"/>
    </row>
    <row r="153" ht="12.75" customHeight="1">
      <c r="A153" s="48" t="s">
        <v>74</v>
      </c>
      <c r="B153" s="48" t="s">
        <v>25</v>
      </c>
      <c r="C153" s="48" t="s">
        <v>75</v>
      </c>
      <c r="D153" s="48" t="s">
        <v>47</v>
      </c>
      <c r="E153" s="48"/>
      <c r="F153" s="48">
        <v>6480.099999999999</v>
      </c>
      <c r="G153" s="43"/>
      <c r="H153" s="43"/>
      <c r="I153" s="43"/>
      <c r="J153" s="43"/>
      <c r="K153" s="43"/>
      <c r="L153" s="43"/>
      <c r="M153" s="43"/>
      <c r="N153" s="43"/>
    </row>
    <row r="154" ht="12.75" customHeight="1">
      <c r="A154" s="48" t="s">
        <v>74</v>
      </c>
      <c r="B154" s="48" t="s">
        <v>25</v>
      </c>
      <c r="C154" s="48" t="s">
        <v>76</v>
      </c>
      <c r="D154" s="48" t="s">
        <v>52</v>
      </c>
      <c r="E154" s="48"/>
      <c r="F154" s="48">
        <v>46452.9</v>
      </c>
      <c r="G154" s="43"/>
      <c r="H154" s="43"/>
      <c r="I154" s="43"/>
      <c r="J154" s="43"/>
      <c r="K154" s="43"/>
      <c r="L154" s="43"/>
      <c r="M154" s="43"/>
      <c r="N154" s="43"/>
    </row>
    <row r="155" ht="12.75" customHeight="1">
      <c r="A155" s="48" t="s">
        <v>74</v>
      </c>
      <c r="B155" s="48" t="s">
        <v>25</v>
      </c>
      <c r="C155" s="48" t="s">
        <v>76</v>
      </c>
      <c r="D155" s="48" t="s">
        <v>54</v>
      </c>
      <c r="E155" s="48"/>
      <c r="F155" s="48">
        <v>13940.599999999999</v>
      </c>
      <c r="G155" s="43"/>
      <c r="H155" s="43"/>
      <c r="I155" s="43"/>
      <c r="J155" s="43"/>
      <c r="K155" s="43"/>
      <c r="L155" s="43"/>
      <c r="M155" s="43"/>
      <c r="N155" s="43"/>
    </row>
    <row r="156" ht="12.75" customHeight="1">
      <c r="A156" s="48" t="s">
        <v>74</v>
      </c>
      <c r="B156" s="48" t="s">
        <v>25</v>
      </c>
      <c r="C156" s="48" t="s">
        <v>76</v>
      </c>
      <c r="D156" s="48" t="s">
        <v>54</v>
      </c>
      <c r="E156" s="48"/>
      <c r="F156" s="48">
        <v>4175.3</v>
      </c>
      <c r="G156" s="43"/>
      <c r="H156" s="43"/>
      <c r="I156" s="43"/>
      <c r="J156" s="43"/>
      <c r="K156" s="43"/>
      <c r="L156" s="43"/>
      <c r="M156" s="43"/>
      <c r="N156" s="43"/>
    </row>
    <row r="157" ht="12.75" customHeight="1">
      <c r="A157" s="48" t="s">
        <v>74</v>
      </c>
      <c r="B157" s="48" t="s">
        <v>25</v>
      </c>
      <c r="C157" s="48" t="s">
        <v>76</v>
      </c>
      <c r="D157" s="48" t="s">
        <v>50</v>
      </c>
      <c r="E157" s="48"/>
      <c r="F157" s="48">
        <v>0.0</v>
      </c>
      <c r="G157" s="43"/>
      <c r="H157" s="43"/>
      <c r="I157" s="43"/>
      <c r="J157" s="43"/>
      <c r="K157" s="43"/>
      <c r="L157" s="43"/>
      <c r="M157" s="43"/>
      <c r="N157" s="43"/>
    </row>
    <row r="158" ht="12.75" customHeight="1">
      <c r="A158" s="48" t="s">
        <v>74</v>
      </c>
      <c r="B158" s="48" t="s">
        <v>25</v>
      </c>
      <c r="C158" s="48" t="s">
        <v>76</v>
      </c>
      <c r="D158" s="48" t="s">
        <v>50</v>
      </c>
      <c r="E158" s="48"/>
      <c r="F158" s="48">
        <v>7654.0</v>
      </c>
      <c r="G158" s="43"/>
      <c r="H158" s="43"/>
      <c r="I158" s="43"/>
      <c r="J158" s="43"/>
      <c r="K158" s="43"/>
      <c r="L158" s="43"/>
      <c r="M158" s="43"/>
      <c r="N158" s="43"/>
    </row>
    <row r="159" ht="12.75" customHeight="1">
      <c r="A159" s="48" t="s">
        <v>74</v>
      </c>
      <c r="B159" s="48" t="s">
        <v>25</v>
      </c>
      <c r="C159" s="48" t="s">
        <v>76</v>
      </c>
      <c r="D159" s="48" t="s">
        <v>50</v>
      </c>
      <c r="E159" s="48"/>
      <c r="F159" s="48">
        <v>0.0</v>
      </c>
      <c r="G159" s="43"/>
      <c r="H159" s="43"/>
      <c r="I159" s="43"/>
      <c r="J159" s="43"/>
      <c r="K159" s="43"/>
      <c r="L159" s="43"/>
      <c r="M159" s="43"/>
      <c r="N159" s="43"/>
    </row>
    <row r="160" ht="12.75" customHeight="1">
      <c r="A160" s="48" t="s">
        <v>74</v>
      </c>
      <c r="B160" s="48" t="s">
        <v>25</v>
      </c>
      <c r="C160" s="48" t="s">
        <v>76</v>
      </c>
      <c r="D160" s="48" t="s">
        <v>50</v>
      </c>
      <c r="E160" s="48"/>
      <c r="F160" s="48">
        <v>3672.2</v>
      </c>
      <c r="G160" s="43"/>
      <c r="H160" s="43"/>
      <c r="I160" s="43"/>
      <c r="J160" s="43"/>
      <c r="K160" s="43"/>
      <c r="L160" s="43"/>
      <c r="M160" s="43"/>
      <c r="N160" s="43"/>
    </row>
    <row r="161" ht="12.75" customHeight="1">
      <c r="A161" s="48" t="s">
        <v>74</v>
      </c>
      <c r="B161" s="48" t="s">
        <v>25</v>
      </c>
      <c r="C161" s="48" t="s">
        <v>76</v>
      </c>
      <c r="D161" s="48" t="s">
        <v>50</v>
      </c>
      <c r="E161" s="48"/>
      <c r="F161" s="48">
        <v>19999.3</v>
      </c>
      <c r="G161" s="43"/>
      <c r="H161" s="43"/>
      <c r="I161" s="43"/>
      <c r="J161" s="43"/>
      <c r="K161" s="43"/>
      <c r="L161" s="43"/>
      <c r="M161" s="43"/>
      <c r="N161" s="43"/>
    </row>
    <row r="162" ht="12.75" customHeight="1">
      <c r="A162" s="48" t="s">
        <v>74</v>
      </c>
      <c r="B162" s="48" t="s">
        <v>25</v>
      </c>
      <c r="C162" s="48" t="s">
        <v>76</v>
      </c>
      <c r="D162" s="48" t="s">
        <v>47</v>
      </c>
      <c r="E162" s="48"/>
      <c r="F162" s="48">
        <v>872.9</v>
      </c>
      <c r="G162" s="43"/>
      <c r="H162" s="43"/>
      <c r="I162" s="43"/>
      <c r="J162" s="43"/>
      <c r="K162" s="43"/>
      <c r="L162" s="43"/>
      <c r="M162" s="43"/>
      <c r="N162" s="43"/>
    </row>
    <row r="163" ht="12.75" customHeight="1">
      <c r="A163" s="48" t="s">
        <v>74</v>
      </c>
      <c r="B163" s="48" t="s">
        <v>25</v>
      </c>
      <c r="C163" s="48" t="s">
        <v>76</v>
      </c>
      <c r="D163" s="48" t="s">
        <v>47</v>
      </c>
      <c r="E163" s="48"/>
      <c r="F163" s="48">
        <v>7993.7</v>
      </c>
      <c r="G163" s="43"/>
      <c r="H163" s="43"/>
      <c r="I163" s="43"/>
      <c r="J163" s="43"/>
      <c r="K163" s="43"/>
      <c r="L163" s="43"/>
      <c r="M163" s="43"/>
      <c r="N163" s="43"/>
    </row>
    <row r="164" ht="12.75" customHeight="1">
      <c r="A164" s="48" t="s">
        <v>74</v>
      </c>
      <c r="B164" s="48" t="s">
        <v>25</v>
      </c>
      <c r="C164" s="48" t="s">
        <v>76</v>
      </c>
      <c r="D164" s="48" t="s">
        <v>47</v>
      </c>
      <c r="E164" s="48"/>
      <c r="F164" s="48">
        <v>10044.8</v>
      </c>
      <c r="G164" s="43"/>
      <c r="H164" s="43"/>
      <c r="I164" s="43"/>
      <c r="J164" s="43"/>
      <c r="K164" s="43"/>
      <c r="L164" s="43"/>
      <c r="M164" s="43"/>
      <c r="N164" s="43"/>
    </row>
    <row r="165" ht="12.75" customHeight="1">
      <c r="A165" s="48" t="s">
        <v>74</v>
      </c>
      <c r="B165" s="48" t="s">
        <v>25</v>
      </c>
      <c r="C165" s="48" t="s">
        <v>76</v>
      </c>
      <c r="D165" s="48" t="s">
        <v>47</v>
      </c>
      <c r="E165" s="48"/>
      <c r="F165" s="48">
        <v>0.0</v>
      </c>
      <c r="G165" s="43"/>
      <c r="H165" s="43"/>
      <c r="I165" s="43"/>
      <c r="J165" s="43"/>
      <c r="K165" s="43"/>
      <c r="L165" s="43"/>
      <c r="M165" s="43"/>
      <c r="N165" s="43"/>
    </row>
    <row r="166" ht="12.75" customHeight="1">
      <c r="A166" s="48" t="s">
        <v>74</v>
      </c>
      <c r="B166" s="48" t="s">
        <v>25</v>
      </c>
      <c r="C166" s="48" t="s">
        <v>76</v>
      </c>
      <c r="D166" s="48" t="s">
        <v>47</v>
      </c>
      <c r="E166" s="48"/>
      <c r="F166" s="48">
        <v>2033.8999999999999</v>
      </c>
      <c r="G166" s="43"/>
      <c r="H166" s="43"/>
      <c r="I166" s="43"/>
      <c r="J166" s="43"/>
      <c r="K166" s="43"/>
      <c r="L166" s="43"/>
      <c r="M166" s="43"/>
      <c r="N166" s="43"/>
    </row>
    <row r="167" ht="12.75" customHeight="1">
      <c r="A167" s="48" t="s">
        <v>74</v>
      </c>
      <c r="B167" s="48" t="s">
        <v>25</v>
      </c>
      <c r="C167" s="48" t="s">
        <v>76</v>
      </c>
      <c r="D167" s="48" t="s">
        <v>47</v>
      </c>
      <c r="E167" s="48"/>
      <c r="F167" s="48">
        <v>1229.8</v>
      </c>
      <c r="G167" s="43"/>
      <c r="H167" s="43"/>
      <c r="I167" s="43"/>
      <c r="J167" s="43"/>
      <c r="K167" s="43"/>
      <c r="L167" s="43"/>
      <c r="M167" s="43"/>
      <c r="N167" s="43"/>
    </row>
    <row r="168" ht="12.75" customHeight="1">
      <c r="A168" s="48" t="s">
        <v>74</v>
      </c>
      <c r="B168" s="48" t="s">
        <v>25</v>
      </c>
      <c r="C168" s="48" t="s">
        <v>76</v>
      </c>
      <c r="D168" s="48" t="s">
        <v>47</v>
      </c>
      <c r="E168" s="48"/>
      <c r="F168" s="48">
        <v>2167.2</v>
      </c>
      <c r="G168" s="43"/>
      <c r="H168" s="43"/>
      <c r="I168" s="43"/>
      <c r="J168" s="43"/>
      <c r="K168" s="43"/>
      <c r="L168" s="43"/>
      <c r="M168" s="43"/>
      <c r="N168" s="43"/>
    </row>
    <row r="169" ht="12.75" customHeight="1">
      <c r="A169" s="48" t="s">
        <v>74</v>
      </c>
      <c r="B169" s="48" t="s">
        <v>25</v>
      </c>
      <c r="C169" s="48" t="s">
        <v>76</v>
      </c>
      <c r="D169" s="48" t="s">
        <v>47</v>
      </c>
      <c r="E169" s="48"/>
      <c r="F169" s="48">
        <v>1973.6999999999998</v>
      </c>
      <c r="G169" s="43"/>
      <c r="H169" s="43"/>
      <c r="I169" s="43"/>
      <c r="J169" s="43"/>
      <c r="K169" s="43"/>
      <c r="L169" s="43"/>
      <c r="M169" s="43"/>
      <c r="N169" s="43"/>
    </row>
    <row r="170" ht="12.75" customHeight="1">
      <c r="A170" s="48" t="s">
        <v>74</v>
      </c>
      <c r="B170" s="48" t="s">
        <v>25</v>
      </c>
      <c r="C170" s="48" t="s">
        <v>76</v>
      </c>
      <c r="D170" s="48" t="s">
        <v>47</v>
      </c>
      <c r="E170" s="48"/>
      <c r="F170" s="48">
        <v>253.7</v>
      </c>
      <c r="G170" s="43"/>
      <c r="H170" s="43"/>
      <c r="I170" s="43"/>
      <c r="J170" s="43"/>
      <c r="K170" s="43"/>
      <c r="L170" s="43"/>
      <c r="M170" s="43"/>
      <c r="N170" s="43"/>
    </row>
    <row r="171" ht="12.75" customHeight="1">
      <c r="A171" s="48" t="s">
        <v>74</v>
      </c>
      <c r="B171" s="48" t="s">
        <v>25</v>
      </c>
      <c r="C171" s="48" t="s">
        <v>77</v>
      </c>
      <c r="D171" s="48" t="s">
        <v>54</v>
      </c>
      <c r="E171" s="48"/>
      <c r="F171" s="48">
        <v>62737.0</v>
      </c>
      <c r="G171" s="43"/>
      <c r="H171" s="43"/>
      <c r="I171" s="43"/>
      <c r="J171" s="43"/>
      <c r="K171" s="43"/>
      <c r="L171" s="43"/>
      <c r="M171" s="43"/>
      <c r="N171" s="43"/>
    </row>
    <row r="172" ht="12.75" customHeight="1">
      <c r="A172" s="48" t="s">
        <v>74</v>
      </c>
      <c r="B172" s="48" t="s">
        <v>25</v>
      </c>
      <c r="C172" s="48" t="s">
        <v>77</v>
      </c>
      <c r="D172" s="48" t="s">
        <v>50</v>
      </c>
      <c r="E172" s="48"/>
      <c r="F172" s="48">
        <v>12947.3</v>
      </c>
      <c r="G172" s="43"/>
      <c r="H172" s="43"/>
      <c r="I172" s="43"/>
      <c r="J172" s="43"/>
      <c r="K172" s="43"/>
      <c r="L172" s="43"/>
      <c r="M172" s="43"/>
      <c r="N172" s="43"/>
    </row>
    <row r="173" ht="12.75" customHeight="1">
      <c r="A173" s="48" t="s">
        <v>74</v>
      </c>
      <c r="B173" s="48" t="s">
        <v>25</v>
      </c>
      <c r="C173" s="48" t="s">
        <v>77</v>
      </c>
      <c r="D173" s="48" t="s">
        <v>50</v>
      </c>
      <c r="E173" s="48"/>
      <c r="F173" s="48">
        <v>11102.6</v>
      </c>
      <c r="G173" s="43"/>
      <c r="H173" s="43"/>
      <c r="I173" s="43"/>
      <c r="J173" s="43"/>
      <c r="K173" s="43"/>
      <c r="L173" s="43"/>
      <c r="M173" s="43"/>
      <c r="N173" s="43"/>
    </row>
    <row r="174" ht="12.75" customHeight="1">
      <c r="A174" s="48" t="s">
        <v>74</v>
      </c>
      <c r="B174" s="48" t="s">
        <v>25</v>
      </c>
      <c r="C174" s="48" t="s">
        <v>77</v>
      </c>
      <c r="D174" s="48" t="s">
        <v>50</v>
      </c>
      <c r="E174" s="48"/>
      <c r="F174" s="48">
        <v>7490.599999999999</v>
      </c>
      <c r="G174" s="43"/>
      <c r="H174" s="43"/>
      <c r="I174" s="43"/>
      <c r="J174" s="43"/>
      <c r="K174" s="43"/>
      <c r="L174" s="43"/>
      <c r="M174" s="43"/>
      <c r="N174" s="43"/>
    </row>
    <row r="175" ht="12.75" customHeight="1">
      <c r="A175" s="48" t="s">
        <v>74</v>
      </c>
      <c r="B175" s="48" t="s">
        <v>25</v>
      </c>
      <c r="C175" s="48" t="s">
        <v>77</v>
      </c>
      <c r="D175" s="48" t="s">
        <v>50</v>
      </c>
      <c r="E175" s="48"/>
      <c r="F175" s="48">
        <v>5039.599999999999</v>
      </c>
      <c r="G175" s="43"/>
      <c r="H175" s="43"/>
      <c r="I175" s="43"/>
      <c r="J175" s="43"/>
      <c r="K175" s="43"/>
      <c r="L175" s="43"/>
      <c r="M175" s="43"/>
      <c r="N175" s="43"/>
    </row>
    <row r="176" ht="12.75" customHeight="1">
      <c r="A176" s="48" t="s">
        <v>74</v>
      </c>
      <c r="B176" s="48" t="s">
        <v>25</v>
      </c>
      <c r="C176" s="48" t="s">
        <v>77</v>
      </c>
      <c r="D176" s="48" t="s">
        <v>50</v>
      </c>
      <c r="E176" s="48"/>
      <c r="F176" s="48">
        <v>6579.0</v>
      </c>
      <c r="G176" s="43"/>
      <c r="H176" s="43"/>
      <c r="I176" s="43"/>
      <c r="J176" s="43"/>
      <c r="K176" s="43"/>
      <c r="L176" s="43"/>
      <c r="M176" s="43"/>
      <c r="N176" s="43"/>
    </row>
    <row r="177" ht="12.75" customHeight="1">
      <c r="A177" s="48" t="s">
        <v>74</v>
      </c>
      <c r="B177" s="48" t="s">
        <v>25</v>
      </c>
      <c r="C177" s="48" t="s">
        <v>77</v>
      </c>
      <c r="D177" s="48" t="s">
        <v>50</v>
      </c>
      <c r="E177" s="48"/>
      <c r="F177" s="48">
        <v>9511.6</v>
      </c>
      <c r="G177" s="43"/>
      <c r="H177" s="43"/>
      <c r="I177" s="43"/>
      <c r="J177" s="43"/>
      <c r="K177" s="43"/>
      <c r="L177" s="43"/>
      <c r="M177" s="43"/>
      <c r="N177" s="43"/>
    </row>
    <row r="178" ht="12.75" customHeight="1">
      <c r="A178" s="48" t="s">
        <v>74</v>
      </c>
      <c r="B178" s="48" t="s">
        <v>25</v>
      </c>
      <c r="C178" s="48" t="s">
        <v>77</v>
      </c>
      <c r="D178" s="48" t="s">
        <v>50</v>
      </c>
      <c r="E178" s="48"/>
      <c r="F178" s="48">
        <v>10565.1</v>
      </c>
      <c r="G178" s="43"/>
      <c r="H178" s="43"/>
      <c r="I178" s="43"/>
      <c r="J178" s="43"/>
      <c r="K178" s="43"/>
      <c r="L178" s="43"/>
      <c r="M178" s="43"/>
      <c r="N178" s="43"/>
    </row>
    <row r="179" ht="12.75" customHeight="1">
      <c r="A179" s="48" t="s">
        <v>74</v>
      </c>
      <c r="B179" s="48" t="s">
        <v>25</v>
      </c>
      <c r="C179" s="48" t="s">
        <v>77</v>
      </c>
      <c r="D179" s="48" t="s">
        <v>50</v>
      </c>
      <c r="E179" s="48"/>
      <c r="F179" s="48">
        <v>90003.3</v>
      </c>
      <c r="G179" s="43"/>
      <c r="H179" s="43"/>
      <c r="I179" s="43"/>
      <c r="J179" s="43"/>
      <c r="K179" s="43"/>
      <c r="L179" s="43"/>
      <c r="M179" s="43"/>
      <c r="N179" s="43"/>
    </row>
    <row r="180" ht="12.75" customHeight="1">
      <c r="A180" s="48" t="s">
        <v>74</v>
      </c>
      <c r="B180" s="48" t="s">
        <v>25</v>
      </c>
      <c r="C180" s="48" t="s">
        <v>77</v>
      </c>
      <c r="D180" s="48" t="s">
        <v>50</v>
      </c>
      <c r="E180" s="48"/>
      <c r="F180" s="48">
        <v>7297.099999999999</v>
      </c>
      <c r="G180" s="43"/>
      <c r="H180" s="43"/>
      <c r="I180" s="43"/>
      <c r="J180" s="43"/>
      <c r="K180" s="43"/>
      <c r="L180" s="43"/>
      <c r="M180" s="43"/>
      <c r="N180" s="43"/>
    </row>
    <row r="181" ht="12.75" customHeight="1">
      <c r="A181" s="48" t="s">
        <v>74</v>
      </c>
      <c r="B181" s="48" t="s">
        <v>25</v>
      </c>
      <c r="C181" s="48" t="s">
        <v>77</v>
      </c>
      <c r="D181" s="48" t="s">
        <v>50</v>
      </c>
      <c r="E181" s="48"/>
      <c r="F181" s="48">
        <v>10883.3</v>
      </c>
      <c r="G181" s="43"/>
      <c r="H181" s="43"/>
      <c r="I181" s="43"/>
      <c r="J181" s="43"/>
      <c r="K181" s="43"/>
      <c r="L181" s="43"/>
      <c r="M181" s="43"/>
      <c r="N181" s="43"/>
    </row>
    <row r="182" ht="12.75" customHeight="1">
      <c r="A182" s="48" t="s">
        <v>74</v>
      </c>
      <c r="B182" s="48" t="s">
        <v>25</v>
      </c>
      <c r="C182" s="48" t="s">
        <v>77</v>
      </c>
      <c r="D182" s="48" t="s">
        <v>50</v>
      </c>
      <c r="E182" s="48"/>
      <c r="F182" s="48">
        <v>14112.599999999999</v>
      </c>
      <c r="G182" s="43"/>
      <c r="H182" s="43"/>
      <c r="I182" s="43"/>
      <c r="J182" s="43"/>
      <c r="K182" s="43"/>
      <c r="L182" s="43"/>
      <c r="M182" s="43"/>
      <c r="N182" s="43"/>
    </row>
    <row r="183" ht="12.75" customHeight="1">
      <c r="A183" s="48" t="s">
        <v>74</v>
      </c>
      <c r="B183" s="48" t="s">
        <v>25</v>
      </c>
      <c r="C183" s="48" t="s">
        <v>77</v>
      </c>
      <c r="D183" s="48" t="s">
        <v>50</v>
      </c>
      <c r="E183" s="48"/>
      <c r="F183" s="48">
        <v>10367.3</v>
      </c>
      <c r="G183" s="43"/>
      <c r="H183" s="43"/>
      <c r="I183" s="43"/>
      <c r="J183" s="43"/>
      <c r="K183" s="43"/>
      <c r="L183" s="43"/>
      <c r="M183" s="43"/>
      <c r="N183" s="43"/>
    </row>
    <row r="184" ht="12.75" customHeight="1">
      <c r="A184" s="48" t="s">
        <v>74</v>
      </c>
      <c r="B184" s="48" t="s">
        <v>25</v>
      </c>
      <c r="C184" s="48" t="s">
        <v>7</v>
      </c>
      <c r="D184" s="48" t="s">
        <v>58</v>
      </c>
      <c r="E184" s="48"/>
      <c r="F184" s="48">
        <v>33540.0</v>
      </c>
      <c r="G184" s="43"/>
      <c r="H184" s="43"/>
      <c r="I184" s="43"/>
      <c r="J184" s="43"/>
      <c r="K184" s="43"/>
      <c r="L184" s="43"/>
      <c r="M184" s="43"/>
      <c r="N184" s="43"/>
    </row>
    <row r="185" ht="12.75" customHeight="1">
      <c r="A185" s="48" t="s">
        <v>74</v>
      </c>
      <c r="B185" s="48" t="s">
        <v>25</v>
      </c>
      <c r="C185" s="48" t="s">
        <v>7</v>
      </c>
      <c r="D185" s="48" t="s">
        <v>50</v>
      </c>
      <c r="E185" s="48"/>
      <c r="F185" s="48">
        <v>0.0</v>
      </c>
      <c r="G185" s="43"/>
      <c r="H185" s="43"/>
      <c r="I185" s="43"/>
      <c r="J185" s="43"/>
      <c r="K185" s="43"/>
      <c r="L185" s="43"/>
      <c r="M185" s="43"/>
      <c r="N185" s="43"/>
    </row>
    <row r="186" ht="12.75" customHeight="1">
      <c r="A186" s="48" t="s">
        <v>74</v>
      </c>
      <c r="B186" s="48" t="s">
        <v>25</v>
      </c>
      <c r="C186" s="48" t="s">
        <v>7</v>
      </c>
      <c r="D186" s="48" t="s">
        <v>47</v>
      </c>
      <c r="E186" s="48"/>
      <c r="F186" s="48">
        <v>855.6999999999999</v>
      </c>
      <c r="G186" s="43"/>
      <c r="H186" s="43"/>
      <c r="I186" s="43"/>
      <c r="J186" s="43"/>
      <c r="K186" s="43"/>
      <c r="L186" s="43"/>
      <c r="M186" s="43"/>
      <c r="N186" s="43"/>
    </row>
    <row r="187" ht="12.75" customHeight="1">
      <c r="A187" s="48" t="s">
        <v>74</v>
      </c>
      <c r="B187" s="48" t="s">
        <v>25</v>
      </c>
      <c r="C187" s="48" t="s">
        <v>7</v>
      </c>
      <c r="D187" s="48" t="s">
        <v>47</v>
      </c>
      <c r="E187" s="48"/>
      <c r="F187" s="48">
        <v>0.0</v>
      </c>
      <c r="G187" s="43"/>
      <c r="H187" s="43"/>
      <c r="I187" s="43"/>
      <c r="J187" s="43"/>
      <c r="K187" s="43"/>
      <c r="L187" s="43"/>
      <c r="M187" s="43"/>
      <c r="N187" s="43"/>
    </row>
    <row r="188" ht="12.75" customHeight="1">
      <c r="A188" s="48" t="s">
        <v>74</v>
      </c>
      <c r="B188" s="48" t="s">
        <v>27</v>
      </c>
      <c r="C188" s="48" t="s">
        <v>79</v>
      </c>
      <c r="D188" s="48" t="s">
        <v>54</v>
      </c>
      <c r="E188" s="48"/>
      <c r="F188" s="48">
        <v>6970.299999999999</v>
      </c>
      <c r="G188" s="43"/>
      <c r="H188" s="43"/>
      <c r="I188" s="43"/>
      <c r="J188" s="43"/>
      <c r="K188" s="43"/>
      <c r="L188" s="43"/>
      <c r="M188" s="43"/>
      <c r="N188" s="43"/>
    </row>
    <row r="189" ht="12.75" customHeight="1">
      <c r="A189" s="48" t="s">
        <v>74</v>
      </c>
      <c r="B189" s="48" t="s">
        <v>27</v>
      </c>
      <c r="C189" s="48" t="s">
        <v>79</v>
      </c>
      <c r="D189" s="48" t="s">
        <v>50</v>
      </c>
      <c r="E189" s="48"/>
      <c r="F189" s="48">
        <v>6708.0</v>
      </c>
      <c r="G189" s="43"/>
      <c r="H189" s="43"/>
      <c r="I189" s="43"/>
      <c r="J189" s="43"/>
      <c r="K189" s="43"/>
      <c r="L189" s="43"/>
      <c r="M189" s="43"/>
      <c r="N189" s="43"/>
    </row>
    <row r="190" ht="12.75" customHeight="1">
      <c r="A190" s="48" t="s">
        <v>74</v>
      </c>
      <c r="B190" s="48" t="s">
        <v>27</v>
      </c>
      <c r="C190" s="48" t="s">
        <v>79</v>
      </c>
      <c r="D190" s="48" t="s">
        <v>50</v>
      </c>
      <c r="E190" s="48"/>
      <c r="F190" s="48">
        <v>10001.8</v>
      </c>
      <c r="G190" s="43"/>
      <c r="H190" s="43"/>
      <c r="I190" s="43"/>
      <c r="J190" s="43"/>
      <c r="K190" s="43"/>
      <c r="L190" s="43"/>
      <c r="M190" s="43"/>
      <c r="N190" s="43"/>
    </row>
    <row r="191" ht="12.75" customHeight="1">
      <c r="A191" s="48" t="s">
        <v>74</v>
      </c>
      <c r="B191" s="48" t="s">
        <v>27</v>
      </c>
      <c r="C191" s="48" t="s">
        <v>78</v>
      </c>
      <c r="D191" s="48" t="s">
        <v>54</v>
      </c>
      <c r="E191" s="48"/>
      <c r="F191" s="48">
        <v>6970.299999999999</v>
      </c>
      <c r="G191" s="43"/>
      <c r="H191" s="43"/>
      <c r="I191" s="43"/>
      <c r="J191" s="43"/>
      <c r="K191" s="43"/>
      <c r="L191" s="43"/>
      <c r="M191" s="43"/>
      <c r="N191" s="43"/>
    </row>
    <row r="192" ht="12.75" customHeight="1">
      <c r="A192" s="48" t="s">
        <v>74</v>
      </c>
      <c r="B192" s="48" t="s">
        <v>27</v>
      </c>
      <c r="C192" s="48" t="s">
        <v>78</v>
      </c>
      <c r="D192" s="48" t="s">
        <v>50</v>
      </c>
      <c r="E192" s="48"/>
      <c r="F192" s="48">
        <v>16279.8</v>
      </c>
      <c r="G192" s="43"/>
      <c r="H192" s="43"/>
      <c r="I192" s="43"/>
      <c r="J192" s="43"/>
      <c r="K192" s="43"/>
      <c r="L192" s="43"/>
      <c r="M192" s="43"/>
      <c r="N192" s="43"/>
    </row>
    <row r="193" ht="12.75" customHeight="1">
      <c r="A193" s="48" t="s">
        <v>74</v>
      </c>
      <c r="B193" s="48" t="s">
        <v>27</v>
      </c>
      <c r="C193" s="48" t="s">
        <v>78</v>
      </c>
      <c r="D193" s="48" t="s">
        <v>50</v>
      </c>
      <c r="E193" s="48"/>
      <c r="F193" s="48">
        <v>10001.8</v>
      </c>
      <c r="G193" s="43"/>
      <c r="H193" s="43"/>
      <c r="I193" s="43"/>
      <c r="J193" s="43"/>
      <c r="K193" s="43"/>
      <c r="L193" s="43"/>
      <c r="M193" s="43"/>
      <c r="N193" s="43"/>
    </row>
    <row r="194" ht="12.75" customHeight="1">
      <c r="A194" s="48" t="s">
        <v>74</v>
      </c>
      <c r="B194" s="48" t="s">
        <v>25</v>
      </c>
      <c r="C194" s="48" t="s">
        <v>75</v>
      </c>
      <c r="D194" s="48" t="s">
        <v>53</v>
      </c>
      <c r="E194" s="48"/>
      <c r="F194" s="48">
        <v>361.2</v>
      </c>
      <c r="G194" s="43"/>
      <c r="H194" s="43"/>
      <c r="I194" s="43"/>
      <c r="J194" s="43"/>
      <c r="K194" s="43"/>
      <c r="L194" s="43"/>
      <c r="M194" s="43"/>
      <c r="N194" s="43"/>
    </row>
    <row r="195" ht="12.75" customHeight="1">
      <c r="A195" s="48" t="s">
        <v>74</v>
      </c>
      <c r="B195" s="48" t="s">
        <v>25</v>
      </c>
      <c r="C195" s="48" t="s">
        <v>75</v>
      </c>
      <c r="D195" s="48" t="s">
        <v>8</v>
      </c>
      <c r="E195" s="48"/>
      <c r="F195" s="48">
        <v>0.0</v>
      </c>
      <c r="G195" s="43"/>
      <c r="H195" s="43"/>
      <c r="I195" s="43"/>
      <c r="J195" s="43"/>
      <c r="K195" s="43"/>
      <c r="L195" s="43"/>
      <c r="M195" s="43"/>
      <c r="N195" s="43"/>
    </row>
    <row r="196" ht="12.75" customHeight="1">
      <c r="A196" s="48" t="s">
        <v>74</v>
      </c>
      <c r="B196" s="48" t="s">
        <v>25</v>
      </c>
      <c r="C196" s="48" t="s">
        <v>75</v>
      </c>
      <c r="D196" s="48" t="s">
        <v>8</v>
      </c>
      <c r="E196" s="48"/>
      <c r="F196" s="48">
        <v>182771.5</v>
      </c>
      <c r="G196" s="43"/>
      <c r="H196" s="43"/>
      <c r="I196" s="43"/>
      <c r="J196" s="43"/>
      <c r="K196" s="43"/>
      <c r="L196" s="43"/>
      <c r="M196" s="43"/>
      <c r="N196" s="43"/>
    </row>
    <row r="197" ht="12.75" customHeight="1">
      <c r="A197" s="48" t="s">
        <v>74</v>
      </c>
      <c r="B197" s="48" t="s">
        <v>25</v>
      </c>
      <c r="C197" s="48" t="s">
        <v>75</v>
      </c>
      <c r="D197" s="48" t="s">
        <v>8</v>
      </c>
      <c r="E197" s="48"/>
      <c r="F197" s="48">
        <v>5224.5</v>
      </c>
      <c r="G197" s="43"/>
      <c r="H197" s="43"/>
      <c r="I197" s="43"/>
      <c r="J197" s="43"/>
      <c r="K197" s="43"/>
      <c r="L197" s="43"/>
      <c r="M197" s="43"/>
      <c r="N197" s="43"/>
    </row>
    <row r="198" ht="12.75" customHeight="1">
      <c r="A198" s="48" t="s">
        <v>74</v>
      </c>
      <c r="B198" s="48" t="s">
        <v>25</v>
      </c>
      <c r="C198" s="48" t="s">
        <v>75</v>
      </c>
      <c r="D198" s="48" t="s">
        <v>8</v>
      </c>
      <c r="E198" s="48"/>
      <c r="F198" s="48">
        <v>0.0</v>
      </c>
      <c r="G198" s="43"/>
      <c r="H198" s="43"/>
      <c r="I198" s="43"/>
      <c r="J198" s="43"/>
      <c r="K198" s="43"/>
      <c r="L198" s="43"/>
      <c r="M198" s="43"/>
      <c r="N198" s="43"/>
    </row>
    <row r="199" ht="12.75" customHeight="1">
      <c r="A199" s="48" t="s">
        <v>74</v>
      </c>
      <c r="B199" s="48" t="s">
        <v>25</v>
      </c>
      <c r="C199" s="48" t="s">
        <v>75</v>
      </c>
      <c r="D199" s="48" t="s">
        <v>8</v>
      </c>
      <c r="E199" s="48"/>
      <c r="F199" s="48">
        <v>0.0</v>
      </c>
      <c r="G199" s="43"/>
      <c r="H199" s="43"/>
      <c r="I199" s="43"/>
      <c r="J199" s="43"/>
      <c r="K199" s="43"/>
      <c r="L199" s="43"/>
      <c r="M199" s="43"/>
      <c r="N199" s="43"/>
    </row>
    <row r="200" ht="12.75" customHeight="1">
      <c r="A200" s="48" t="s">
        <v>74</v>
      </c>
      <c r="B200" s="48" t="s">
        <v>25</v>
      </c>
      <c r="C200" s="48" t="s">
        <v>75</v>
      </c>
      <c r="D200" s="48" t="s">
        <v>8</v>
      </c>
      <c r="E200" s="48"/>
      <c r="F200" s="48">
        <v>121100.9</v>
      </c>
      <c r="G200" s="43"/>
      <c r="H200" s="43"/>
      <c r="I200" s="43"/>
      <c r="J200" s="43"/>
      <c r="K200" s="43"/>
      <c r="L200" s="43"/>
      <c r="M200" s="43"/>
      <c r="N200" s="43"/>
    </row>
    <row r="201" ht="12.75" customHeight="1">
      <c r="A201" s="48" t="s">
        <v>74</v>
      </c>
      <c r="B201" s="48" t="s">
        <v>25</v>
      </c>
      <c r="C201" s="48" t="s">
        <v>75</v>
      </c>
      <c r="D201" s="48" t="s">
        <v>8</v>
      </c>
      <c r="E201" s="48"/>
      <c r="F201" s="48">
        <v>0.0</v>
      </c>
      <c r="G201" s="43"/>
      <c r="H201" s="43"/>
      <c r="I201" s="43"/>
      <c r="J201" s="43"/>
      <c r="K201" s="43"/>
      <c r="L201" s="43"/>
      <c r="M201" s="43"/>
      <c r="N201" s="43"/>
    </row>
    <row r="202" ht="12.75" customHeight="1">
      <c r="A202" s="48" t="s">
        <v>74</v>
      </c>
      <c r="B202" s="48" t="s">
        <v>25</v>
      </c>
      <c r="C202" s="48" t="s">
        <v>75</v>
      </c>
      <c r="D202" s="48" t="s">
        <v>8</v>
      </c>
      <c r="E202" s="48"/>
      <c r="F202" s="48">
        <v>12753.8</v>
      </c>
      <c r="G202" s="43"/>
      <c r="H202" s="43"/>
      <c r="I202" s="43"/>
      <c r="J202" s="43"/>
      <c r="K202" s="43"/>
      <c r="L202" s="43"/>
      <c r="M202" s="43"/>
      <c r="N202" s="43"/>
    </row>
    <row r="203" ht="12.75" customHeight="1">
      <c r="A203" s="48" t="s">
        <v>74</v>
      </c>
      <c r="B203" s="48" t="s">
        <v>25</v>
      </c>
      <c r="C203" s="48" t="s">
        <v>75</v>
      </c>
      <c r="D203" s="48" t="s">
        <v>54</v>
      </c>
      <c r="E203" s="48"/>
      <c r="F203" s="48">
        <v>0.0</v>
      </c>
      <c r="G203" s="43"/>
      <c r="H203" s="43"/>
      <c r="I203" s="43"/>
      <c r="J203" s="43"/>
      <c r="K203" s="43"/>
      <c r="L203" s="43"/>
      <c r="M203" s="43"/>
      <c r="N203" s="43"/>
    </row>
    <row r="204" ht="12.75" customHeight="1">
      <c r="A204" s="48" t="s">
        <v>74</v>
      </c>
      <c r="B204" s="48" t="s">
        <v>25</v>
      </c>
      <c r="C204" s="48" t="s">
        <v>75</v>
      </c>
      <c r="D204" s="48" t="s">
        <v>54</v>
      </c>
      <c r="E204" s="48"/>
      <c r="F204" s="48">
        <v>13248.3</v>
      </c>
      <c r="G204" s="43"/>
      <c r="H204" s="43"/>
      <c r="I204" s="43"/>
      <c r="J204" s="43"/>
      <c r="K204" s="43"/>
      <c r="L204" s="43"/>
      <c r="M204" s="43"/>
      <c r="N204" s="43"/>
    </row>
    <row r="205" ht="12.75" customHeight="1">
      <c r="A205" s="48" t="s">
        <v>74</v>
      </c>
      <c r="B205" s="48" t="s">
        <v>25</v>
      </c>
      <c r="C205" s="48" t="s">
        <v>75</v>
      </c>
      <c r="D205" s="48" t="s">
        <v>49</v>
      </c>
      <c r="E205" s="48"/>
      <c r="F205" s="48">
        <v>3495.8999999999996</v>
      </c>
      <c r="G205" s="43"/>
      <c r="H205" s="43"/>
      <c r="I205" s="43"/>
      <c r="J205" s="43"/>
      <c r="K205" s="43"/>
      <c r="L205" s="43"/>
      <c r="M205" s="43"/>
      <c r="N205" s="43"/>
    </row>
    <row r="206" ht="12.75" customHeight="1">
      <c r="A206" s="48" t="s">
        <v>74</v>
      </c>
      <c r="B206" s="48" t="s">
        <v>25</v>
      </c>
      <c r="C206" s="48" t="s">
        <v>75</v>
      </c>
      <c r="D206" s="48" t="s">
        <v>50</v>
      </c>
      <c r="E206" s="48"/>
      <c r="F206" s="48">
        <v>5555.599999999999</v>
      </c>
      <c r="G206" s="43"/>
      <c r="H206" s="43"/>
      <c r="I206" s="43"/>
      <c r="J206" s="43"/>
      <c r="K206" s="43"/>
      <c r="L206" s="43"/>
      <c r="M206" s="43"/>
      <c r="N206" s="43"/>
    </row>
    <row r="207" ht="12.75" customHeight="1">
      <c r="A207" s="48" t="s">
        <v>74</v>
      </c>
      <c r="B207" s="48" t="s">
        <v>25</v>
      </c>
      <c r="C207" s="48" t="s">
        <v>75</v>
      </c>
      <c r="D207" s="48" t="s">
        <v>50</v>
      </c>
      <c r="E207" s="48"/>
      <c r="F207" s="48">
        <v>8041.0</v>
      </c>
      <c r="G207" s="43"/>
      <c r="H207" s="43"/>
      <c r="I207" s="43"/>
      <c r="J207" s="43"/>
      <c r="K207" s="43"/>
      <c r="L207" s="43"/>
      <c r="M207" s="43"/>
      <c r="N207" s="43"/>
    </row>
    <row r="208" ht="12.75" customHeight="1">
      <c r="A208" s="48" t="s">
        <v>74</v>
      </c>
      <c r="B208" s="48" t="s">
        <v>25</v>
      </c>
      <c r="C208" s="48" t="s">
        <v>75</v>
      </c>
      <c r="D208" s="48" t="s">
        <v>50</v>
      </c>
      <c r="E208" s="48"/>
      <c r="F208" s="48">
        <v>11266.0</v>
      </c>
      <c r="G208" s="43"/>
      <c r="H208" s="43"/>
      <c r="I208" s="43"/>
      <c r="J208" s="43"/>
      <c r="K208" s="43"/>
      <c r="L208" s="43"/>
      <c r="M208" s="43"/>
      <c r="N208" s="43"/>
    </row>
    <row r="209" ht="12.75" customHeight="1">
      <c r="A209" s="48" t="s">
        <v>74</v>
      </c>
      <c r="B209" s="48" t="s">
        <v>25</v>
      </c>
      <c r="C209" s="48" t="s">
        <v>75</v>
      </c>
      <c r="D209" s="48" t="s">
        <v>50</v>
      </c>
      <c r="E209" s="48"/>
      <c r="F209" s="48">
        <v>1801.6999999999998</v>
      </c>
      <c r="G209" s="43"/>
      <c r="H209" s="43"/>
      <c r="I209" s="43"/>
      <c r="J209" s="43"/>
      <c r="K209" s="43"/>
      <c r="L209" s="43"/>
      <c r="M209" s="43"/>
      <c r="N209" s="43"/>
    </row>
    <row r="210" ht="12.75" customHeight="1">
      <c r="A210" s="48" t="s">
        <v>74</v>
      </c>
      <c r="B210" s="48" t="s">
        <v>25</v>
      </c>
      <c r="C210" s="48" t="s">
        <v>75</v>
      </c>
      <c r="D210" s="48" t="s">
        <v>50</v>
      </c>
      <c r="E210" s="48"/>
      <c r="F210" s="48">
        <v>9666.4</v>
      </c>
      <c r="G210" s="43"/>
      <c r="H210" s="43"/>
      <c r="I210" s="43"/>
      <c r="J210" s="43"/>
      <c r="K210" s="43"/>
      <c r="L210" s="43"/>
      <c r="M210" s="43"/>
      <c r="N210" s="43"/>
    </row>
    <row r="211" ht="12.75" customHeight="1">
      <c r="A211" s="48" t="s">
        <v>74</v>
      </c>
      <c r="B211" s="48" t="s">
        <v>25</v>
      </c>
      <c r="C211" s="48" t="s">
        <v>75</v>
      </c>
      <c r="D211" s="48" t="s">
        <v>50</v>
      </c>
      <c r="E211" s="48"/>
      <c r="F211" s="48">
        <v>7279.9</v>
      </c>
      <c r="G211" s="43"/>
      <c r="H211" s="43"/>
      <c r="I211" s="43"/>
      <c r="J211" s="43"/>
      <c r="K211" s="43"/>
      <c r="L211" s="43"/>
      <c r="M211" s="43"/>
      <c r="N211" s="43"/>
    </row>
    <row r="212" ht="12.75" customHeight="1">
      <c r="A212" s="48" t="s">
        <v>74</v>
      </c>
      <c r="B212" s="48" t="s">
        <v>25</v>
      </c>
      <c r="C212" s="48" t="s">
        <v>75</v>
      </c>
      <c r="D212" s="48" t="s">
        <v>50</v>
      </c>
      <c r="E212" s="48"/>
      <c r="F212" s="48">
        <v>5353.5</v>
      </c>
      <c r="G212" s="43"/>
      <c r="H212" s="43"/>
      <c r="I212" s="43"/>
      <c r="J212" s="43"/>
      <c r="K212" s="43"/>
      <c r="L212" s="43"/>
      <c r="M212" s="43"/>
      <c r="N212" s="43"/>
    </row>
    <row r="213" ht="12.75" customHeight="1">
      <c r="A213" s="48" t="s">
        <v>74</v>
      </c>
      <c r="B213" s="48" t="s">
        <v>25</v>
      </c>
      <c r="C213" s="48" t="s">
        <v>75</v>
      </c>
      <c r="D213" s="48" t="s">
        <v>50</v>
      </c>
      <c r="E213" s="48"/>
      <c r="F213" s="48">
        <v>7297.099999999999</v>
      </c>
      <c r="G213" s="43"/>
      <c r="H213" s="43"/>
      <c r="I213" s="43"/>
      <c r="J213" s="43"/>
      <c r="K213" s="43"/>
      <c r="L213" s="43"/>
      <c r="M213" s="43"/>
      <c r="N213" s="43"/>
    </row>
    <row r="214" ht="12.75" customHeight="1">
      <c r="A214" s="48" t="s">
        <v>74</v>
      </c>
      <c r="B214" s="48" t="s">
        <v>25</v>
      </c>
      <c r="C214" s="48" t="s">
        <v>75</v>
      </c>
      <c r="D214" s="48" t="s">
        <v>50</v>
      </c>
      <c r="E214" s="48"/>
      <c r="F214" s="48">
        <v>0.0</v>
      </c>
      <c r="G214" s="43"/>
      <c r="H214" s="43"/>
      <c r="I214" s="43"/>
      <c r="J214" s="43"/>
      <c r="K214" s="43"/>
      <c r="L214" s="43"/>
      <c r="M214" s="43"/>
      <c r="N214" s="43"/>
    </row>
    <row r="215" ht="12.75" customHeight="1">
      <c r="A215" s="48" t="s">
        <v>74</v>
      </c>
      <c r="B215" s="48" t="s">
        <v>25</v>
      </c>
      <c r="C215" s="48" t="s">
        <v>75</v>
      </c>
      <c r="D215" s="48" t="s">
        <v>47</v>
      </c>
      <c r="E215" s="48"/>
      <c r="F215" s="48">
        <v>0.0</v>
      </c>
      <c r="G215" s="43"/>
      <c r="H215" s="43"/>
      <c r="I215" s="43"/>
      <c r="J215" s="43"/>
      <c r="K215" s="43"/>
      <c r="L215" s="43"/>
      <c r="M215" s="43"/>
      <c r="N215" s="43"/>
    </row>
    <row r="216" ht="12.75" customHeight="1">
      <c r="A216" s="48" t="s">
        <v>74</v>
      </c>
      <c r="B216" s="48" t="s">
        <v>25</v>
      </c>
      <c r="C216" s="48" t="s">
        <v>75</v>
      </c>
      <c r="D216" s="48" t="s">
        <v>47</v>
      </c>
      <c r="E216" s="48"/>
      <c r="F216" s="48">
        <v>460.09999999999997</v>
      </c>
      <c r="G216" s="43"/>
      <c r="H216" s="43"/>
      <c r="I216" s="43"/>
      <c r="J216" s="43"/>
      <c r="K216" s="43"/>
      <c r="L216" s="43"/>
      <c r="M216" s="43"/>
      <c r="N216" s="43"/>
    </row>
    <row r="217" ht="12.75" customHeight="1">
      <c r="A217" s="48" t="s">
        <v>74</v>
      </c>
      <c r="B217" s="48" t="s">
        <v>25</v>
      </c>
      <c r="C217" s="48" t="s">
        <v>75</v>
      </c>
      <c r="D217" s="48" t="s">
        <v>47</v>
      </c>
      <c r="E217" s="48"/>
      <c r="F217" s="48">
        <v>206.39999999999998</v>
      </c>
      <c r="G217" s="43"/>
      <c r="H217" s="43"/>
      <c r="I217" s="43"/>
      <c r="J217" s="43"/>
      <c r="K217" s="43"/>
      <c r="L217" s="43"/>
      <c r="M217" s="43"/>
      <c r="N217" s="43"/>
    </row>
    <row r="218" ht="12.75" customHeight="1">
      <c r="A218" s="48" t="s">
        <v>74</v>
      </c>
      <c r="B218" s="48" t="s">
        <v>25</v>
      </c>
      <c r="C218" s="48" t="s">
        <v>75</v>
      </c>
      <c r="D218" s="48" t="s">
        <v>47</v>
      </c>
      <c r="E218" s="48"/>
      <c r="F218" s="48">
        <v>0.0</v>
      </c>
      <c r="G218" s="43"/>
      <c r="H218" s="43"/>
      <c r="I218" s="43"/>
      <c r="J218" s="43"/>
      <c r="K218" s="43"/>
      <c r="L218" s="43"/>
      <c r="M218" s="43"/>
      <c r="N218" s="43"/>
    </row>
    <row r="219" ht="12.75" customHeight="1">
      <c r="A219" s="48" t="s">
        <v>74</v>
      </c>
      <c r="B219" s="48" t="s">
        <v>25</v>
      </c>
      <c r="C219" s="48" t="s">
        <v>76</v>
      </c>
      <c r="D219" s="48" t="s">
        <v>53</v>
      </c>
      <c r="E219" s="48"/>
      <c r="F219" s="48">
        <v>627.8</v>
      </c>
      <c r="G219" s="43"/>
      <c r="H219" s="43"/>
      <c r="I219" s="43"/>
      <c r="J219" s="43"/>
      <c r="K219" s="43"/>
      <c r="L219" s="43"/>
      <c r="M219" s="43"/>
      <c r="N219" s="43"/>
    </row>
    <row r="220" ht="12.75" customHeight="1">
      <c r="A220" s="48" t="s">
        <v>74</v>
      </c>
      <c r="B220" s="48" t="s">
        <v>25</v>
      </c>
      <c r="C220" s="48" t="s">
        <v>76</v>
      </c>
      <c r="D220" s="48" t="s">
        <v>53</v>
      </c>
      <c r="E220" s="48"/>
      <c r="F220" s="48">
        <v>0.0</v>
      </c>
      <c r="G220" s="43"/>
      <c r="H220" s="43"/>
      <c r="I220" s="43"/>
      <c r="J220" s="43"/>
      <c r="K220" s="43"/>
      <c r="L220" s="43"/>
      <c r="M220" s="43"/>
      <c r="N220" s="43"/>
    </row>
    <row r="221" ht="12.75" customHeight="1">
      <c r="A221" s="48" t="s">
        <v>74</v>
      </c>
      <c r="B221" s="48" t="s">
        <v>25</v>
      </c>
      <c r="C221" s="48" t="s">
        <v>76</v>
      </c>
      <c r="D221" s="48" t="s">
        <v>6</v>
      </c>
      <c r="E221" s="48"/>
      <c r="F221" s="48">
        <v>1565.2</v>
      </c>
      <c r="G221" s="43"/>
      <c r="H221" s="43"/>
      <c r="I221" s="43"/>
      <c r="J221" s="43"/>
      <c r="K221" s="43"/>
      <c r="L221" s="43"/>
      <c r="M221" s="43"/>
      <c r="N221" s="43"/>
    </row>
    <row r="222" ht="12.75" customHeight="1">
      <c r="A222" s="48" t="s">
        <v>74</v>
      </c>
      <c r="B222" s="48" t="s">
        <v>25</v>
      </c>
      <c r="C222" s="48" t="s">
        <v>76</v>
      </c>
      <c r="D222" s="48" t="s">
        <v>54</v>
      </c>
      <c r="E222" s="48"/>
      <c r="F222" s="48">
        <v>13248.3</v>
      </c>
      <c r="G222" s="43"/>
      <c r="H222" s="43"/>
      <c r="I222" s="43"/>
      <c r="J222" s="43"/>
      <c r="K222" s="43"/>
      <c r="L222" s="43"/>
      <c r="M222" s="43"/>
      <c r="N222" s="43"/>
    </row>
    <row r="223" ht="12.75" customHeight="1">
      <c r="A223" s="48" t="s">
        <v>74</v>
      </c>
      <c r="B223" s="48" t="s">
        <v>25</v>
      </c>
      <c r="C223" s="48" t="s">
        <v>76</v>
      </c>
      <c r="D223" s="48" t="s">
        <v>50</v>
      </c>
      <c r="E223" s="48"/>
      <c r="F223" s="48">
        <v>5194.4</v>
      </c>
      <c r="G223" s="43"/>
      <c r="H223" s="43"/>
      <c r="I223" s="43"/>
      <c r="J223" s="43"/>
      <c r="K223" s="43"/>
      <c r="L223" s="43"/>
      <c r="M223" s="43"/>
      <c r="N223" s="43"/>
    </row>
    <row r="224" ht="12.75" customHeight="1">
      <c r="A224" s="48" t="s">
        <v>74</v>
      </c>
      <c r="B224" s="48" t="s">
        <v>25</v>
      </c>
      <c r="C224" s="48" t="s">
        <v>76</v>
      </c>
      <c r="D224" s="48" t="s">
        <v>50</v>
      </c>
      <c r="E224" s="48"/>
      <c r="F224" s="48">
        <v>331.09999999999997</v>
      </c>
      <c r="G224" s="43"/>
      <c r="H224" s="43"/>
      <c r="I224" s="43"/>
      <c r="J224" s="43"/>
      <c r="K224" s="43"/>
      <c r="L224" s="43"/>
      <c r="M224" s="43"/>
      <c r="N224" s="43"/>
    </row>
    <row r="225" ht="12.75" customHeight="1">
      <c r="A225" s="48" t="s">
        <v>74</v>
      </c>
      <c r="B225" s="48" t="s">
        <v>25</v>
      </c>
      <c r="C225" s="48" t="s">
        <v>76</v>
      </c>
      <c r="D225" s="48" t="s">
        <v>50</v>
      </c>
      <c r="E225" s="48"/>
      <c r="F225" s="48">
        <v>7529.299999999999</v>
      </c>
      <c r="G225" s="43"/>
      <c r="H225" s="43"/>
      <c r="I225" s="43"/>
      <c r="J225" s="43"/>
      <c r="K225" s="43"/>
      <c r="L225" s="43"/>
      <c r="M225" s="43"/>
      <c r="N225" s="43"/>
    </row>
    <row r="226" ht="12.75" customHeight="1">
      <c r="A226" s="48" t="s">
        <v>74</v>
      </c>
      <c r="B226" s="48" t="s">
        <v>25</v>
      </c>
      <c r="C226" s="48" t="s">
        <v>76</v>
      </c>
      <c r="D226" s="48" t="s">
        <v>50</v>
      </c>
      <c r="E226" s="48"/>
      <c r="F226" s="48">
        <v>5353.5</v>
      </c>
      <c r="G226" s="43"/>
      <c r="H226" s="43"/>
      <c r="I226" s="43"/>
      <c r="J226" s="43"/>
      <c r="K226" s="43"/>
      <c r="L226" s="43"/>
      <c r="M226" s="43"/>
      <c r="N226" s="43"/>
    </row>
    <row r="227" ht="12.75" customHeight="1">
      <c r="A227" s="48" t="s">
        <v>74</v>
      </c>
      <c r="B227" s="48" t="s">
        <v>25</v>
      </c>
      <c r="C227" s="48" t="s">
        <v>76</v>
      </c>
      <c r="D227" s="48" t="s">
        <v>50</v>
      </c>
      <c r="E227" s="48"/>
      <c r="F227" s="48">
        <v>0.0</v>
      </c>
      <c r="G227" s="43"/>
      <c r="H227" s="43"/>
      <c r="I227" s="43"/>
      <c r="J227" s="43"/>
      <c r="K227" s="43"/>
      <c r="L227" s="43"/>
      <c r="M227" s="43"/>
      <c r="N227" s="43"/>
    </row>
    <row r="228" ht="12.75" customHeight="1">
      <c r="A228" s="48" t="s">
        <v>74</v>
      </c>
      <c r="B228" s="48" t="s">
        <v>25</v>
      </c>
      <c r="C228" s="48" t="s">
        <v>76</v>
      </c>
      <c r="D228" s="48" t="s">
        <v>47</v>
      </c>
      <c r="E228" s="48"/>
      <c r="F228" s="48">
        <v>1440.5</v>
      </c>
      <c r="G228" s="43"/>
      <c r="H228" s="43"/>
      <c r="I228" s="43"/>
      <c r="J228" s="43"/>
      <c r="K228" s="43"/>
      <c r="L228" s="43"/>
      <c r="M228" s="43"/>
      <c r="N228" s="43"/>
    </row>
    <row r="229" ht="12.75" customHeight="1">
      <c r="A229" s="48" t="s">
        <v>74</v>
      </c>
      <c r="B229" s="48" t="s">
        <v>25</v>
      </c>
      <c r="C229" s="48" t="s">
        <v>76</v>
      </c>
      <c r="D229" s="48" t="s">
        <v>47</v>
      </c>
      <c r="E229" s="48"/>
      <c r="F229" s="48">
        <v>636.4</v>
      </c>
      <c r="G229" s="43"/>
      <c r="H229" s="43"/>
      <c r="I229" s="43"/>
      <c r="J229" s="43"/>
      <c r="K229" s="43"/>
      <c r="L229" s="43"/>
      <c r="M229" s="43"/>
      <c r="N229" s="43"/>
    </row>
    <row r="230" ht="12.75" customHeight="1">
      <c r="A230" s="48" t="s">
        <v>74</v>
      </c>
      <c r="B230" s="48" t="s">
        <v>25</v>
      </c>
      <c r="C230" s="48" t="s">
        <v>76</v>
      </c>
      <c r="D230" s="48" t="s">
        <v>47</v>
      </c>
      <c r="E230" s="48"/>
      <c r="F230" s="48">
        <v>3173.4</v>
      </c>
      <c r="G230" s="43"/>
      <c r="H230" s="43"/>
      <c r="I230" s="43"/>
      <c r="J230" s="43"/>
      <c r="K230" s="43"/>
      <c r="L230" s="43"/>
      <c r="M230" s="43"/>
      <c r="N230" s="43"/>
    </row>
    <row r="231" ht="12.75" customHeight="1">
      <c r="A231" s="48" t="s">
        <v>74</v>
      </c>
      <c r="B231" s="48" t="s">
        <v>25</v>
      </c>
      <c r="C231" s="48" t="s">
        <v>7</v>
      </c>
      <c r="D231" s="48" t="s">
        <v>52</v>
      </c>
      <c r="E231" s="48"/>
      <c r="F231" s="48">
        <v>7146.599999999999</v>
      </c>
      <c r="G231" s="43"/>
      <c r="H231" s="43"/>
      <c r="I231" s="43"/>
      <c r="J231" s="43"/>
      <c r="K231" s="43"/>
      <c r="L231" s="43"/>
      <c r="M231" s="43"/>
      <c r="N231" s="43"/>
    </row>
    <row r="232" ht="12.75" customHeight="1">
      <c r="A232" s="48" t="s">
        <v>74</v>
      </c>
      <c r="B232" s="48" t="s">
        <v>25</v>
      </c>
      <c r="C232" s="48" t="s">
        <v>7</v>
      </c>
      <c r="D232" s="48" t="s">
        <v>53</v>
      </c>
      <c r="E232" s="48"/>
      <c r="F232" s="48">
        <v>2356.4</v>
      </c>
      <c r="G232" s="43"/>
      <c r="H232" s="43"/>
      <c r="I232" s="43"/>
      <c r="J232" s="43"/>
      <c r="K232" s="43"/>
      <c r="L232" s="43"/>
      <c r="M232" s="43"/>
      <c r="N232" s="43"/>
    </row>
    <row r="233" ht="12.75" customHeight="1">
      <c r="A233" s="48" t="s">
        <v>74</v>
      </c>
      <c r="B233" s="48" t="s">
        <v>25</v>
      </c>
      <c r="C233" s="48" t="s">
        <v>7</v>
      </c>
      <c r="D233" s="48" t="s">
        <v>53</v>
      </c>
      <c r="E233" s="48"/>
      <c r="F233" s="48">
        <v>0.0</v>
      </c>
      <c r="G233" s="43"/>
      <c r="H233" s="43"/>
      <c r="I233" s="43"/>
      <c r="J233" s="43"/>
      <c r="K233" s="43"/>
      <c r="L233" s="43"/>
      <c r="M233" s="43"/>
      <c r="N233" s="43"/>
    </row>
    <row r="234" ht="12.75" customHeight="1">
      <c r="A234" s="48" t="s">
        <v>74</v>
      </c>
      <c r="B234" s="48" t="s">
        <v>25</v>
      </c>
      <c r="C234" s="48" t="s">
        <v>7</v>
      </c>
      <c r="D234" s="48" t="s">
        <v>54</v>
      </c>
      <c r="E234" s="48"/>
      <c r="F234" s="48">
        <v>19874.6</v>
      </c>
      <c r="G234" s="43"/>
      <c r="H234" s="43"/>
      <c r="I234" s="43"/>
      <c r="J234" s="43"/>
      <c r="K234" s="43"/>
      <c r="L234" s="43"/>
      <c r="M234" s="43"/>
      <c r="N234" s="43"/>
    </row>
    <row r="235" ht="12.75" customHeight="1">
      <c r="A235" s="48" t="s">
        <v>74</v>
      </c>
      <c r="B235" s="48" t="s">
        <v>25</v>
      </c>
      <c r="C235" s="48" t="s">
        <v>7</v>
      </c>
      <c r="D235" s="48" t="s">
        <v>50</v>
      </c>
      <c r="E235" s="48"/>
      <c r="F235" s="48">
        <v>7439.0</v>
      </c>
      <c r="G235" s="43"/>
      <c r="H235" s="43"/>
      <c r="I235" s="43"/>
      <c r="J235" s="43"/>
      <c r="K235" s="43"/>
      <c r="L235" s="43"/>
      <c r="M235" s="43"/>
      <c r="N235" s="43"/>
    </row>
    <row r="236" ht="12.75" customHeight="1">
      <c r="A236" s="48" t="s">
        <v>74</v>
      </c>
      <c r="B236" s="48" t="s">
        <v>25</v>
      </c>
      <c r="C236" s="48" t="s">
        <v>7</v>
      </c>
      <c r="D236" s="48" t="s">
        <v>50</v>
      </c>
      <c r="E236" s="48"/>
      <c r="F236" s="48">
        <v>4158.099999999999</v>
      </c>
      <c r="G236" s="43"/>
      <c r="H236" s="43"/>
      <c r="I236" s="43"/>
      <c r="J236" s="43"/>
      <c r="K236" s="43"/>
      <c r="L236" s="43"/>
      <c r="M236" s="43"/>
      <c r="N236" s="43"/>
    </row>
    <row r="237" ht="12.75" customHeight="1">
      <c r="A237" s="48" t="s">
        <v>74</v>
      </c>
      <c r="B237" s="48" t="s">
        <v>25</v>
      </c>
      <c r="C237" s="48" t="s">
        <v>7</v>
      </c>
      <c r="D237" s="48" t="s">
        <v>50</v>
      </c>
      <c r="E237" s="48"/>
      <c r="F237" s="48">
        <v>8032.4</v>
      </c>
      <c r="G237" s="43"/>
      <c r="H237" s="43"/>
      <c r="I237" s="43"/>
      <c r="J237" s="43"/>
      <c r="K237" s="43"/>
      <c r="L237" s="43"/>
      <c r="M237" s="43"/>
      <c r="N237" s="43"/>
    </row>
    <row r="238" ht="12.75" customHeight="1">
      <c r="A238" s="48" t="s">
        <v>74</v>
      </c>
      <c r="B238" s="48" t="s">
        <v>25</v>
      </c>
      <c r="C238" s="48" t="s">
        <v>7</v>
      </c>
      <c r="D238" s="48" t="s">
        <v>50</v>
      </c>
      <c r="E238" s="48"/>
      <c r="F238" s="48">
        <v>3741.0</v>
      </c>
      <c r="G238" s="43"/>
      <c r="H238" s="43"/>
      <c r="I238" s="43"/>
      <c r="J238" s="43"/>
      <c r="K238" s="43"/>
      <c r="L238" s="43"/>
      <c r="M238" s="43"/>
      <c r="N238" s="43"/>
    </row>
    <row r="239" ht="12.75" customHeight="1">
      <c r="A239" s="48" t="s">
        <v>74</v>
      </c>
      <c r="B239" s="48" t="s">
        <v>25</v>
      </c>
      <c r="C239" s="48" t="s">
        <v>7</v>
      </c>
      <c r="D239" s="48" t="s">
        <v>50</v>
      </c>
      <c r="E239" s="48"/>
      <c r="F239" s="48">
        <v>0.0</v>
      </c>
      <c r="G239" s="43"/>
      <c r="H239" s="43"/>
      <c r="I239" s="43"/>
      <c r="J239" s="43"/>
      <c r="K239" s="43"/>
      <c r="L239" s="43"/>
      <c r="M239" s="43"/>
      <c r="N239" s="43"/>
    </row>
    <row r="240" ht="12.75" customHeight="1">
      <c r="A240" s="48" t="s">
        <v>74</v>
      </c>
      <c r="B240" s="48" t="s">
        <v>25</v>
      </c>
      <c r="C240" s="48" t="s">
        <v>7</v>
      </c>
      <c r="D240" s="48" t="s">
        <v>47</v>
      </c>
      <c r="E240" s="48"/>
      <c r="F240" s="48">
        <v>12611.9</v>
      </c>
      <c r="G240" s="43"/>
      <c r="H240" s="43"/>
      <c r="I240" s="43"/>
      <c r="J240" s="43"/>
      <c r="K240" s="43"/>
      <c r="L240" s="43"/>
      <c r="M240" s="43"/>
      <c r="N240" s="43"/>
    </row>
    <row r="241" ht="12.75" customHeight="1">
      <c r="A241" s="48" t="s">
        <v>74</v>
      </c>
      <c r="B241" s="48" t="s">
        <v>27</v>
      </c>
      <c r="C241" s="48" t="s">
        <v>80</v>
      </c>
      <c r="D241" s="48" t="s">
        <v>47</v>
      </c>
      <c r="E241" s="48"/>
      <c r="F241" s="48">
        <v>0.0</v>
      </c>
      <c r="G241" s="43"/>
      <c r="H241" s="43"/>
      <c r="I241" s="43"/>
      <c r="J241" s="43"/>
      <c r="K241" s="43"/>
      <c r="L241" s="43"/>
      <c r="M241" s="43"/>
      <c r="N241" s="43"/>
    </row>
    <row r="242" ht="12.75" customHeight="1">
      <c r="A242" s="48" t="s">
        <v>74</v>
      </c>
      <c r="B242" s="48" t="s">
        <v>27</v>
      </c>
      <c r="C242" s="48" t="s">
        <v>80</v>
      </c>
      <c r="D242" s="48" t="s">
        <v>47</v>
      </c>
      <c r="E242" s="48"/>
      <c r="F242" s="48">
        <v>2429.5</v>
      </c>
      <c r="G242" s="43"/>
      <c r="H242" s="43"/>
      <c r="I242" s="43"/>
      <c r="J242" s="43"/>
      <c r="K242" s="43"/>
      <c r="L242" s="43"/>
      <c r="M242" s="43"/>
      <c r="N242" s="43"/>
    </row>
    <row r="243" ht="12.75" customHeight="1">
      <c r="A243" s="48" t="s">
        <v>74</v>
      </c>
      <c r="B243" s="48" t="s">
        <v>27</v>
      </c>
      <c r="C243" s="48" t="s">
        <v>78</v>
      </c>
      <c r="D243" s="48" t="s">
        <v>52</v>
      </c>
      <c r="E243" s="48"/>
      <c r="F243" s="48">
        <v>25413.0</v>
      </c>
      <c r="G243" s="43"/>
      <c r="H243" s="43"/>
      <c r="I243" s="43"/>
      <c r="J243" s="43"/>
      <c r="K243" s="43"/>
      <c r="L243" s="43"/>
      <c r="M243" s="43"/>
      <c r="N243" s="43"/>
    </row>
    <row r="244" ht="12.75" customHeight="1">
      <c r="A244" s="48" t="s">
        <v>74</v>
      </c>
      <c r="B244" s="48" t="s">
        <v>27</v>
      </c>
      <c r="C244" s="48" t="s">
        <v>78</v>
      </c>
      <c r="D244" s="48" t="s">
        <v>53</v>
      </c>
      <c r="E244" s="48"/>
      <c r="F244" s="48">
        <v>3925.8999999999996</v>
      </c>
      <c r="G244" s="43"/>
      <c r="H244" s="43"/>
      <c r="I244" s="43"/>
      <c r="J244" s="43"/>
      <c r="K244" s="43"/>
      <c r="L244" s="43"/>
      <c r="M244" s="43"/>
      <c r="N244" s="43"/>
    </row>
    <row r="245" ht="12.75" customHeight="1">
      <c r="A245" s="48" t="s">
        <v>74</v>
      </c>
      <c r="B245" s="48" t="s">
        <v>27</v>
      </c>
      <c r="C245" s="48" t="s">
        <v>78</v>
      </c>
      <c r="D245" s="48" t="s">
        <v>53</v>
      </c>
      <c r="E245" s="48"/>
      <c r="F245" s="48">
        <v>0.0</v>
      </c>
      <c r="G245" s="43"/>
      <c r="H245" s="43"/>
      <c r="I245" s="43"/>
      <c r="J245" s="43"/>
      <c r="K245" s="43"/>
      <c r="L245" s="43"/>
      <c r="M245" s="43"/>
      <c r="N245" s="43"/>
    </row>
    <row r="246" ht="12.75" customHeight="1">
      <c r="A246" s="48" t="s">
        <v>74</v>
      </c>
      <c r="B246" s="48" t="s">
        <v>27</v>
      </c>
      <c r="C246" s="48" t="s">
        <v>78</v>
      </c>
      <c r="D246" s="48" t="s">
        <v>54</v>
      </c>
      <c r="E246" s="48"/>
      <c r="F246" s="48">
        <v>657.9</v>
      </c>
      <c r="G246" s="43"/>
      <c r="H246" s="43"/>
      <c r="I246" s="43"/>
      <c r="J246" s="43"/>
      <c r="K246" s="43"/>
      <c r="L246" s="43"/>
      <c r="M246" s="43"/>
      <c r="N246" s="43"/>
    </row>
    <row r="247" ht="12.75" customHeight="1">
      <c r="A247" s="48" t="s">
        <v>74</v>
      </c>
      <c r="B247" s="48" t="s">
        <v>27</v>
      </c>
      <c r="C247" s="48" t="s">
        <v>78</v>
      </c>
      <c r="D247" s="48" t="s">
        <v>54</v>
      </c>
      <c r="E247" s="48"/>
      <c r="F247" s="48">
        <v>26496.6</v>
      </c>
      <c r="G247" s="43"/>
      <c r="H247" s="43"/>
      <c r="I247" s="43"/>
      <c r="J247" s="43"/>
      <c r="K247" s="43"/>
      <c r="L247" s="43"/>
      <c r="M247" s="43"/>
      <c r="N247" s="43"/>
    </row>
    <row r="248" ht="12.75" customHeight="1">
      <c r="A248" s="48" t="s">
        <v>74</v>
      </c>
      <c r="B248" s="48" t="s">
        <v>27</v>
      </c>
      <c r="C248" s="48" t="s">
        <v>78</v>
      </c>
      <c r="D248" s="48" t="s">
        <v>50</v>
      </c>
      <c r="E248" s="48"/>
      <c r="F248" s="48">
        <v>7439.0</v>
      </c>
      <c r="G248" s="43"/>
      <c r="H248" s="43"/>
      <c r="I248" s="43"/>
      <c r="J248" s="43"/>
      <c r="K248" s="43"/>
      <c r="L248" s="43"/>
      <c r="M248" s="43"/>
      <c r="N248" s="43"/>
    </row>
    <row r="249" ht="12.75" customHeight="1">
      <c r="A249" s="48" t="s">
        <v>74</v>
      </c>
      <c r="B249" s="48" t="s">
        <v>27</v>
      </c>
      <c r="C249" s="48" t="s">
        <v>78</v>
      </c>
      <c r="D249" s="48" t="s">
        <v>50</v>
      </c>
      <c r="E249" s="48"/>
      <c r="F249" s="48">
        <v>5891.0</v>
      </c>
      <c r="G249" s="43"/>
      <c r="H249" s="43"/>
      <c r="I249" s="43"/>
      <c r="J249" s="43"/>
      <c r="K249" s="43"/>
      <c r="L249" s="43"/>
      <c r="M249" s="43"/>
      <c r="N249" s="43"/>
    </row>
    <row r="250" ht="12.75" customHeight="1">
      <c r="A250" s="48" t="s">
        <v>74</v>
      </c>
      <c r="B250" s="48" t="s">
        <v>27</v>
      </c>
      <c r="C250" s="48" t="s">
        <v>78</v>
      </c>
      <c r="D250" s="48" t="s">
        <v>50</v>
      </c>
      <c r="E250" s="48"/>
      <c r="F250" s="48">
        <v>10711.3</v>
      </c>
      <c r="G250" s="43"/>
      <c r="H250" s="43"/>
      <c r="I250" s="43"/>
      <c r="J250" s="43"/>
      <c r="K250" s="43"/>
      <c r="L250" s="43"/>
      <c r="M250" s="43"/>
      <c r="N250" s="43"/>
    </row>
    <row r="251" ht="12.75" customHeight="1">
      <c r="A251" s="48" t="s">
        <v>74</v>
      </c>
      <c r="B251" s="48" t="s">
        <v>27</v>
      </c>
      <c r="C251" s="48" t="s">
        <v>78</v>
      </c>
      <c r="D251" s="48" t="s">
        <v>50</v>
      </c>
      <c r="E251" s="48"/>
      <c r="F251" s="48">
        <v>6394.099999999999</v>
      </c>
      <c r="G251" s="43"/>
      <c r="H251" s="43"/>
      <c r="I251" s="43"/>
      <c r="J251" s="43"/>
      <c r="K251" s="43"/>
      <c r="L251" s="43"/>
      <c r="M251" s="43"/>
      <c r="N251" s="43"/>
    </row>
    <row r="252" ht="12.75" customHeight="1">
      <c r="A252" s="48" t="s">
        <v>74</v>
      </c>
      <c r="B252" s="48" t="s">
        <v>27</v>
      </c>
      <c r="C252" s="48" t="s">
        <v>78</v>
      </c>
      <c r="D252" s="48" t="s">
        <v>50</v>
      </c>
      <c r="E252" s="48"/>
      <c r="F252" s="48">
        <v>7060.599999999999</v>
      </c>
      <c r="G252" s="43"/>
      <c r="H252" s="43"/>
      <c r="I252" s="43"/>
      <c r="J252" s="43"/>
      <c r="K252" s="43"/>
      <c r="L252" s="43"/>
      <c r="M252" s="43"/>
      <c r="N252" s="43"/>
    </row>
    <row r="253" ht="12.75" customHeight="1">
      <c r="A253" s="48" t="s">
        <v>74</v>
      </c>
      <c r="B253" s="48" t="s">
        <v>27</v>
      </c>
      <c r="C253" s="48" t="s">
        <v>78</v>
      </c>
      <c r="D253" s="48" t="s">
        <v>50</v>
      </c>
      <c r="E253" s="48"/>
      <c r="F253" s="48">
        <v>0.0</v>
      </c>
      <c r="G253" s="43"/>
      <c r="H253" s="43"/>
      <c r="I253" s="43"/>
      <c r="J253" s="43"/>
      <c r="K253" s="43"/>
      <c r="L253" s="43"/>
      <c r="M253" s="43"/>
      <c r="N253" s="43"/>
    </row>
    <row r="254" ht="12.75" customHeight="1">
      <c r="A254" s="48" t="s">
        <v>74</v>
      </c>
      <c r="B254" s="48" t="s">
        <v>27</v>
      </c>
      <c r="C254" s="48" t="s">
        <v>78</v>
      </c>
      <c r="D254" s="48" t="s">
        <v>47</v>
      </c>
      <c r="E254" s="48"/>
      <c r="F254" s="48">
        <v>17673.0</v>
      </c>
      <c r="G254" s="43"/>
      <c r="H254" s="43"/>
      <c r="I254" s="43"/>
      <c r="J254" s="43"/>
      <c r="K254" s="43"/>
      <c r="L254" s="43"/>
      <c r="M254" s="43"/>
      <c r="N254" s="43"/>
    </row>
    <row r="255" ht="12.75" customHeight="1">
      <c r="A255" s="48" t="s">
        <v>74</v>
      </c>
      <c r="B255" s="48" t="s">
        <v>27</v>
      </c>
      <c r="C255" s="48" t="s">
        <v>78</v>
      </c>
      <c r="D255" s="48" t="s">
        <v>47</v>
      </c>
      <c r="E255" s="48"/>
      <c r="F255" s="48">
        <v>7138.0</v>
      </c>
      <c r="G255" s="43"/>
      <c r="H255" s="43"/>
      <c r="I255" s="43"/>
      <c r="J255" s="43"/>
      <c r="K255" s="43"/>
      <c r="L255" s="43"/>
      <c r="M255" s="43"/>
      <c r="N255" s="43"/>
    </row>
    <row r="256" ht="12.75" customHeight="1">
      <c r="A256" s="48" t="s">
        <v>74</v>
      </c>
      <c r="B256" s="48" t="s">
        <v>27</v>
      </c>
      <c r="C256" s="48" t="s">
        <v>78</v>
      </c>
      <c r="D256" s="48" t="s">
        <v>47</v>
      </c>
      <c r="E256" s="48"/>
      <c r="F256" s="48">
        <v>34907.4</v>
      </c>
      <c r="G256" s="43"/>
      <c r="H256" s="43"/>
      <c r="I256" s="43"/>
      <c r="J256" s="43"/>
      <c r="K256" s="43"/>
      <c r="L256" s="43"/>
      <c r="M256" s="43"/>
      <c r="N256" s="43"/>
    </row>
    <row r="257" ht="12.75" customHeight="1">
      <c r="A257" s="48" t="s">
        <v>74</v>
      </c>
      <c r="B257" s="48" t="s">
        <v>27</v>
      </c>
      <c r="C257" s="48" t="s">
        <v>78</v>
      </c>
      <c r="D257" s="48" t="s">
        <v>47</v>
      </c>
      <c r="E257" s="48"/>
      <c r="F257" s="48">
        <v>50142.299999999996</v>
      </c>
      <c r="G257" s="43"/>
      <c r="H257" s="43"/>
      <c r="I257" s="43"/>
      <c r="J257" s="43"/>
      <c r="K257" s="43"/>
      <c r="L257" s="43"/>
      <c r="M257" s="43"/>
      <c r="N257" s="43"/>
    </row>
    <row r="258" ht="12.75" customHeight="1">
      <c r="A258" s="48" t="s">
        <v>74</v>
      </c>
      <c r="B258" s="48" t="s">
        <v>27</v>
      </c>
      <c r="C258" s="48" t="s">
        <v>78</v>
      </c>
      <c r="D258" s="48" t="s">
        <v>47</v>
      </c>
      <c r="E258" s="48"/>
      <c r="F258" s="48">
        <v>533.1999999999999</v>
      </c>
      <c r="G258" s="43"/>
      <c r="H258" s="43"/>
      <c r="I258" s="43"/>
      <c r="J258" s="43"/>
      <c r="K258" s="43"/>
      <c r="L258" s="43"/>
      <c r="M258" s="43"/>
      <c r="N258" s="43"/>
    </row>
    <row r="259" ht="12.75" customHeight="1">
      <c r="A259" s="48" t="s">
        <v>74</v>
      </c>
      <c r="B259" s="48" t="s">
        <v>25</v>
      </c>
      <c r="C259" s="48" t="s">
        <v>75</v>
      </c>
      <c r="D259" s="48" t="s">
        <v>8</v>
      </c>
      <c r="E259" s="48"/>
      <c r="F259" s="48">
        <v>188198.1</v>
      </c>
      <c r="G259" s="43"/>
      <c r="H259" s="43"/>
      <c r="I259" s="43"/>
      <c r="J259" s="43"/>
      <c r="K259" s="43"/>
      <c r="L259" s="43"/>
      <c r="M259" s="43"/>
      <c r="N259" s="43"/>
    </row>
    <row r="260" ht="12.75" customHeight="1">
      <c r="A260" s="48" t="s">
        <v>74</v>
      </c>
      <c r="B260" s="48" t="s">
        <v>25</v>
      </c>
      <c r="C260" s="48" t="s">
        <v>75</v>
      </c>
      <c r="D260" s="48" t="s">
        <v>8</v>
      </c>
      <c r="E260" s="48"/>
      <c r="F260" s="48">
        <v>2210.2</v>
      </c>
      <c r="G260" s="43"/>
      <c r="H260" s="43"/>
      <c r="I260" s="43"/>
      <c r="J260" s="43"/>
      <c r="K260" s="43"/>
      <c r="L260" s="43"/>
      <c r="M260" s="43"/>
      <c r="N260" s="43"/>
    </row>
    <row r="261" ht="12.75" customHeight="1">
      <c r="A261" s="48" t="s">
        <v>74</v>
      </c>
      <c r="B261" s="48" t="s">
        <v>25</v>
      </c>
      <c r="C261" s="48" t="s">
        <v>75</v>
      </c>
      <c r="D261" s="48" t="s">
        <v>49</v>
      </c>
      <c r="E261" s="48"/>
      <c r="F261" s="48">
        <v>2463.9</v>
      </c>
      <c r="G261" s="43"/>
      <c r="H261" s="43"/>
      <c r="I261" s="43"/>
      <c r="J261" s="43"/>
      <c r="K261" s="43"/>
      <c r="L261" s="43"/>
      <c r="M261" s="43"/>
      <c r="N261" s="43"/>
    </row>
    <row r="262" ht="12.75" customHeight="1">
      <c r="A262" s="48" t="s">
        <v>74</v>
      </c>
      <c r="B262" s="48" t="s">
        <v>25</v>
      </c>
      <c r="C262" s="48" t="s">
        <v>75</v>
      </c>
      <c r="D262" s="48" t="s">
        <v>50</v>
      </c>
      <c r="E262" s="48"/>
      <c r="F262" s="48">
        <v>-13450.4</v>
      </c>
      <c r="G262" s="43"/>
      <c r="H262" s="43"/>
      <c r="I262" s="43"/>
      <c r="J262" s="43"/>
      <c r="K262" s="43"/>
      <c r="L262" s="43"/>
      <c r="M262" s="43"/>
      <c r="N262" s="43"/>
    </row>
    <row r="263" ht="12.75" customHeight="1">
      <c r="A263" s="48" t="s">
        <v>74</v>
      </c>
      <c r="B263" s="48" t="s">
        <v>25</v>
      </c>
      <c r="C263" s="48" t="s">
        <v>75</v>
      </c>
      <c r="D263" s="48" t="s">
        <v>50</v>
      </c>
      <c r="E263" s="48"/>
      <c r="F263" s="48">
        <v>7202.5</v>
      </c>
      <c r="G263" s="43"/>
      <c r="H263" s="43"/>
      <c r="I263" s="43"/>
      <c r="J263" s="43"/>
      <c r="K263" s="43"/>
      <c r="L263" s="43"/>
      <c r="M263" s="43"/>
      <c r="N263" s="43"/>
    </row>
    <row r="264" ht="12.75" customHeight="1">
      <c r="A264" s="48" t="s">
        <v>74</v>
      </c>
      <c r="B264" s="48" t="s">
        <v>25</v>
      </c>
      <c r="C264" s="48" t="s">
        <v>75</v>
      </c>
      <c r="D264" s="48" t="s">
        <v>50</v>
      </c>
      <c r="E264" s="48"/>
      <c r="F264" s="48">
        <v>6247.9</v>
      </c>
      <c r="G264" s="43"/>
      <c r="H264" s="43"/>
      <c r="I264" s="43"/>
      <c r="J264" s="43"/>
      <c r="K264" s="43"/>
      <c r="L264" s="43"/>
      <c r="M264" s="43"/>
      <c r="N264" s="43"/>
    </row>
    <row r="265" ht="12.75" customHeight="1">
      <c r="A265" s="48" t="s">
        <v>74</v>
      </c>
      <c r="B265" s="48" t="s">
        <v>25</v>
      </c>
      <c r="C265" s="48" t="s">
        <v>75</v>
      </c>
      <c r="D265" s="48" t="s">
        <v>47</v>
      </c>
      <c r="E265" s="48"/>
      <c r="F265" s="48">
        <v>42557.1</v>
      </c>
      <c r="G265" s="43"/>
      <c r="H265" s="43"/>
      <c r="I265" s="43"/>
      <c r="J265" s="43"/>
      <c r="K265" s="43"/>
      <c r="L265" s="43"/>
      <c r="M265" s="43"/>
      <c r="N265" s="43"/>
    </row>
    <row r="266" ht="12.75" customHeight="1">
      <c r="A266" s="48" t="s">
        <v>74</v>
      </c>
      <c r="B266" s="48" t="s">
        <v>25</v>
      </c>
      <c r="C266" s="48" t="s">
        <v>76</v>
      </c>
      <c r="D266" s="48" t="s">
        <v>52</v>
      </c>
      <c r="E266" s="48"/>
      <c r="F266" s="48">
        <v>10750.0</v>
      </c>
      <c r="G266" s="43"/>
      <c r="H266" s="43"/>
      <c r="I266" s="43"/>
      <c r="J266" s="43"/>
      <c r="K266" s="43"/>
      <c r="L266" s="43"/>
      <c r="M266" s="43"/>
      <c r="N266" s="43"/>
    </row>
    <row r="267" ht="12.75" customHeight="1">
      <c r="A267" s="48" t="s">
        <v>74</v>
      </c>
      <c r="B267" s="48" t="s">
        <v>25</v>
      </c>
      <c r="C267" s="48" t="s">
        <v>76</v>
      </c>
      <c r="D267" s="48" t="s">
        <v>52</v>
      </c>
      <c r="E267" s="48"/>
      <c r="F267" s="48">
        <v>39727.7</v>
      </c>
      <c r="G267" s="43"/>
      <c r="H267" s="43"/>
      <c r="I267" s="43"/>
      <c r="J267" s="43"/>
      <c r="K267" s="43"/>
      <c r="L267" s="43"/>
      <c r="M267" s="43"/>
      <c r="N267" s="43"/>
    </row>
    <row r="268" ht="12.75" customHeight="1">
      <c r="A268" s="48" t="s">
        <v>74</v>
      </c>
      <c r="B268" s="48" t="s">
        <v>25</v>
      </c>
      <c r="C268" s="48" t="s">
        <v>76</v>
      </c>
      <c r="D268" s="48" t="s">
        <v>58</v>
      </c>
      <c r="E268" s="48"/>
      <c r="F268" s="48">
        <v>14964.0</v>
      </c>
      <c r="G268" s="43"/>
      <c r="H268" s="43"/>
      <c r="I268" s="43"/>
      <c r="J268" s="43"/>
      <c r="K268" s="43"/>
      <c r="L268" s="43"/>
      <c r="M268" s="43"/>
      <c r="N268" s="43"/>
    </row>
    <row r="269" ht="12.75" customHeight="1">
      <c r="A269" s="48" t="s">
        <v>74</v>
      </c>
      <c r="B269" s="48" t="s">
        <v>25</v>
      </c>
      <c r="C269" s="48" t="s">
        <v>76</v>
      </c>
      <c r="D269" s="48" t="s">
        <v>54</v>
      </c>
      <c r="E269" s="48"/>
      <c r="F269" s="48">
        <v>39039.7</v>
      </c>
      <c r="G269" s="43"/>
      <c r="H269" s="43"/>
      <c r="I269" s="43"/>
      <c r="J269" s="43"/>
      <c r="K269" s="43"/>
      <c r="L269" s="43"/>
      <c r="M269" s="43"/>
      <c r="N269" s="43"/>
    </row>
    <row r="270" ht="12.75" customHeight="1">
      <c r="A270" s="48" t="s">
        <v>74</v>
      </c>
      <c r="B270" s="48" t="s">
        <v>25</v>
      </c>
      <c r="C270" s="48" t="s">
        <v>76</v>
      </c>
      <c r="D270" s="48" t="s">
        <v>50</v>
      </c>
      <c r="E270" s="48"/>
      <c r="F270" s="48">
        <v>14912.4</v>
      </c>
      <c r="G270" s="43"/>
      <c r="H270" s="43"/>
      <c r="I270" s="43"/>
      <c r="J270" s="43"/>
      <c r="K270" s="43"/>
      <c r="L270" s="43"/>
      <c r="M270" s="43"/>
      <c r="N270" s="43"/>
    </row>
    <row r="271" ht="12.75" customHeight="1">
      <c r="A271" s="48" t="s">
        <v>74</v>
      </c>
      <c r="B271" s="48" t="s">
        <v>25</v>
      </c>
      <c r="C271" s="48" t="s">
        <v>76</v>
      </c>
      <c r="D271" s="48" t="s">
        <v>50</v>
      </c>
      <c r="E271" s="48"/>
      <c r="F271" s="48">
        <v>6634.9</v>
      </c>
      <c r="G271" s="43"/>
      <c r="H271" s="43"/>
      <c r="I271" s="43"/>
      <c r="J271" s="43"/>
      <c r="K271" s="43"/>
      <c r="L271" s="43"/>
      <c r="M271" s="43"/>
      <c r="N271" s="43"/>
    </row>
    <row r="272" ht="12.75" customHeight="1">
      <c r="A272" s="48" t="s">
        <v>74</v>
      </c>
      <c r="B272" s="48" t="s">
        <v>25</v>
      </c>
      <c r="C272" s="48" t="s">
        <v>76</v>
      </c>
      <c r="D272" s="48" t="s">
        <v>50</v>
      </c>
      <c r="E272" s="48"/>
      <c r="F272" s="48">
        <v>6991.799999999999</v>
      </c>
      <c r="G272" s="43"/>
      <c r="H272" s="43"/>
      <c r="I272" s="43"/>
      <c r="J272" s="43"/>
      <c r="K272" s="43"/>
      <c r="L272" s="43"/>
      <c r="M272" s="43"/>
      <c r="N272" s="43"/>
    </row>
    <row r="273" ht="12.75" customHeight="1">
      <c r="A273" s="48" t="s">
        <v>74</v>
      </c>
      <c r="B273" s="48" t="s">
        <v>25</v>
      </c>
      <c r="C273" s="48" t="s">
        <v>76</v>
      </c>
      <c r="D273" s="48" t="s">
        <v>50</v>
      </c>
      <c r="E273" s="48"/>
      <c r="F273" s="48">
        <v>20205.7</v>
      </c>
      <c r="G273" s="43"/>
      <c r="H273" s="43"/>
      <c r="I273" s="43"/>
      <c r="J273" s="43"/>
      <c r="K273" s="43"/>
      <c r="L273" s="43"/>
      <c r="M273" s="43"/>
      <c r="N273" s="43"/>
    </row>
    <row r="274" ht="12.75" customHeight="1">
      <c r="A274" s="48" t="s">
        <v>74</v>
      </c>
      <c r="B274" s="48" t="s">
        <v>25</v>
      </c>
      <c r="C274" s="48" t="s">
        <v>76</v>
      </c>
      <c r="D274" s="48" t="s">
        <v>50</v>
      </c>
      <c r="E274" s="48"/>
      <c r="F274" s="48">
        <v>2863.7999999999997</v>
      </c>
      <c r="G274" s="43"/>
      <c r="H274" s="43"/>
      <c r="I274" s="43"/>
      <c r="J274" s="43"/>
      <c r="K274" s="43"/>
      <c r="L274" s="43"/>
      <c r="M274" s="43"/>
      <c r="N274" s="43"/>
    </row>
    <row r="275" ht="12.75" customHeight="1">
      <c r="A275" s="48" t="s">
        <v>74</v>
      </c>
      <c r="B275" s="48" t="s">
        <v>25</v>
      </c>
      <c r="C275" s="48" t="s">
        <v>76</v>
      </c>
      <c r="D275" s="48" t="s">
        <v>47</v>
      </c>
      <c r="E275" s="48"/>
      <c r="F275" s="48">
        <v>2373.6</v>
      </c>
      <c r="G275" s="43"/>
      <c r="H275" s="43"/>
      <c r="I275" s="43"/>
      <c r="J275" s="43"/>
      <c r="K275" s="43"/>
      <c r="L275" s="43"/>
      <c r="M275" s="43"/>
      <c r="N275" s="43"/>
    </row>
    <row r="276" ht="12.75" customHeight="1">
      <c r="A276" s="48" t="s">
        <v>74</v>
      </c>
      <c r="B276" s="48" t="s">
        <v>25</v>
      </c>
      <c r="C276" s="48" t="s">
        <v>76</v>
      </c>
      <c r="D276" s="48" t="s">
        <v>47</v>
      </c>
      <c r="E276" s="48"/>
      <c r="F276" s="48">
        <v>77305.4</v>
      </c>
      <c r="G276" s="43"/>
      <c r="H276" s="43"/>
      <c r="I276" s="43"/>
      <c r="J276" s="43"/>
      <c r="K276" s="43"/>
      <c r="L276" s="43"/>
      <c r="M276" s="43"/>
      <c r="N276" s="43"/>
    </row>
    <row r="277" ht="12.75" customHeight="1">
      <c r="A277" s="48" t="s">
        <v>74</v>
      </c>
      <c r="B277" s="48" t="s">
        <v>25</v>
      </c>
      <c r="C277" s="48" t="s">
        <v>76</v>
      </c>
      <c r="D277" s="48" t="s">
        <v>47</v>
      </c>
      <c r="E277" s="48"/>
      <c r="F277" s="48">
        <v>6213.5</v>
      </c>
      <c r="G277" s="43"/>
      <c r="H277" s="43"/>
      <c r="I277" s="43"/>
      <c r="J277" s="43"/>
      <c r="K277" s="43"/>
      <c r="L277" s="43"/>
      <c r="M277" s="43"/>
      <c r="N277" s="43"/>
    </row>
    <row r="278" ht="12.75" customHeight="1">
      <c r="A278" s="48" t="s">
        <v>74</v>
      </c>
      <c r="B278" s="48" t="s">
        <v>25</v>
      </c>
      <c r="C278" s="48" t="s">
        <v>7</v>
      </c>
      <c r="D278" s="48" t="s">
        <v>52</v>
      </c>
      <c r="E278" s="48"/>
      <c r="F278" s="48">
        <v>7370.2</v>
      </c>
      <c r="G278" s="43"/>
      <c r="H278" s="43"/>
      <c r="I278" s="43"/>
      <c r="J278" s="43"/>
      <c r="K278" s="43"/>
      <c r="L278" s="43"/>
      <c r="M278" s="43"/>
      <c r="N278" s="43"/>
    </row>
    <row r="279" ht="12.75" customHeight="1">
      <c r="A279" s="48" t="s">
        <v>74</v>
      </c>
      <c r="B279" s="48" t="s">
        <v>25</v>
      </c>
      <c r="C279" s="48" t="s">
        <v>7</v>
      </c>
      <c r="D279" s="48" t="s">
        <v>58</v>
      </c>
      <c r="E279" s="48"/>
      <c r="F279" s="48">
        <v>44720.0</v>
      </c>
      <c r="G279" s="43"/>
      <c r="H279" s="43"/>
      <c r="I279" s="43"/>
      <c r="J279" s="43"/>
      <c r="K279" s="43"/>
      <c r="L279" s="43"/>
      <c r="M279" s="43"/>
      <c r="N279" s="43"/>
    </row>
    <row r="280" ht="12.75" customHeight="1">
      <c r="A280" s="48" t="s">
        <v>74</v>
      </c>
      <c r="B280" s="48" t="s">
        <v>25</v>
      </c>
      <c r="C280" s="48" t="s">
        <v>7</v>
      </c>
      <c r="D280" s="48" t="s">
        <v>8</v>
      </c>
      <c r="E280" s="48"/>
      <c r="F280" s="48">
        <v>3216.4</v>
      </c>
      <c r="G280" s="43"/>
      <c r="H280" s="43"/>
      <c r="I280" s="43"/>
      <c r="J280" s="43"/>
      <c r="K280" s="43"/>
      <c r="L280" s="43"/>
      <c r="M280" s="43"/>
      <c r="N280" s="43"/>
    </row>
    <row r="281" ht="12.75" customHeight="1">
      <c r="A281" s="48" t="s">
        <v>74</v>
      </c>
      <c r="B281" s="48" t="s">
        <v>25</v>
      </c>
      <c r="C281" s="48" t="s">
        <v>7</v>
      </c>
      <c r="D281" s="48" t="s">
        <v>54</v>
      </c>
      <c r="E281" s="48"/>
      <c r="F281" s="48">
        <v>154.79999999999998</v>
      </c>
      <c r="G281" s="43"/>
      <c r="H281" s="43"/>
      <c r="I281" s="43"/>
      <c r="J281" s="43"/>
      <c r="K281" s="43"/>
      <c r="L281" s="43"/>
      <c r="M281" s="43"/>
      <c r="N281" s="43"/>
    </row>
    <row r="282" ht="12.75" customHeight="1">
      <c r="A282" s="48" t="s">
        <v>74</v>
      </c>
      <c r="B282" s="48" t="s">
        <v>25</v>
      </c>
      <c r="C282" s="48" t="s">
        <v>7</v>
      </c>
      <c r="D282" s="48" t="s">
        <v>54</v>
      </c>
      <c r="E282" s="48"/>
      <c r="F282" s="48">
        <v>249.39999999999998</v>
      </c>
      <c r="G282" s="43"/>
      <c r="H282" s="43"/>
      <c r="I282" s="43"/>
      <c r="J282" s="43"/>
      <c r="K282" s="43"/>
      <c r="L282" s="43"/>
      <c r="M282" s="43"/>
      <c r="N282" s="43"/>
    </row>
    <row r="283" ht="12.75" customHeight="1">
      <c r="A283" s="48" t="s">
        <v>74</v>
      </c>
      <c r="B283" s="48" t="s">
        <v>25</v>
      </c>
      <c r="C283" s="48" t="s">
        <v>7</v>
      </c>
      <c r="D283" s="48" t="s">
        <v>54</v>
      </c>
      <c r="E283" s="48"/>
      <c r="F283" s="48">
        <v>33183.1</v>
      </c>
      <c r="G283" s="43"/>
      <c r="H283" s="43"/>
      <c r="I283" s="43"/>
      <c r="J283" s="43"/>
      <c r="K283" s="43"/>
      <c r="L283" s="43"/>
      <c r="M283" s="43"/>
      <c r="N283" s="43"/>
    </row>
    <row r="284" ht="12.75" customHeight="1">
      <c r="A284" s="48" t="s">
        <v>74</v>
      </c>
      <c r="B284" s="48" t="s">
        <v>25</v>
      </c>
      <c r="C284" s="48" t="s">
        <v>7</v>
      </c>
      <c r="D284" s="48" t="s">
        <v>50</v>
      </c>
      <c r="E284" s="48"/>
      <c r="F284" s="48">
        <v>6282.3</v>
      </c>
      <c r="G284" s="43"/>
      <c r="H284" s="43"/>
      <c r="I284" s="43"/>
      <c r="J284" s="43"/>
      <c r="K284" s="43"/>
      <c r="L284" s="43"/>
      <c r="M284" s="43"/>
      <c r="N284" s="43"/>
    </row>
    <row r="285" ht="12.75" customHeight="1">
      <c r="A285" s="48" t="s">
        <v>74</v>
      </c>
      <c r="B285" s="48" t="s">
        <v>25</v>
      </c>
      <c r="C285" s="48" t="s">
        <v>7</v>
      </c>
      <c r="D285" s="48" t="s">
        <v>50</v>
      </c>
      <c r="E285" s="48"/>
      <c r="F285" s="48">
        <v>8002.299999999999</v>
      </c>
      <c r="G285" s="43"/>
      <c r="H285" s="43"/>
      <c r="I285" s="43"/>
      <c r="J285" s="43"/>
      <c r="K285" s="43"/>
      <c r="L285" s="43"/>
      <c r="M285" s="43"/>
      <c r="N285" s="43"/>
    </row>
    <row r="286" ht="12.75" customHeight="1">
      <c r="A286" s="48" t="s">
        <v>74</v>
      </c>
      <c r="B286" s="48" t="s">
        <v>25</v>
      </c>
      <c r="C286" s="48" t="s">
        <v>7</v>
      </c>
      <c r="D286" s="48" t="s">
        <v>50</v>
      </c>
      <c r="E286" s="48"/>
      <c r="F286" s="48">
        <v>3358.2999999999997</v>
      </c>
      <c r="G286" s="43"/>
      <c r="H286" s="43"/>
      <c r="I286" s="43"/>
      <c r="J286" s="43"/>
      <c r="K286" s="43"/>
      <c r="L286" s="43"/>
      <c r="M286" s="43"/>
      <c r="N286" s="43"/>
    </row>
    <row r="287" ht="12.75" customHeight="1">
      <c r="A287" s="48" t="s">
        <v>74</v>
      </c>
      <c r="B287" s="48" t="s">
        <v>25</v>
      </c>
      <c r="C287" s="48" t="s">
        <v>7</v>
      </c>
      <c r="D287" s="48" t="s">
        <v>50</v>
      </c>
      <c r="E287" s="48"/>
      <c r="F287" s="48">
        <v>395.59999999999997</v>
      </c>
      <c r="G287" s="43"/>
      <c r="H287" s="43"/>
      <c r="I287" s="43"/>
      <c r="J287" s="43"/>
      <c r="K287" s="43"/>
      <c r="L287" s="43"/>
      <c r="M287" s="43"/>
      <c r="N287" s="43"/>
    </row>
    <row r="288" ht="12.75" customHeight="1">
      <c r="A288" s="48" t="s">
        <v>74</v>
      </c>
      <c r="B288" s="48" t="s">
        <v>25</v>
      </c>
      <c r="C288" s="48" t="s">
        <v>7</v>
      </c>
      <c r="D288" s="48" t="s">
        <v>50</v>
      </c>
      <c r="E288" s="48"/>
      <c r="F288" s="48">
        <v>7787.299999999999</v>
      </c>
      <c r="G288" s="43"/>
      <c r="H288" s="43"/>
      <c r="I288" s="43"/>
      <c r="J288" s="43"/>
      <c r="K288" s="43"/>
      <c r="L288" s="43"/>
      <c r="M288" s="43"/>
      <c r="N288" s="43"/>
    </row>
    <row r="289" ht="12.75" customHeight="1">
      <c r="A289" s="48" t="s">
        <v>74</v>
      </c>
      <c r="B289" s="48" t="s">
        <v>25</v>
      </c>
      <c r="C289" s="48" t="s">
        <v>7</v>
      </c>
      <c r="D289" s="48" t="s">
        <v>50</v>
      </c>
      <c r="E289" s="48"/>
      <c r="F289" s="48">
        <v>4355.9</v>
      </c>
      <c r="G289" s="43"/>
      <c r="H289" s="43"/>
      <c r="I289" s="43"/>
      <c r="J289" s="43"/>
      <c r="K289" s="43"/>
      <c r="L289" s="43"/>
      <c r="M289" s="43"/>
      <c r="N289" s="43"/>
    </row>
    <row r="290" ht="12.75" customHeight="1">
      <c r="A290" s="48" t="s">
        <v>74</v>
      </c>
      <c r="B290" s="48" t="s">
        <v>25</v>
      </c>
      <c r="C290" s="48" t="s">
        <v>7</v>
      </c>
      <c r="D290" s="48" t="s">
        <v>47</v>
      </c>
      <c r="E290" s="48"/>
      <c r="F290" s="48">
        <v>322.5</v>
      </c>
      <c r="G290" s="43"/>
      <c r="H290" s="43"/>
      <c r="I290" s="43"/>
      <c r="J290" s="43"/>
      <c r="K290" s="43"/>
      <c r="L290" s="43"/>
      <c r="M290" s="43"/>
      <c r="N290" s="43"/>
    </row>
    <row r="291" ht="12.75" customHeight="1">
      <c r="A291" s="48" t="s">
        <v>74</v>
      </c>
      <c r="B291" s="48" t="s">
        <v>27</v>
      </c>
      <c r="C291" s="48" t="s">
        <v>79</v>
      </c>
      <c r="D291" s="48" t="s">
        <v>52</v>
      </c>
      <c r="E291" s="48"/>
      <c r="F291" s="48">
        <v>5736.2</v>
      </c>
      <c r="G291" s="43"/>
      <c r="H291" s="43"/>
      <c r="I291" s="43"/>
      <c r="J291" s="43"/>
      <c r="K291" s="43"/>
      <c r="L291" s="43"/>
      <c r="M291" s="43"/>
      <c r="N291" s="43"/>
    </row>
    <row r="292" ht="12.75" customHeight="1">
      <c r="A292" s="48" t="s">
        <v>74</v>
      </c>
      <c r="B292" s="48" t="s">
        <v>27</v>
      </c>
      <c r="C292" s="48" t="s">
        <v>79</v>
      </c>
      <c r="D292" s="48" t="s">
        <v>54</v>
      </c>
      <c r="E292" s="48"/>
      <c r="F292" s="48">
        <v>21792.399999999998</v>
      </c>
      <c r="G292" s="43"/>
      <c r="H292" s="43"/>
      <c r="I292" s="43"/>
      <c r="J292" s="43"/>
      <c r="K292" s="43"/>
      <c r="L292" s="43"/>
      <c r="M292" s="43"/>
      <c r="N292" s="43"/>
    </row>
    <row r="293" ht="12.75" customHeight="1">
      <c r="A293" s="48" t="s">
        <v>74</v>
      </c>
      <c r="B293" s="48" t="s">
        <v>27</v>
      </c>
      <c r="C293" s="48" t="s">
        <v>79</v>
      </c>
      <c r="D293" s="48" t="s">
        <v>50</v>
      </c>
      <c r="E293" s="48"/>
      <c r="F293" s="48">
        <v>4454.8</v>
      </c>
      <c r="G293" s="43"/>
      <c r="H293" s="43"/>
      <c r="I293" s="43"/>
      <c r="J293" s="43"/>
      <c r="K293" s="43"/>
      <c r="L293" s="43"/>
      <c r="M293" s="43"/>
      <c r="N293" s="43"/>
    </row>
    <row r="294" ht="12.75" customHeight="1">
      <c r="A294" s="48" t="s">
        <v>74</v>
      </c>
      <c r="B294" s="48" t="s">
        <v>27</v>
      </c>
      <c r="C294" s="48" t="s">
        <v>79</v>
      </c>
      <c r="D294" s="48" t="s">
        <v>50</v>
      </c>
      <c r="E294" s="48"/>
      <c r="F294" s="48">
        <v>7727.099999999999</v>
      </c>
      <c r="G294" s="43"/>
      <c r="H294" s="43"/>
      <c r="I294" s="43"/>
      <c r="J294" s="43"/>
      <c r="K294" s="43"/>
      <c r="L294" s="43"/>
      <c r="M294" s="43"/>
      <c r="N294" s="43"/>
    </row>
    <row r="295" ht="12.75" customHeight="1">
      <c r="A295" s="48" t="s">
        <v>74</v>
      </c>
      <c r="B295" s="48" t="s">
        <v>27</v>
      </c>
      <c r="C295" s="48" t="s">
        <v>79</v>
      </c>
      <c r="D295" s="48" t="s">
        <v>50</v>
      </c>
      <c r="E295" s="48"/>
      <c r="F295" s="48">
        <v>8922.5</v>
      </c>
      <c r="G295" s="43"/>
      <c r="H295" s="43"/>
      <c r="I295" s="43"/>
      <c r="J295" s="43"/>
      <c r="K295" s="43"/>
      <c r="L295" s="43"/>
      <c r="M295" s="43"/>
      <c r="N295" s="43"/>
    </row>
    <row r="296" ht="12.75" customHeight="1">
      <c r="A296" s="48" t="s">
        <v>74</v>
      </c>
      <c r="B296" s="48" t="s">
        <v>27</v>
      </c>
      <c r="C296" s="48" t="s">
        <v>78</v>
      </c>
      <c r="D296" s="48" t="s">
        <v>52</v>
      </c>
      <c r="E296" s="48"/>
      <c r="F296" s="48">
        <v>9829.8</v>
      </c>
      <c r="G296" s="43"/>
      <c r="H296" s="43"/>
      <c r="I296" s="43"/>
      <c r="J296" s="43"/>
      <c r="K296" s="43"/>
      <c r="L296" s="43"/>
      <c r="M296" s="43"/>
      <c r="N296" s="43"/>
    </row>
    <row r="297" ht="12.75" customHeight="1">
      <c r="A297" s="48" t="s">
        <v>74</v>
      </c>
      <c r="B297" s="48" t="s">
        <v>27</v>
      </c>
      <c r="C297" s="48" t="s">
        <v>78</v>
      </c>
      <c r="D297" s="48" t="s">
        <v>52</v>
      </c>
      <c r="E297" s="48"/>
      <c r="F297" s="48">
        <v>7370.2</v>
      </c>
      <c r="G297" s="43"/>
      <c r="H297" s="43"/>
      <c r="I297" s="43"/>
      <c r="J297" s="43"/>
      <c r="K297" s="43"/>
      <c r="L297" s="43"/>
      <c r="M297" s="43"/>
      <c r="N297" s="43"/>
    </row>
    <row r="298" ht="12.75" customHeight="1">
      <c r="A298" s="48" t="s">
        <v>74</v>
      </c>
      <c r="B298" s="48" t="s">
        <v>27</v>
      </c>
      <c r="C298" s="48" t="s">
        <v>78</v>
      </c>
      <c r="D298" s="48" t="s">
        <v>52</v>
      </c>
      <c r="E298" s="48"/>
      <c r="F298" s="48">
        <v>9829.8</v>
      </c>
      <c r="G298" s="43"/>
      <c r="H298" s="43"/>
      <c r="I298" s="43"/>
      <c r="J298" s="43"/>
      <c r="K298" s="43"/>
      <c r="L298" s="43"/>
      <c r="M298" s="43"/>
      <c r="N298" s="43"/>
    </row>
    <row r="299" ht="12.75" customHeight="1">
      <c r="A299" s="48" t="s">
        <v>74</v>
      </c>
      <c r="B299" s="48" t="s">
        <v>27</v>
      </c>
      <c r="C299" s="48" t="s">
        <v>78</v>
      </c>
      <c r="D299" s="48" t="s">
        <v>52</v>
      </c>
      <c r="E299" s="48"/>
      <c r="F299" s="48">
        <v>29485.1</v>
      </c>
      <c r="G299" s="43"/>
      <c r="H299" s="43"/>
      <c r="I299" s="43"/>
      <c r="J299" s="43"/>
      <c r="K299" s="43"/>
      <c r="L299" s="43"/>
      <c r="M299" s="43"/>
      <c r="N299" s="43"/>
    </row>
    <row r="300" ht="12.75" customHeight="1">
      <c r="A300" s="48" t="s">
        <v>74</v>
      </c>
      <c r="B300" s="48" t="s">
        <v>27</v>
      </c>
      <c r="C300" s="48" t="s">
        <v>78</v>
      </c>
      <c r="D300" s="48" t="s">
        <v>52</v>
      </c>
      <c r="E300" s="48"/>
      <c r="F300" s="48">
        <v>7370.2</v>
      </c>
      <c r="G300" s="43"/>
      <c r="H300" s="43"/>
      <c r="I300" s="43"/>
      <c r="J300" s="43"/>
      <c r="K300" s="43"/>
      <c r="L300" s="43"/>
      <c r="M300" s="43"/>
      <c r="N300" s="43"/>
    </row>
    <row r="301" ht="12.75" customHeight="1">
      <c r="A301" s="48" t="s">
        <v>74</v>
      </c>
      <c r="B301" s="48" t="s">
        <v>27</v>
      </c>
      <c r="C301" s="48" t="s">
        <v>78</v>
      </c>
      <c r="D301" s="48" t="s">
        <v>52</v>
      </c>
      <c r="E301" s="48"/>
      <c r="F301" s="48">
        <v>7370.2</v>
      </c>
      <c r="G301" s="43"/>
      <c r="H301" s="43"/>
      <c r="I301" s="43"/>
      <c r="J301" s="43"/>
      <c r="K301" s="43"/>
      <c r="L301" s="43"/>
      <c r="M301" s="43"/>
      <c r="N301" s="43"/>
    </row>
    <row r="302" ht="12.75" customHeight="1">
      <c r="A302" s="48" t="s">
        <v>74</v>
      </c>
      <c r="B302" s="48" t="s">
        <v>27</v>
      </c>
      <c r="C302" s="48" t="s">
        <v>78</v>
      </c>
      <c r="D302" s="48" t="s">
        <v>52</v>
      </c>
      <c r="E302" s="48"/>
      <c r="F302" s="48">
        <v>9829.8</v>
      </c>
      <c r="G302" s="43"/>
      <c r="H302" s="43"/>
      <c r="I302" s="43"/>
      <c r="J302" s="43"/>
      <c r="K302" s="43"/>
      <c r="L302" s="43"/>
      <c r="M302" s="43"/>
      <c r="N302" s="43"/>
    </row>
    <row r="303" ht="12.75" customHeight="1">
      <c r="A303" s="48" t="s">
        <v>74</v>
      </c>
      <c r="B303" s="48" t="s">
        <v>27</v>
      </c>
      <c r="C303" s="48" t="s">
        <v>78</v>
      </c>
      <c r="D303" s="48" t="s">
        <v>52</v>
      </c>
      <c r="E303" s="48"/>
      <c r="F303" s="48">
        <v>8600.0</v>
      </c>
      <c r="G303" s="43"/>
      <c r="H303" s="43"/>
      <c r="I303" s="43"/>
      <c r="J303" s="43"/>
      <c r="K303" s="43"/>
      <c r="L303" s="43"/>
      <c r="M303" s="43"/>
      <c r="N303" s="43"/>
    </row>
    <row r="304" ht="12.75" customHeight="1">
      <c r="A304" s="48" t="s">
        <v>74</v>
      </c>
      <c r="B304" s="48" t="s">
        <v>27</v>
      </c>
      <c r="C304" s="48" t="s">
        <v>78</v>
      </c>
      <c r="D304" s="48" t="s">
        <v>52</v>
      </c>
      <c r="E304" s="48"/>
      <c r="F304" s="48">
        <v>14744.699999999999</v>
      </c>
      <c r="G304" s="43"/>
      <c r="H304" s="43"/>
      <c r="I304" s="43"/>
      <c r="J304" s="43"/>
      <c r="K304" s="43"/>
      <c r="L304" s="43"/>
      <c r="M304" s="43"/>
      <c r="N304" s="43"/>
    </row>
    <row r="305" ht="12.75" customHeight="1">
      <c r="A305" s="48" t="s">
        <v>74</v>
      </c>
      <c r="B305" s="48" t="s">
        <v>27</v>
      </c>
      <c r="C305" s="48" t="s">
        <v>78</v>
      </c>
      <c r="D305" s="48" t="s">
        <v>53</v>
      </c>
      <c r="E305" s="48"/>
      <c r="F305" s="48">
        <v>1238.3999999999999</v>
      </c>
      <c r="G305" s="43"/>
      <c r="H305" s="43"/>
      <c r="I305" s="43"/>
      <c r="J305" s="43"/>
      <c r="K305" s="43"/>
      <c r="L305" s="43"/>
      <c r="M305" s="43"/>
      <c r="N305" s="43"/>
    </row>
    <row r="306" ht="12.75" customHeight="1">
      <c r="A306" s="48" t="s">
        <v>74</v>
      </c>
      <c r="B306" s="48" t="s">
        <v>27</v>
      </c>
      <c r="C306" s="48" t="s">
        <v>78</v>
      </c>
      <c r="D306" s="48" t="s">
        <v>53</v>
      </c>
      <c r="E306" s="48"/>
      <c r="F306" s="48">
        <v>-9503.0</v>
      </c>
      <c r="G306" s="43"/>
      <c r="H306" s="43"/>
      <c r="I306" s="43"/>
      <c r="J306" s="43"/>
      <c r="K306" s="43"/>
      <c r="L306" s="43"/>
      <c r="M306" s="43"/>
      <c r="N306" s="43"/>
    </row>
    <row r="307" ht="12.75" customHeight="1">
      <c r="A307" s="48" t="s">
        <v>74</v>
      </c>
      <c r="B307" s="48" t="s">
        <v>27</v>
      </c>
      <c r="C307" s="48" t="s">
        <v>78</v>
      </c>
      <c r="D307" s="48" t="s">
        <v>58</v>
      </c>
      <c r="E307" s="48"/>
      <c r="F307" s="48">
        <v>23443.6</v>
      </c>
      <c r="G307" s="43"/>
      <c r="H307" s="43"/>
      <c r="I307" s="43"/>
      <c r="J307" s="43"/>
      <c r="K307" s="43"/>
      <c r="L307" s="43"/>
      <c r="M307" s="43"/>
      <c r="N307" s="43"/>
    </row>
    <row r="308" ht="12.75" customHeight="1">
      <c r="A308" s="48" t="s">
        <v>74</v>
      </c>
      <c r="B308" s="48" t="s">
        <v>27</v>
      </c>
      <c r="C308" s="48" t="s">
        <v>78</v>
      </c>
      <c r="D308" s="48" t="s">
        <v>54</v>
      </c>
      <c r="E308" s="48"/>
      <c r="F308" s="48">
        <v>119871.09999999999</v>
      </c>
      <c r="G308" s="43"/>
      <c r="H308" s="43"/>
      <c r="I308" s="43"/>
      <c r="J308" s="43"/>
      <c r="K308" s="43"/>
      <c r="L308" s="43"/>
      <c r="M308" s="43"/>
      <c r="N308" s="43"/>
    </row>
    <row r="309" ht="12.75" customHeight="1">
      <c r="A309" s="48" t="s">
        <v>74</v>
      </c>
      <c r="B309" s="48" t="s">
        <v>27</v>
      </c>
      <c r="C309" s="48" t="s">
        <v>78</v>
      </c>
      <c r="D309" s="48" t="s">
        <v>50</v>
      </c>
      <c r="E309" s="48"/>
      <c r="F309" s="48">
        <v>3203.5</v>
      </c>
      <c r="G309" s="43"/>
      <c r="H309" s="43"/>
      <c r="I309" s="43"/>
      <c r="J309" s="43"/>
      <c r="K309" s="43"/>
      <c r="L309" s="43"/>
      <c r="M309" s="43"/>
      <c r="N309" s="43"/>
    </row>
    <row r="310" ht="12.75" customHeight="1">
      <c r="A310" s="48" t="s">
        <v>74</v>
      </c>
      <c r="B310" s="48" t="s">
        <v>27</v>
      </c>
      <c r="C310" s="48" t="s">
        <v>78</v>
      </c>
      <c r="D310" s="48" t="s">
        <v>50</v>
      </c>
      <c r="E310" s="48"/>
      <c r="F310" s="48">
        <v>9137.5</v>
      </c>
      <c r="G310" s="43"/>
      <c r="H310" s="43"/>
      <c r="I310" s="43"/>
      <c r="J310" s="43"/>
      <c r="K310" s="43"/>
      <c r="L310" s="43"/>
      <c r="M310" s="43"/>
      <c r="N310" s="43"/>
    </row>
    <row r="311" ht="12.75" customHeight="1">
      <c r="A311" s="48" t="s">
        <v>74</v>
      </c>
      <c r="B311" s="48" t="s">
        <v>27</v>
      </c>
      <c r="C311" s="48" t="s">
        <v>78</v>
      </c>
      <c r="D311" s="48" t="s">
        <v>50</v>
      </c>
      <c r="E311" s="48"/>
      <c r="F311" s="48">
        <v>8853.699999999999</v>
      </c>
      <c r="G311" s="43"/>
      <c r="H311" s="43"/>
      <c r="I311" s="43"/>
      <c r="J311" s="43"/>
      <c r="K311" s="43"/>
      <c r="L311" s="43"/>
      <c r="M311" s="43"/>
      <c r="N311" s="43"/>
    </row>
    <row r="312" ht="12.75" customHeight="1">
      <c r="A312" s="48" t="s">
        <v>74</v>
      </c>
      <c r="B312" s="48" t="s">
        <v>27</v>
      </c>
      <c r="C312" s="48" t="s">
        <v>78</v>
      </c>
      <c r="D312" s="48" t="s">
        <v>50</v>
      </c>
      <c r="E312" s="48"/>
      <c r="F312" s="48">
        <v>1965.1</v>
      </c>
      <c r="G312" s="43"/>
      <c r="H312" s="43"/>
      <c r="I312" s="43"/>
      <c r="J312" s="43"/>
      <c r="K312" s="43"/>
      <c r="L312" s="43"/>
      <c r="M312" s="43"/>
      <c r="N312" s="43"/>
    </row>
    <row r="313" ht="12.75" customHeight="1">
      <c r="A313" s="48" t="s">
        <v>74</v>
      </c>
      <c r="B313" s="48" t="s">
        <v>27</v>
      </c>
      <c r="C313" s="48" t="s">
        <v>78</v>
      </c>
      <c r="D313" s="48" t="s">
        <v>50</v>
      </c>
      <c r="E313" s="48"/>
      <c r="F313" s="48">
        <v>11893.8</v>
      </c>
      <c r="G313" s="43"/>
      <c r="H313" s="43"/>
      <c r="I313" s="43"/>
      <c r="J313" s="43"/>
      <c r="K313" s="43"/>
      <c r="L313" s="43"/>
      <c r="M313" s="43"/>
      <c r="N313" s="43"/>
    </row>
    <row r="314" ht="12.75" customHeight="1">
      <c r="A314" s="48" t="s">
        <v>74</v>
      </c>
      <c r="B314" s="48" t="s">
        <v>27</v>
      </c>
      <c r="C314" s="48" t="s">
        <v>78</v>
      </c>
      <c r="D314" s="48" t="s">
        <v>50</v>
      </c>
      <c r="E314" s="48"/>
      <c r="F314" s="48">
        <v>24621.8</v>
      </c>
      <c r="G314" s="43"/>
      <c r="H314" s="43"/>
      <c r="I314" s="43"/>
      <c r="J314" s="43"/>
      <c r="K314" s="43"/>
      <c r="L314" s="43"/>
      <c r="M314" s="43"/>
      <c r="N314" s="43"/>
    </row>
    <row r="315" ht="12.75" customHeight="1">
      <c r="A315" s="48" t="s">
        <v>74</v>
      </c>
      <c r="B315" s="48" t="s">
        <v>27</v>
      </c>
      <c r="C315" s="48" t="s">
        <v>78</v>
      </c>
      <c r="D315" s="48" t="s">
        <v>50</v>
      </c>
      <c r="E315" s="48"/>
      <c r="F315" s="48">
        <v>11433.699999999999</v>
      </c>
      <c r="G315" s="43"/>
      <c r="H315" s="43"/>
      <c r="I315" s="43"/>
      <c r="J315" s="43"/>
      <c r="K315" s="43"/>
      <c r="L315" s="43"/>
      <c r="M315" s="43"/>
      <c r="N315" s="43"/>
    </row>
    <row r="316" ht="12.75" customHeight="1">
      <c r="A316" s="48" t="s">
        <v>74</v>
      </c>
      <c r="B316" s="48" t="s">
        <v>27</v>
      </c>
      <c r="C316" s="48" t="s">
        <v>78</v>
      </c>
      <c r="D316" s="48" t="s">
        <v>50</v>
      </c>
      <c r="E316" s="48"/>
      <c r="F316" s="48">
        <v>9103.1</v>
      </c>
      <c r="G316" s="43"/>
      <c r="H316" s="43"/>
      <c r="I316" s="43"/>
      <c r="J316" s="43"/>
      <c r="K316" s="43"/>
      <c r="L316" s="43"/>
      <c r="M316" s="43"/>
      <c r="N316" s="43"/>
    </row>
    <row r="317" ht="12.75" customHeight="1">
      <c r="A317" s="48" t="s">
        <v>74</v>
      </c>
      <c r="B317" s="48" t="s">
        <v>27</v>
      </c>
      <c r="C317" s="48" t="s">
        <v>78</v>
      </c>
      <c r="D317" s="48" t="s">
        <v>50</v>
      </c>
      <c r="E317" s="48"/>
      <c r="F317" s="48">
        <v>9937.3</v>
      </c>
      <c r="G317" s="43"/>
      <c r="H317" s="43"/>
      <c r="I317" s="43"/>
      <c r="J317" s="43"/>
      <c r="K317" s="43"/>
      <c r="L317" s="43"/>
      <c r="M317" s="43"/>
      <c r="N317" s="43"/>
    </row>
    <row r="318" ht="12.75" customHeight="1">
      <c r="A318" s="48" t="s">
        <v>74</v>
      </c>
      <c r="B318" s="48" t="s">
        <v>27</v>
      </c>
      <c r="C318" s="48" t="s">
        <v>78</v>
      </c>
      <c r="D318" s="48" t="s">
        <v>50</v>
      </c>
      <c r="E318" s="48"/>
      <c r="F318" s="48">
        <v>9030.0</v>
      </c>
      <c r="G318" s="43"/>
      <c r="H318" s="43"/>
      <c r="I318" s="43"/>
      <c r="J318" s="43"/>
      <c r="K318" s="43"/>
      <c r="L318" s="43"/>
      <c r="M318" s="43"/>
      <c r="N318" s="43"/>
    </row>
    <row r="319" ht="12.75" customHeight="1">
      <c r="A319" s="48" t="s">
        <v>74</v>
      </c>
      <c r="B319" s="48" t="s">
        <v>27</v>
      </c>
      <c r="C319" s="48" t="s">
        <v>78</v>
      </c>
      <c r="D319" s="48" t="s">
        <v>50</v>
      </c>
      <c r="E319" s="48"/>
      <c r="F319" s="48">
        <v>7946.4</v>
      </c>
      <c r="G319" s="43"/>
      <c r="H319" s="43"/>
      <c r="I319" s="43"/>
      <c r="J319" s="43"/>
      <c r="K319" s="43"/>
      <c r="L319" s="43"/>
      <c r="M319" s="43"/>
      <c r="N319" s="43"/>
    </row>
    <row r="320" ht="12.75" customHeight="1">
      <c r="A320" s="48" t="s">
        <v>74</v>
      </c>
      <c r="B320" s="48" t="s">
        <v>27</v>
      </c>
      <c r="C320" s="48" t="s">
        <v>78</v>
      </c>
      <c r="D320" s="48" t="s">
        <v>50</v>
      </c>
      <c r="E320" s="48"/>
      <c r="F320" s="48">
        <v>1973.6999999999998</v>
      </c>
      <c r="G320" s="43"/>
      <c r="H320" s="43"/>
      <c r="I320" s="43"/>
      <c r="J320" s="43"/>
      <c r="K320" s="43"/>
      <c r="L320" s="43"/>
      <c r="M320" s="43"/>
      <c r="N320" s="43"/>
    </row>
    <row r="321" ht="12.75" customHeight="1">
      <c r="A321" s="48" t="s">
        <v>74</v>
      </c>
      <c r="B321" s="48" t="s">
        <v>27</v>
      </c>
      <c r="C321" s="48" t="s">
        <v>78</v>
      </c>
      <c r="D321" s="48" t="s">
        <v>50</v>
      </c>
      <c r="E321" s="48"/>
      <c r="F321" s="48">
        <v>98.89999999999999</v>
      </c>
      <c r="G321" s="43"/>
      <c r="H321" s="43"/>
      <c r="I321" s="43"/>
      <c r="J321" s="43"/>
      <c r="K321" s="43"/>
      <c r="L321" s="43"/>
      <c r="M321" s="43"/>
      <c r="N321" s="43"/>
    </row>
    <row r="322" ht="12.75" customHeight="1">
      <c r="A322" s="48" t="s">
        <v>74</v>
      </c>
      <c r="B322" s="48" t="s">
        <v>27</v>
      </c>
      <c r="C322" s="48" t="s">
        <v>78</v>
      </c>
      <c r="D322" s="48" t="s">
        <v>50</v>
      </c>
      <c r="E322" s="48"/>
      <c r="F322" s="48">
        <v>13777.199999999999</v>
      </c>
      <c r="G322" s="43"/>
      <c r="H322" s="43"/>
      <c r="I322" s="43"/>
      <c r="J322" s="43"/>
      <c r="K322" s="43"/>
      <c r="L322" s="43"/>
      <c r="M322" s="43"/>
      <c r="N322" s="43"/>
    </row>
    <row r="323" ht="12.75" customHeight="1">
      <c r="A323" s="48" t="s">
        <v>74</v>
      </c>
      <c r="B323" s="48" t="s">
        <v>27</v>
      </c>
      <c r="C323" s="48" t="s">
        <v>78</v>
      </c>
      <c r="D323" s="48" t="s">
        <v>50</v>
      </c>
      <c r="E323" s="48"/>
      <c r="F323" s="48">
        <v>13355.8</v>
      </c>
      <c r="G323" s="43"/>
      <c r="H323" s="43"/>
      <c r="I323" s="43"/>
      <c r="J323" s="43"/>
      <c r="K323" s="43"/>
      <c r="L323" s="43"/>
      <c r="M323" s="43"/>
      <c r="N323" s="43"/>
    </row>
    <row r="324" ht="12.75" customHeight="1">
      <c r="A324" s="48" t="s">
        <v>74</v>
      </c>
      <c r="B324" s="48" t="s">
        <v>27</v>
      </c>
      <c r="C324" s="48" t="s">
        <v>78</v>
      </c>
      <c r="D324" s="48" t="s">
        <v>47</v>
      </c>
      <c r="E324" s="48"/>
      <c r="F324" s="48">
        <v>6471.5</v>
      </c>
      <c r="G324" s="43"/>
      <c r="H324" s="43"/>
      <c r="I324" s="43"/>
      <c r="J324" s="43"/>
      <c r="K324" s="43"/>
      <c r="L324" s="43"/>
      <c r="M324" s="43"/>
      <c r="N324" s="43"/>
    </row>
    <row r="325" ht="12.75" customHeight="1">
      <c r="A325" s="48" t="s">
        <v>74</v>
      </c>
      <c r="B325" s="48" t="s">
        <v>27</v>
      </c>
      <c r="C325" s="48" t="s">
        <v>78</v>
      </c>
      <c r="D325" s="48" t="s">
        <v>47</v>
      </c>
      <c r="E325" s="48"/>
      <c r="F325" s="48">
        <v>34146.299999999996</v>
      </c>
      <c r="G325" s="43"/>
      <c r="H325" s="43"/>
      <c r="I325" s="43"/>
      <c r="J325" s="43"/>
      <c r="K325" s="43"/>
      <c r="L325" s="43"/>
      <c r="M325" s="43"/>
      <c r="N325" s="43"/>
    </row>
    <row r="326" ht="12.75" customHeight="1">
      <c r="A326" s="48" t="s">
        <v>74</v>
      </c>
      <c r="B326" s="48" t="s">
        <v>27</v>
      </c>
      <c r="C326" s="48" t="s">
        <v>78</v>
      </c>
      <c r="D326" s="48" t="s">
        <v>47</v>
      </c>
      <c r="E326" s="48"/>
      <c r="F326" s="48">
        <v>21087.2</v>
      </c>
      <c r="G326" s="43"/>
      <c r="H326" s="43"/>
      <c r="I326" s="43"/>
      <c r="J326" s="43"/>
      <c r="K326" s="43"/>
      <c r="L326" s="43"/>
      <c r="M326" s="43"/>
      <c r="N326" s="43"/>
    </row>
    <row r="327" ht="12.75" customHeight="1">
      <c r="A327" s="48" t="s">
        <v>74</v>
      </c>
      <c r="B327" s="48" t="s">
        <v>27</v>
      </c>
      <c r="C327" s="48" t="s">
        <v>78</v>
      </c>
      <c r="D327" s="48" t="s">
        <v>47</v>
      </c>
      <c r="E327" s="48"/>
      <c r="F327" s="48">
        <v>3117.5</v>
      </c>
      <c r="G327" s="43"/>
      <c r="H327" s="43"/>
      <c r="I327" s="43"/>
      <c r="J327" s="43"/>
      <c r="K327" s="43"/>
      <c r="L327" s="43"/>
      <c r="M327" s="43"/>
      <c r="N327" s="43"/>
    </row>
    <row r="328" ht="12.75" customHeight="1">
      <c r="A328" s="48" t="s">
        <v>74</v>
      </c>
      <c r="B328" s="48" t="s">
        <v>27</v>
      </c>
      <c r="C328" s="48" t="s">
        <v>78</v>
      </c>
      <c r="D328" s="48" t="s">
        <v>47</v>
      </c>
      <c r="E328" s="48"/>
      <c r="F328" s="48">
        <v>4644.0</v>
      </c>
      <c r="G328" s="43"/>
      <c r="H328" s="43"/>
      <c r="I328" s="43"/>
      <c r="J328" s="43"/>
      <c r="K328" s="43"/>
      <c r="L328" s="43"/>
      <c r="M328" s="43"/>
      <c r="N328" s="43"/>
    </row>
    <row r="329" ht="12.75" customHeight="1">
      <c r="A329" s="48" t="s">
        <v>74</v>
      </c>
      <c r="B329" s="48" t="s">
        <v>25</v>
      </c>
      <c r="C329" s="48" t="s">
        <v>75</v>
      </c>
      <c r="D329" s="48" t="s">
        <v>8</v>
      </c>
      <c r="E329" s="48"/>
      <c r="F329" s="48">
        <v>0.0</v>
      </c>
      <c r="G329" s="43"/>
      <c r="H329" s="43"/>
      <c r="I329" s="43"/>
      <c r="J329" s="43"/>
      <c r="K329" s="43"/>
      <c r="L329" s="43"/>
      <c r="M329" s="43"/>
      <c r="N329" s="43"/>
    </row>
    <row r="330" ht="12.75" customHeight="1">
      <c r="A330" s="48" t="s">
        <v>74</v>
      </c>
      <c r="B330" s="48" t="s">
        <v>25</v>
      </c>
      <c r="C330" s="48" t="s">
        <v>75</v>
      </c>
      <c r="D330" s="48" t="s">
        <v>8</v>
      </c>
      <c r="E330" s="48"/>
      <c r="F330" s="48">
        <v>0.0</v>
      </c>
      <c r="G330" s="43"/>
      <c r="H330" s="43"/>
      <c r="I330" s="43"/>
      <c r="J330" s="43"/>
      <c r="K330" s="43"/>
      <c r="L330" s="43"/>
      <c r="M330" s="43"/>
      <c r="N330" s="43"/>
    </row>
    <row r="331" ht="12.75" customHeight="1">
      <c r="A331" s="48" t="s">
        <v>74</v>
      </c>
      <c r="B331" s="48" t="s">
        <v>25</v>
      </c>
      <c r="C331" s="48" t="s">
        <v>75</v>
      </c>
      <c r="D331" s="48" t="s">
        <v>8</v>
      </c>
      <c r="E331" s="48"/>
      <c r="F331" s="48">
        <v>108970.59999999999</v>
      </c>
      <c r="G331" s="43"/>
      <c r="H331" s="43"/>
      <c r="I331" s="43"/>
      <c r="J331" s="43"/>
      <c r="K331" s="43"/>
      <c r="L331" s="43"/>
      <c r="M331" s="43"/>
      <c r="N331" s="43"/>
    </row>
    <row r="332" ht="12.75" customHeight="1">
      <c r="A332" s="48" t="s">
        <v>74</v>
      </c>
      <c r="B332" s="48" t="s">
        <v>25</v>
      </c>
      <c r="C332" s="48" t="s">
        <v>75</v>
      </c>
      <c r="D332" s="48" t="s">
        <v>8</v>
      </c>
      <c r="E332" s="48"/>
      <c r="F332" s="48">
        <v>0.0</v>
      </c>
      <c r="G332" s="43"/>
      <c r="H332" s="43"/>
      <c r="I332" s="43"/>
      <c r="J332" s="43"/>
      <c r="K332" s="43"/>
      <c r="L332" s="43"/>
      <c r="M332" s="43"/>
      <c r="N332" s="43"/>
    </row>
    <row r="333" ht="12.75" customHeight="1">
      <c r="A333" s="48" t="s">
        <v>74</v>
      </c>
      <c r="B333" s="48" t="s">
        <v>25</v>
      </c>
      <c r="C333" s="48" t="s">
        <v>75</v>
      </c>
      <c r="D333" s="48" t="s">
        <v>8</v>
      </c>
      <c r="E333" s="48"/>
      <c r="F333" s="48">
        <v>0.0</v>
      </c>
      <c r="G333" s="43"/>
      <c r="H333" s="43"/>
      <c r="I333" s="43"/>
      <c r="J333" s="43"/>
      <c r="K333" s="43"/>
      <c r="L333" s="43"/>
      <c r="M333" s="43"/>
      <c r="N333" s="43"/>
    </row>
    <row r="334" ht="12.75" customHeight="1">
      <c r="A334" s="48" t="s">
        <v>74</v>
      </c>
      <c r="B334" s="48" t="s">
        <v>25</v>
      </c>
      <c r="C334" s="48" t="s">
        <v>75</v>
      </c>
      <c r="D334" s="48" t="s">
        <v>8</v>
      </c>
      <c r="E334" s="48"/>
      <c r="F334" s="48">
        <v>0.0</v>
      </c>
      <c r="G334" s="43"/>
      <c r="H334" s="43"/>
      <c r="I334" s="43"/>
      <c r="J334" s="43"/>
      <c r="K334" s="43"/>
      <c r="L334" s="43"/>
      <c r="M334" s="43"/>
      <c r="N334" s="43"/>
    </row>
    <row r="335" ht="12.75" customHeight="1">
      <c r="A335" s="48" t="s">
        <v>74</v>
      </c>
      <c r="B335" s="48" t="s">
        <v>25</v>
      </c>
      <c r="C335" s="48" t="s">
        <v>75</v>
      </c>
      <c r="D335" s="48" t="s">
        <v>8</v>
      </c>
      <c r="E335" s="48"/>
      <c r="F335" s="48">
        <v>0.0</v>
      </c>
      <c r="G335" s="43"/>
      <c r="H335" s="43"/>
      <c r="I335" s="43"/>
      <c r="J335" s="43"/>
      <c r="K335" s="43"/>
      <c r="L335" s="43"/>
      <c r="M335" s="43"/>
      <c r="N335" s="43"/>
    </row>
    <row r="336" ht="12.75" customHeight="1">
      <c r="A336" s="48" t="s">
        <v>74</v>
      </c>
      <c r="B336" s="48" t="s">
        <v>25</v>
      </c>
      <c r="C336" s="48" t="s">
        <v>75</v>
      </c>
      <c r="D336" s="48" t="s">
        <v>8</v>
      </c>
      <c r="E336" s="48"/>
      <c r="F336" s="48">
        <v>0.0</v>
      </c>
      <c r="G336" s="43"/>
      <c r="H336" s="43"/>
      <c r="I336" s="43"/>
      <c r="J336" s="43"/>
      <c r="K336" s="43"/>
      <c r="L336" s="43"/>
      <c r="M336" s="43"/>
      <c r="N336" s="43"/>
    </row>
    <row r="337" ht="12.75" customHeight="1">
      <c r="A337" s="48" t="s">
        <v>74</v>
      </c>
      <c r="B337" s="48" t="s">
        <v>25</v>
      </c>
      <c r="C337" s="48" t="s">
        <v>75</v>
      </c>
      <c r="D337" s="48" t="s">
        <v>8</v>
      </c>
      <c r="E337" s="48"/>
      <c r="F337" s="48">
        <v>0.0</v>
      </c>
      <c r="G337" s="43"/>
      <c r="H337" s="43"/>
      <c r="I337" s="43"/>
      <c r="J337" s="43"/>
      <c r="K337" s="43"/>
      <c r="L337" s="43"/>
      <c r="M337" s="43"/>
      <c r="N337" s="43"/>
    </row>
    <row r="338" ht="12.75" customHeight="1">
      <c r="A338" s="48" t="s">
        <v>74</v>
      </c>
      <c r="B338" s="48" t="s">
        <v>25</v>
      </c>
      <c r="C338" s="48" t="s">
        <v>75</v>
      </c>
      <c r="D338" s="48" t="s">
        <v>8</v>
      </c>
      <c r="E338" s="48"/>
      <c r="F338" s="48">
        <v>0.0</v>
      </c>
      <c r="G338" s="43"/>
      <c r="H338" s="43"/>
      <c r="I338" s="43"/>
      <c r="J338" s="43"/>
      <c r="K338" s="43"/>
      <c r="L338" s="43"/>
      <c r="M338" s="43"/>
      <c r="N338" s="43"/>
    </row>
    <row r="339" ht="12.75" customHeight="1">
      <c r="A339" s="48" t="s">
        <v>74</v>
      </c>
      <c r="B339" s="48" t="s">
        <v>25</v>
      </c>
      <c r="C339" s="48" t="s">
        <v>75</v>
      </c>
      <c r="D339" s="48" t="s">
        <v>8</v>
      </c>
      <c r="E339" s="48"/>
      <c r="F339" s="48">
        <v>0.0</v>
      </c>
      <c r="G339" s="43"/>
      <c r="H339" s="43"/>
      <c r="I339" s="43"/>
      <c r="J339" s="43"/>
      <c r="K339" s="43"/>
      <c r="L339" s="43"/>
      <c r="M339" s="43"/>
      <c r="N339" s="43"/>
    </row>
    <row r="340" ht="12.75" customHeight="1">
      <c r="A340" s="48" t="s">
        <v>74</v>
      </c>
      <c r="B340" s="48" t="s">
        <v>25</v>
      </c>
      <c r="C340" s="48" t="s">
        <v>75</v>
      </c>
      <c r="D340" s="48" t="s">
        <v>8</v>
      </c>
      <c r="E340" s="48"/>
      <c r="F340" s="48">
        <v>0.0</v>
      </c>
      <c r="G340" s="43"/>
      <c r="H340" s="43"/>
      <c r="I340" s="43"/>
      <c r="J340" s="43"/>
      <c r="K340" s="43"/>
      <c r="L340" s="43"/>
      <c r="M340" s="43"/>
      <c r="N340" s="43"/>
    </row>
    <row r="341" ht="12.75" customHeight="1">
      <c r="A341" s="48" t="s">
        <v>74</v>
      </c>
      <c r="B341" s="48" t="s">
        <v>25</v>
      </c>
      <c r="C341" s="48" t="s">
        <v>75</v>
      </c>
      <c r="D341" s="48" t="s">
        <v>8</v>
      </c>
      <c r="E341" s="48"/>
      <c r="F341" s="48">
        <v>42922.6</v>
      </c>
      <c r="G341" s="43"/>
      <c r="H341" s="43"/>
      <c r="I341" s="43"/>
      <c r="J341" s="43"/>
      <c r="K341" s="43"/>
      <c r="L341" s="43"/>
      <c r="M341" s="43"/>
      <c r="N341" s="43"/>
    </row>
    <row r="342" ht="12.75" customHeight="1">
      <c r="A342" s="48" t="s">
        <v>74</v>
      </c>
      <c r="B342" s="48" t="s">
        <v>25</v>
      </c>
      <c r="C342" s="48" t="s">
        <v>75</v>
      </c>
      <c r="D342" s="48" t="s">
        <v>8</v>
      </c>
      <c r="E342" s="48"/>
      <c r="F342" s="48">
        <v>115480.79999999999</v>
      </c>
      <c r="G342" s="43"/>
      <c r="H342" s="43"/>
      <c r="I342" s="43"/>
      <c r="J342" s="43"/>
      <c r="K342" s="43"/>
      <c r="L342" s="43"/>
      <c r="M342" s="43"/>
      <c r="N342" s="43"/>
    </row>
    <row r="343" ht="12.75" customHeight="1">
      <c r="A343" s="48" t="s">
        <v>74</v>
      </c>
      <c r="B343" s="48" t="s">
        <v>25</v>
      </c>
      <c r="C343" s="48" t="s">
        <v>75</v>
      </c>
      <c r="D343" s="48" t="s">
        <v>8</v>
      </c>
      <c r="E343" s="48"/>
      <c r="F343" s="48">
        <v>0.0</v>
      </c>
      <c r="G343" s="43"/>
      <c r="H343" s="43"/>
      <c r="I343" s="43"/>
      <c r="J343" s="43"/>
      <c r="K343" s="43"/>
      <c r="L343" s="43"/>
      <c r="M343" s="43"/>
      <c r="N343" s="43"/>
    </row>
    <row r="344" ht="12.75" customHeight="1">
      <c r="A344" s="48" t="s">
        <v>74</v>
      </c>
      <c r="B344" s="48" t="s">
        <v>25</v>
      </c>
      <c r="C344" s="48" t="s">
        <v>75</v>
      </c>
      <c r="D344" s="48" t="s">
        <v>8</v>
      </c>
      <c r="E344" s="48"/>
      <c r="F344" s="48">
        <v>9584.699999999999</v>
      </c>
      <c r="G344" s="43"/>
      <c r="H344" s="43"/>
      <c r="I344" s="43"/>
      <c r="J344" s="43"/>
      <c r="K344" s="43"/>
      <c r="L344" s="43"/>
      <c r="M344" s="43"/>
      <c r="N344" s="43"/>
    </row>
    <row r="345" ht="12.75" customHeight="1">
      <c r="A345" s="48" t="s">
        <v>74</v>
      </c>
      <c r="B345" s="48" t="s">
        <v>25</v>
      </c>
      <c r="C345" s="48" t="s">
        <v>75</v>
      </c>
      <c r="D345" s="48" t="s">
        <v>8</v>
      </c>
      <c r="E345" s="48"/>
      <c r="F345" s="48">
        <v>6338.2</v>
      </c>
      <c r="G345" s="43"/>
      <c r="H345" s="43"/>
      <c r="I345" s="43"/>
      <c r="J345" s="43"/>
      <c r="K345" s="43"/>
      <c r="L345" s="43"/>
      <c r="M345" s="43"/>
      <c r="N345" s="43"/>
    </row>
    <row r="346" ht="12.75" customHeight="1">
      <c r="A346" s="48" t="s">
        <v>74</v>
      </c>
      <c r="B346" s="48" t="s">
        <v>25</v>
      </c>
      <c r="C346" s="48" t="s">
        <v>75</v>
      </c>
      <c r="D346" s="48" t="s">
        <v>8</v>
      </c>
      <c r="E346" s="48"/>
      <c r="F346" s="48">
        <v>0.0</v>
      </c>
      <c r="G346" s="43"/>
      <c r="H346" s="43"/>
      <c r="I346" s="43"/>
      <c r="J346" s="43"/>
      <c r="K346" s="43"/>
      <c r="L346" s="43"/>
      <c r="M346" s="43"/>
      <c r="N346" s="43"/>
    </row>
    <row r="347" ht="12.75" customHeight="1">
      <c r="A347" s="48" t="s">
        <v>74</v>
      </c>
      <c r="B347" s="48" t="s">
        <v>25</v>
      </c>
      <c r="C347" s="48" t="s">
        <v>75</v>
      </c>
      <c r="D347" s="48" t="s">
        <v>8</v>
      </c>
      <c r="E347" s="48"/>
      <c r="F347" s="48">
        <v>0.0</v>
      </c>
      <c r="G347" s="43"/>
      <c r="H347" s="43"/>
      <c r="I347" s="43"/>
      <c r="J347" s="43"/>
      <c r="K347" s="43"/>
      <c r="L347" s="43"/>
      <c r="M347" s="43"/>
      <c r="N347" s="43"/>
    </row>
    <row r="348" ht="12.75" customHeight="1">
      <c r="A348" s="48" t="s">
        <v>74</v>
      </c>
      <c r="B348" s="48" t="s">
        <v>25</v>
      </c>
      <c r="C348" s="48" t="s">
        <v>75</v>
      </c>
      <c r="D348" s="48" t="s">
        <v>8</v>
      </c>
      <c r="E348" s="48"/>
      <c r="F348" s="48">
        <v>0.0</v>
      </c>
      <c r="G348" s="43"/>
      <c r="H348" s="43"/>
      <c r="I348" s="43"/>
      <c r="J348" s="43"/>
      <c r="K348" s="43"/>
      <c r="L348" s="43"/>
      <c r="M348" s="43"/>
      <c r="N348" s="43"/>
    </row>
    <row r="349" ht="12.75" customHeight="1">
      <c r="A349" s="48" t="s">
        <v>74</v>
      </c>
      <c r="B349" s="48" t="s">
        <v>25</v>
      </c>
      <c r="C349" s="48" t="s">
        <v>75</v>
      </c>
      <c r="D349" s="48" t="s">
        <v>8</v>
      </c>
      <c r="E349" s="48"/>
      <c r="F349" s="48">
        <v>0.0</v>
      </c>
      <c r="G349" s="43"/>
      <c r="H349" s="43"/>
      <c r="I349" s="43"/>
      <c r="J349" s="43"/>
      <c r="K349" s="43"/>
      <c r="L349" s="43"/>
      <c r="M349" s="43"/>
      <c r="N349" s="43"/>
    </row>
    <row r="350" ht="12.75" customHeight="1">
      <c r="A350" s="48" t="s">
        <v>74</v>
      </c>
      <c r="B350" s="48" t="s">
        <v>25</v>
      </c>
      <c r="C350" s="48" t="s">
        <v>75</v>
      </c>
      <c r="D350" s="48" t="s">
        <v>8</v>
      </c>
      <c r="E350" s="48"/>
      <c r="F350" s="48">
        <v>0.0</v>
      </c>
      <c r="G350" s="43"/>
      <c r="H350" s="43"/>
      <c r="I350" s="43"/>
      <c r="J350" s="43"/>
      <c r="K350" s="43"/>
      <c r="L350" s="43"/>
      <c r="M350" s="43"/>
      <c r="N350" s="43"/>
    </row>
    <row r="351" ht="12.75" customHeight="1">
      <c r="A351" s="48" t="s">
        <v>74</v>
      </c>
      <c r="B351" s="48" t="s">
        <v>25</v>
      </c>
      <c r="C351" s="48" t="s">
        <v>75</v>
      </c>
      <c r="D351" s="48" t="s">
        <v>8</v>
      </c>
      <c r="E351" s="48"/>
      <c r="F351" s="48">
        <v>6106.0</v>
      </c>
      <c r="G351" s="43"/>
      <c r="H351" s="43"/>
      <c r="I351" s="43"/>
      <c r="J351" s="43"/>
      <c r="K351" s="43"/>
      <c r="L351" s="43"/>
      <c r="M351" s="43"/>
      <c r="N351" s="43"/>
    </row>
    <row r="352" ht="12.75" customHeight="1">
      <c r="A352" s="48" t="s">
        <v>74</v>
      </c>
      <c r="B352" s="48" t="s">
        <v>25</v>
      </c>
      <c r="C352" s="48" t="s">
        <v>75</v>
      </c>
      <c r="D352" s="48" t="s">
        <v>6</v>
      </c>
      <c r="E352" s="48"/>
      <c r="F352" s="48">
        <v>344.0</v>
      </c>
      <c r="G352" s="43"/>
      <c r="H352" s="43"/>
      <c r="I352" s="43"/>
      <c r="J352" s="43"/>
      <c r="K352" s="43"/>
      <c r="L352" s="43"/>
      <c r="M352" s="43"/>
      <c r="N352" s="43"/>
    </row>
    <row r="353" ht="12.75" customHeight="1">
      <c r="A353" s="48" t="s">
        <v>74</v>
      </c>
      <c r="B353" s="48" t="s">
        <v>25</v>
      </c>
      <c r="C353" s="48" t="s">
        <v>75</v>
      </c>
      <c r="D353" s="48" t="s">
        <v>54</v>
      </c>
      <c r="E353" s="48"/>
      <c r="F353" s="48">
        <v>0.0</v>
      </c>
      <c r="G353" s="43"/>
      <c r="H353" s="43"/>
      <c r="I353" s="43"/>
      <c r="J353" s="43"/>
      <c r="K353" s="43"/>
      <c r="L353" s="43"/>
      <c r="M353" s="43"/>
      <c r="N353" s="43"/>
    </row>
    <row r="354" ht="12.75" customHeight="1">
      <c r="A354" s="48" t="s">
        <v>74</v>
      </c>
      <c r="B354" s="48" t="s">
        <v>25</v>
      </c>
      <c r="C354" s="48" t="s">
        <v>75</v>
      </c>
      <c r="D354" s="48" t="s">
        <v>54</v>
      </c>
      <c r="E354" s="48"/>
      <c r="F354" s="48">
        <v>0.0</v>
      </c>
      <c r="G354" s="43"/>
      <c r="H354" s="43"/>
      <c r="I354" s="43"/>
      <c r="J354" s="43"/>
      <c r="K354" s="43"/>
      <c r="L354" s="43"/>
      <c r="M354" s="43"/>
      <c r="N354" s="43"/>
    </row>
    <row r="355" ht="12.75" customHeight="1">
      <c r="A355" s="48" t="s">
        <v>74</v>
      </c>
      <c r="B355" s="48" t="s">
        <v>25</v>
      </c>
      <c r="C355" s="48" t="s">
        <v>75</v>
      </c>
      <c r="D355" s="48" t="s">
        <v>49</v>
      </c>
      <c r="E355" s="48"/>
      <c r="F355" s="48">
        <v>3698.0</v>
      </c>
      <c r="G355" s="43"/>
      <c r="H355" s="43"/>
      <c r="I355" s="43"/>
      <c r="J355" s="43"/>
      <c r="K355" s="43"/>
      <c r="L355" s="43"/>
      <c r="M355" s="43"/>
      <c r="N355" s="43"/>
    </row>
    <row r="356" ht="12.75" customHeight="1">
      <c r="A356" s="48" t="s">
        <v>74</v>
      </c>
      <c r="B356" s="48" t="s">
        <v>25</v>
      </c>
      <c r="C356" s="48" t="s">
        <v>75</v>
      </c>
      <c r="D356" s="48" t="s">
        <v>50</v>
      </c>
      <c r="E356" s="48"/>
      <c r="F356" s="48">
        <v>563.3</v>
      </c>
      <c r="G356" s="43"/>
      <c r="H356" s="43"/>
      <c r="I356" s="43"/>
      <c r="J356" s="43"/>
      <c r="K356" s="43"/>
      <c r="L356" s="43"/>
      <c r="M356" s="43"/>
      <c r="N356" s="43"/>
    </row>
    <row r="357" ht="12.75" customHeight="1">
      <c r="A357" s="48" t="s">
        <v>74</v>
      </c>
      <c r="B357" s="48" t="s">
        <v>25</v>
      </c>
      <c r="C357" s="48" t="s">
        <v>75</v>
      </c>
      <c r="D357" s="48" t="s">
        <v>50</v>
      </c>
      <c r="E357" s="48"/>
      <c r="F357" s="48">
        <v>804.1</v>
      </c>
      <c r="G357" s="43"/>
      <c r="H357" s="43"/>
      <c r="I357" s="43"/>
      <c r="J357" s="43"/>
      <c r="K357" s="43"/>
      <c r="L357" s="43"/>
      <c r="M357" s="43"/>
      <c r="N357" s="43"/>
    </row>
    <row r="358" ht="12.75" customHeight="1">
      <c r="A358" s="48" t="s">
        <v>74</v>
      </c>
      <c r="B358" s="48" t="s">
        <v>25</v>
      </c>
      <c r="C358" s="48" t="s">
        <v>75</v>
      </c>
      <c r="D358" s="48" t="s">
        <v>50</v>
      </c>
      <c r="E358" s="48"/>
      <c r="F358" s="48">
        <v>4274.2</v>
      </c>
      <c r="G358" s="43"/>
      <c r="H358" s="43"/>
      <c r="I358" s="43"/>
      <c r="J358" s="43"/>
      <c r="K358" s="43"/>
      <c r="L358" s="43"/>
      <c r="M358" s="43"/>
      <c r="N358" s="43"/>
    </row>
    <row r="359" ht="12.75" customHeight="1">
      <c r="A359" s="48" t="s">
        <v>74</v>
      </c>
      <c r="B359" s="48" t="s">
        <v>25</v>
      </c>
      <c r="C359" s="48" t="s">
        <v>75</v>
      </c>
      <c r="D359" s="48" t="s">
        <v>50</v>
      </c>
      <c r="E359" s="48"/>
      <c r="F359" s="48">
        <v>713.8</v>
      </c>
      <c r="G359" s="43"/>
      <c r="H359" s="43"/>
      <c r="I359" s="43"/>
      <c r="J359" s="43"/>
      <c r="K359" s="43"/>
      <c r="L359" s="43"/>
      <c r="M359" s="43"/>
      <c r="N359" s="43"/>
    </row>
    <row r="360" ht="12.75" customHeight="1">
      <c r="A360" s="48" t="s">
        <v>74</v>
      </c>
      <c r="B360" s="48" t="s">
        <v>25</v>
      </c>
      <c r="C360" s="48" t="s">
        <v>75</v>
      </c>
      <c r="D360" s="48" t="s">
        <v>50</v>
      </c>
      <c r="E360" s="48"/>
      <c r="F360" s="48">
        <v>533.1999999999999</v>
      </c>
      <c r="G360" s="43"/>
      <c r="H360" s="43"/>
      <c r="I360" s="43"/>
      <c r="J360" s="43"/>
      <c r="K360" s="43"/>
      <c r="L360" s="43"/>
      <c r="M360" s="43"/>
      <c r="N360" s="43"/>
    </row>
    <row r="361" ht="12.75" customHeight="1">
      <c r="A361" s="48" t="s">
        <v>74</v>
      </c>
      <c r="B361" s="48" t="s">
        <v>25</v>
      </c>
      <c r="C361" s="48" t="s">
        <v>75</v>
      </c>
      <c r="D361" s="48" t="s">
        <v>50</v>
      </c>
      <c r="E361" s="48"/>
      <c r="F361" s="48">
        <v>593.4</v>
      </c>
      <c r="G361" s="43"/>
      <c r="H361" s="43"/>
      <c r="I361" s="43"/>
      <c r="J361" s="43"/>
      <c r="K361" s="43"/>
      <c r="L361" s="43"/>
      <c r="M361" s="43"/>
      <c r="N361" s="43"/>
    </row>
    <row r="362" ht="12.75" customHeight="1">
      <c r="A362" s="48" t="s">
        <v>74</v>
      </c>
      <c r="B362" s="48" t="s">
        <v>25</v>
      </c>
      <c r="C362" s="48" t="s">
        <v>75</v>
      </c>
      <c r="D362" s="48" t="s">
        <v>47</v>
      </c>
      <c r="E362" s="48"/>
      <c r="F362" s="48">
        <v>1290.0</v>
      </c>
      <c r="G362" s="43"/>
      <c r="H362" s="43"/>
      <c r="I362" s="43"/>
      <c r="J362" s="43"/>
      <c r="K362" s="43"/>
      <c r="L362" s="43"/>
      <c r="M362" s="43"/>
      <c r="N362" s="43"/>
    </row>
    <row r="363" ht="12.75" customHeight="1">
      <c r="A363" s="48" t="s">
        <v>74</v>
      </c>
      <c r="B363" s="48" t="s">
        <v>25</v>
      </c>
      <c r="C363" s="48" t="s">
        <v>75</v>
      </c>
      <c r="D363" s="48" t="s">
        <v>47</v>
      </c>
      <c r="E363" s="48"/>
      <c r="F363" s="48">
        <v>2945.5</v>
      </c>
      <c r="G363" s="43"/>
      <c r="H363" s="43"/>
      <c r="I363" s="43"/>
      <c r="J363" s="43"/>
      <c r="K363" s="43"/>
      <c r="L363" s="43"/>
      <c r="M363" s="43"/>
      <c r="N363" s="43"/>
    </row>
    <row r="364" ht="12.75" customHeight="1">
      <c r="A364" s="48" t="s">
        <v>74</v>
      </c>
      <c r="B364" s="48" t="s">
        <v>25</v>
      </c>
      <c r="C364" s="48" t="s">
        <v>75</v>
      </c>
      <c r="D364" s="48" t="s">
        <v>47</v>
      </c>
      <c r="E364" s="48"/>
      <c r="F364" s="48">
        <v>0.0</v>
      </c>
      <c r="G364" s="43"/>
      <c r="H364" s="43"/>
      <c r="I364" s="43"/>
      <c r="J364" s="43"/>
      <c r="K364" s="43"/>
      <c r="L364" s="43"/>
      <c r="M364" s="43"/>
      <c r="N364" s="43"/>
    </row>
    <row r="365" ht="12.75" customHeight="1">
      <c r="A365" s="48" t="s">
        <v>74</v>
      </c>
      <c r="B365" s="48" t="s">
        <v>25</v>
      </c>
      <c r="C365" s="48" t="s">
        <v>76</v>
      </c>
      <c r="D365" s="48" t="s">
        <v>52</v>
      </c>
      <c r="E365" s="48"/>
      <c r="F365" s="48">
        <v>1973.6999999999998</v>
      </c>
      <c r="G365" s="43"/>
      <c r="H365" s="43"/>
      <c r="I365" s="43"/>
      <c r="J365" s="43"/>
      <c r="K365" s="43"/>
      <c r="L365" s="43"/>
      <c r="M365" s="43"/>
      <c r="N365" s="43"/>
    </row>
    <row r="366" ht="12.75" customHeight="1">
      <c r="A366" s="48" t="s">
        <v>74</v>
      </c>
      <c r="B366" s="48" t="s">
        <v>25</v>
      </c>
      <c r="C366" s="48" t="s">
        <v>76</v>
      </c>
      <c r="D366" s="48" t="s">
        <v>58</v>
      </c>
      <c r="E366" s="48"/>
      <c r="F366" s="48">
        <v>70330.8</v>
      </c>
      <c r="G366" s="43"/>
      <c r="H366" s="43"/>
      <c r="I366" s="43"/>
      <c r="J366" s="43"/>
      <c r="K366" s="43"/>
      <c r="L366" s="43"/>
      <c r="M366" s="43"/>
      <c r="N366" s="43"/>
    </row>
    <row r="367" ht="12.75" customHeight="1">
      <c r="A367" s="48" t="s">
        <v>74</v>
      </c>
      <c r="B367" s="48" t="s">
        <v>25</v>
      </c>
      <c r="C367" s="48" t="s">
        <v>76</v>
      </c>
      <c r="D367" s="48" t="s">
        <v>54</v>
      </c>
      <c r="E367" s="48"/>
      <c r="F367" s="48">
        <v>124.69999999999999</v>
      </c>
      <c r="G367" s="43"/>
      <c r="H367" s="43"/>
      <c r="I367" s="43"/>
      <c r="J367" s="43"/>
      <c r="K367" s="43"/>
      <c r="L367" s="43"/>
      <c r="M367" s="43"/>
      <c r="N367" s="43"/>
    </row>
    <row r="368" ht="12.75" customHeight="1">
      <c r="A368" s="48" t="s">
        <v>74</v>
      </c>
      <c r="B368" s="48" t="s">
        <v>25</v>
      </c>
      <c r="C368" s="48" t="s">
        <v>76</v>
      </c>
      <c r="D368" s="48" t="s">
        <v>54</v>
      </c>
      <c r="E368" s="48"/>
      <c r="F368" s="48">
        <v>0.0</v>
      </c>
      <c r="G368" s="43"/>
      <c r="H368" s="43"/>
      <c r="I368" s="43"/>
      <c r="J368" s="43"/>
      <c r="K368" s="43"/>
      <c r="L368" s="43"/>
      <c r="M368" s="43"/>
      <c r="N368" s="43"/>
    </row>
    <row r="369" ht="12.75" customHeight="1">
      <c r="A369" s="48" t="s">
        <v>74</v>
      </c>
      <c r="B369" s="48" t="s">
        <v>25</v>
      </c>
      <c r="C369" s="48" t="s">
        <v>76</v>
      </c>
      <c r="D369" s="48" t="s">
        <v>50</v>
      </c>
      <c r="E369" s="48"/>
      <c r="F369" s="48">
        <v>3702.2999999999997</v>
      </c>
      <c r="G369" s="43"/>
      <c r="H369" s="43"/>
      <c r="I369" s="43"/>
      <c r="J369" s="43"/>
      <c r="K369" s="43"/>
      <c r="L369" s="43"/>
      <c r="M369" s="43"/>
      <c r="N369" s="43"/>
    </row>
    <row r="370" ht="12.75" customHeight="1">
      <c r="A370" s="48" t="s">
        <v>74</v>
      </c>
      <c r="B370" s="48" t="s">
        <v>25</v>
      </c>
      <c r="C370" s="48" t="s">
        <v>76</v>
      </c>
      <c r="D370" s="48" t="s">
        <v>47</v>
      </c>
      <c r="E370" s="48"/>
      <c r="F370" s="48">
        <v>3349.7</v>
      </c>
      <c r="G370" s="43"/>
      <c r="H370" s="43"/>
      <c r="I370" s="43"/>
      <c r="J370" s="43"/>
      <c r="K370" s="43"/>
      <c r="L370" s="43"/>
      <c r="M370" s="43"/>
      <c r="N370" s="43"/>
    </row>
    <row r="371" ht="12.75" customHeight="1">
      <c r="A371" s="48" t="s">
        <v>74</v>
      </c>
      <c r="B371" s="48" t="s">
        <v>25</v>
      </c>
      <c r="C371" s="48" t="s">
        <v>76</v>
      </c>
      <c r="D371" s="48" t="s">
        <v>47</v>
      </c>
      <c r="E371" s="48"/>
      <c r="F371" s="48">
        <v>8604.3</v>
      </c>
      <c r="G371" s="43"/>
      <c r="H371" s="43"/>
      <c r="I371" s="43"/>
      <c r="J371" s="43"/>
      <c r="K371" s="43"/>
      <c r="L371" s="43"/>
      <c r="M371" s="43"/>
      <c r="N371" s="43"/>
    </row>
    <row r="372" ht="12.75" customHeight="1">
      <c r="A372" s="48" t="s">
        <v>74</v>
      </c>
      <c r="B372" s="48" t="s">
        <v>25</v>
      </c>
      <c r="C372" s="48" t="s">
        <v>76</v>
      </c>
      <c r="D372" s="48" t="s">
        <v>47</v>
      </c>
      <c r="E372" s="48"/>
      <c r="F372" s="48">
        <v>0.0</v>
      </c>
      <c r="G372" s="43"/>
      <c r="H372" s="43"/>
      <c r="I372" s="43"/>
      <c r="J372" s="43"/>
      <c r="K372" s="43"/>
      <c r="L372" s="43"/>
      <c r="M372" s="43"/>
      <c r="N372" s="43"/>
    </row>
    <row r="373" ht="12.75" customHeight="1">
      <c r="A373" s="48" t="s">
        <v>74</v>
      </c>
      <c r="B373" s="48" t="s">
        <v>25</v>
      </c>
      <c r="C373" s="48" t="s">
        <v>7</v>
      </c>
      <c r="D373" s="48" t="s">
        <v>52</v>
      </c>
      <c r="E373" s="48"/>
      <c r="F373" s="48">
        <v>2141.4</v>
      </c>
      <c r="G373" s="43"/>
      <c r="H373" s="43"/>
      <c r="I373" s="43"/>
      <c r="J373" s="43"/>
      <c r="K373" s="43"/>
      <c r="L373" s="43"/>
      <c r="M373" s="43"/>
      <c r="N373" s="43"/>
    </row>
    <row r="374" ht="12.75" customHeight="1">
      <c r="A374" s="48" t="s">
        <v>74</v>
      </c>
      <c r="B374" s="48" t="s">
        <v>25</v>
      </c>
      <c r="C374" s="48" t="s">
        <v>7</v>
      </c>
      <c r="D374" s="48" t="s">
        <v>58</v>
      </c>
      <c r="E374" s="48"/>
      <c r="F374" s="48">
        <v>5590.0</v>
      </c>
      <c r="G374" s="43"/>
      <c r="H374" s="43"/>
      <c r="I374" s="43"/>
      <c r="J374" s="43"/>
      <c r="K374" s="43"/>
      <c r="L374" s="43"/>
      <c r="M374" s="43"/>
      <c r="N374" s="43"/>
    </row>
    <row r="375" ht="12.75" customHeight="1">
      <c r="A375" s="48" t="s">
        <v>74</v>
      </c>
      <c r="B375" s="48" t="s">
        <v>25</v>
      </c>
      <c r="C375" s="48" t="s">
        <v>7</v>
      </c>
      <c r="D375" s="48" t="s">
        <v>54</v>
      </c>
      <c r="E375" s="48"/>
      <c r="F375" s="48">
        <v>666.5</v>
      </c>
      <c r="G375" s="43"/>
      <c r="H375" s="43"/>
      <c r="I375" s="43"/>
      <c r="J375" s="43"/>
      <c r="K375" s="43"/>
      <c r="L375" s="43"/>
      <c r="M375" s="43"/>
      <c r="N375" s="43"/>
    </row>
    <row r="376" ht="12.75" customHeight="1">
      <c r="A376" s="48" t="s">
        <v>74</v>
      </c>
      <c r="B376" s="48" t="s">
        <v>25</v>
      </c>
      <c r="C376" s="48" t="s">
        <v>7</v>
      </c>
      <c r="D376" s="48" t="s">
        <v>54</v>
      </c>
      <c r="E376" s="48"/>
      <c r="F376" s="48">
        <v>108682.5</v>
      </c>
      <c r="G376" s="43"/>
      <c r="H376" s="43"/>
      <c r="I376" s="43"/>
      <c r="J376" s="43"/>
      <c r="K376" s="43"/>
      <c r="L376" s="43"/>
      <c r="M376" s="43"/>
      <c r="N376" s="43"/>
    </row>
    <row r="377" ht="12.75" customHeight="1">
      <c r="A377" s="48" t="s">
        <v>74</v>
      </c>
      <c r="B377" s="48" t="s">
        <v>25</v>
      </c>
      <c r="C377" s="48" t="s">
        <v>7</v>
      </c>
      <c r="D377" s="48" t="s">
        <v>54</v>
      </c>
      <c r="E377" s="48"/>
      <c r="F377" s="48">
        <v>43.0</v>
      </c>
      <c r="G377" s="43"/>
      <c r="H377" s="43"/>
      <c r="I377" s="43"/>
      <c r="J377" s="43"/>
      <c r="K377" s="43"/>
      <c r="L377" s="43"/>
      <c r="M377" s="43"/>
      <c r="N377" s="43"/>
    </row>
    <row r="378" ht="12.75" customHeight="1">
      <c r="A378" s="48" t="s">
        <v>74</v>
      </c>
      <c r="B378" s="48" t="s">
        <v>25</v>
      </c>
      <c r="C378" s="48" t="s">
        <v>7</v>
      </c>
      <c r="D378" s="48" t="s">
        <v>50</v>
      </c>
      <c r="E378" s="48"/>
      <c r="F378" s="48">
        <v>0.0</v>
      </c>
      <c r="G378" s="43"/>
      <c r="H378" s="43"/>
      <c r="I378" s="43"/>
      <c r="J378" s="43"/>
      <c r="K378" s="43"/>
      <c r="L378" s="43"/>
      <c r="M378" s="43"/>
      <c r="N378" s="43"/>
    </row>
    <row r="379" ht="12.75" customHeight="1">
      <c r="A379" s="48" t="s">
        <v>74</v>
      </c>
      <c r="B379" s="48" t="s">
        <v>25</v>
      </c>
      <c r="C379" s="48" t="s">
        <v>7</v>
      </c>
      <c r="D379" s="48" t="s">
        <v>50</v>
      </c>
      <c r="E379" s="48"/>
      <c r="F379" s="48">
        <v>3672.2</v>
      </c>
      <c r="G379" s="43"/>
      <c r="H379" s="43"/>
      <c r="I379" s="43"/>
      <c r="J379" s="43"/>
      <c r="K379" s="43"/>
      <c r="L379" s="43"/>
      <c r="M379" s="43"/>
      <c r="N379" s="43"/>
    </row>
    <row r="380" ht="12.75" customHeight="1">
      <c r="A380" s="48" t="s">
        <v>74</v>
      </c>
      <c r="B380" s="48" t="s">
        <v>25</v>
      </c>
      <c r="C380" s="48" t="s">
        <v>7</v>
      </c>
      <c r="D380" s="48" t="s">
        <v>50</v>
      </c>
      <c r="E380" s="48"/>
      <c r="F380" s="48">
        <v>5865.2</v>
      </c>
      <c r="G380" s="43"/>
      <c r="H380" s="43"/>
      <c r="I380" s="43"/>
      <c r="J380" s="43"/>
      <c r="K380" s="43"/>
      <c r="L380" s="43"/>
      <c r="M380" s="43"/>
      <c r="N380" s="43"/>
    </row>
    <row r="381" ht="12.75" customHeight="1">
      <c r="A381" s="48" t="s">
        <v>74</v>
      </c>
      <c r="B381" s="48" t="s">
        <v>25</v>
      </c>
      <c r="C381" s="48" t="s">
        <v>7</v>
      </c>
      <c r="D381" s="48" t="s">
        <v>50</v>
      </c>
      <c r="E381" s="48"/>
      <c r="F381" s="48">
        <v>4085.0</v>
      </c>
      <c r="G381" s="43"/>
      <c r="H381" s="43"/>
      <c r="I381" s="43"/>
      <c r="J381" s="43"/>
      <c r="K381" s="43"/>
      <c r="L381" s="43"/>
      <c r="M381" s="43"/>
      <c r="N381" s="43"/>
    </row>
    <row r="382" ht="12.75" customHeight="1">
      <c r="A382" s="48" t="s">
        <v>74</v>
      </c>
      <c r="B382" s="48" t="s">
        <v>25</v>
      </c>
      <c r="C382" s="48" t="s">
        <v>7</v>
      </c>
      <c r="D382" s="48" t="s">
        <v>50</v>
      </c>
      <c r="E382" s="48"/>
      <c r="F382" s="48">
        <v>980.4</v>
      </c>
      <c r="G382" s="43"/>
      <c r="H382" s="43"/>
      <c r="I382" s="43"/>
      <c r="J382" s="43"/>
      <c r="K382" s="43"/>
      <c r="L382" s="43"/>
      <c r="M382" s="43"/>
      <c r="N382" s="43"/>
    </row>
    <row r="383" ht="12.75" customHeight="1">
      <c r="A383" s="48" t="s">
        <v>74</v>
      </c>
      <c r="B383" s="48" t="s">
        <v>25</v>
      </c>
      <c r="C383" s="48" t="s">
        <v>7</v>
      </c>
      <c r="D383" s="48" t="s">
        <v>50</v>
      </c>
      <c r="E383" s="48"/>
      <c r="F383" s="48">
        <v>5061.099999999999</v>
      </c>
      <c r="G383" s="43"/>
      <c r="H383" s="43"/>
      <c r="I383" s="43"/>
      <c r="J383" s="43"/>
      <c r="K383" s="43"/>
      <c r="L383" s="43"/>
      <c r="M383" s="43"/>
      <c r="N383" s="43"/>
    </row>
    <row r="384" ht="12.75" customHeight="1">
      <c r="A384" s="48" t="s">
        <v>74</v>
      </c>
      <c r="B384" s="48" t="s">
        <v>25</v>
      </c>
      <c r="C384" s="48" t="s">
        <v>7</v>
      </c>
      <c r="D384" s="48" t="s">
        <v>50</v>
      </c>
      <c r="E384" s="48"/>
      <c r="F384" s="48">
        <v>4037.7</v>
      </c>
      <c r="G384" s="43"/>
      <c r="H384" s="43"/>
      <c r="I384" s="43"/>
      <c r="J384" s="43"/>
      <c r="K384" s="43"/>
      <c r="L384" s="43"/>
      <c r="M384" s="43"/>
      <c r="N384" s="43"/>
    </row>
    <row r="385" ht="12.75" customHeight="1">
      <c r="A385" s="48" t="s">
        <v>74</v>
      </c>
      <c r="B385" s="48" t="s">
        <v>25</v>
      </c>
      <c r="C385" s="48" t="s">
        <v>7</v>
      </c>
      <c r="D385" s="48" t="s">
        <v>50</v>
      </c>
      <c r="E385" s="48"/>
      <c r="F385" s="48">
        <v>4923.5</v>
      </c>
      <c r="G385" s="43"/>
      <c r="H385" s="43"/>
      <c r="I385" s="43"/>
      <c r="J385" s="43"/>
      <c r="K385" s="43"/>
      <c r="L385" s="43"/>
      <c r="M385" s="43"/>
      <c r="N385" s="43"/>
    </row>
    <row r="386" ht="12.75" customHeight="1">
      <c r="A386" s="48" t="s">
        <v>74</v>
      </c>
      <c r="B386" s="48" t="s">
        <v>25</v>
      </c>
      <c r="C386" s="48" t="s">
        <v>7</v>
      </c>
      <c r="D386" s="48" t="s">
        <v>50</v>
      </c>
      <c r="E386" s="48"/>
      <c r="F386" s="48">
        <v>1229.8</v>
      </c>
      <c r="G386" s="43"/>
      <c r="H386" s="43"/>
      <c r="I386" s="43"/>
      <c r="J386" s="43"/>
      <c r="K386" s="43"/>
      <c r="L386" s="43"/>
      <c r="M386" s="43"/>
      <c r="N386" s="43"/>
    </row>
    <row r="387" ht="12.75" customHeight="1">
      <c r="A387" s="48" t="s">
        <v>74</v>
      </c>
      <c r="B387" s="48" t="s">
        <v>25</v>
      </c>
      <c r="C387" s="48" t="s">
        <v>7</v>
      </c>
      <c r="D387" s="48" t="s">
        <v>50</v>
      </c>
      <c r="E387" s="48"/>
      <c r="F387" s="48">
        <v>87027.7</v>
      </c>
      <c r="G387" s="43"/>
      <c r="H387" s="43"/>
      <c r="I387" s="43"/>
      <c r="J387" s="43"/>
      <c r="K387" s="43"/>
      <c r="L387" s="43"/>
      <c r="M387" s="43"/>
      <c r="N387" s="43"/>
    </row>
    <row r="388" ht="12.75" customHeight="1">
      <c r="A388" s="48" t="s">
        <v>74</v>
      </c>
      <c r="B388" s="48" t="s">
        <v>25</v>
      </c>
      <c r="C388" s="48" t="s">
        <v>7</v>
      </c>
      <c r="D388" s="48" t="s">
        <v>50</v>
      </c>
      <c r="E388" s="48"/>
      <c r="F388" s="48">
        <v>4742.9</v>
      </c>
      <c r="G388" s="43"/>
      <c r="H388" s="43"/>
      <c r="I388" s="43"/>
      <c r="J388" s="43"/>
      <c r="K388" s="43"/>
      <c r="L388" s="43"/>
      <c r="M388" s="43"/>
      <c r="N388" s="43"/>
    </row>
    <row r="389" ht="12.75" customHeight="1">
      <c r="A389" s="48" t="s">
        <v>74</v>
      </c>
      <c r="B389" s="48" t="s">
        <v>25</v>
      </c>
      <c r="C389" s="48" t="s">
        <v>7</v>
      </c>
      <c r="D389" s="48" t="s">
        <v>50</v>
      </c>
      <c r="E389" s="48"/>
      <c r="F389" s="48">
        <v>4274.2</v>
      </c>
      <c r="G389" s="43"/>
      <c r="H389" s="43"/>
      <c r="I389" s="43"/>
      <c r="J389" s="43"/>
      <c r="K389" s="43"/>
      <c r="L389" s="43"/>
      <c r="M389" s="43"/>
      <c r="N389" s="43"/>
    </row>
    <row r="390" ht="12.75" customHeight="1">
      <c r="A390" s="48" t="s">
        <v>74</v>
      </c>
      <c r="B390" s="48" t="s">
        <v>25</v>
      </c>
      <c r="C390" s="48" t="s">
        <v>7</v>
      </c>
      <c r="D390" s="48" t="s">
        <v>47</v>
      </c>
      <c r="E390" s="48"/>
      <c r="F390" s="48">
        <v>0.0</v>
      </c>
      <c r="G390" s="43"/>
      <c r="H390" s="43"/>
      <c r="I390" s="43"/>
      <c r="J390" s="43"/>
      <c r="K390" s="43"/>
      <c r="L390" s="43"/>
      <c r="M390" s="43"/>
      <c r="N390" s="43"/>
    </row>
    <row r="391" ht="12.75" customHeight="1">
      <c r="A391" s="48" t="s">
        <v>74</v>
      </c>
      <c r="B391" s="48" t="s">
        <v>25</v>
      </c>
      <c r="C391" s="48" t="s">
        <v>7</v>
      </c>
      <c r="D391" s="48" t="s">
        <v>47</v>
      </c>
      <c r="E391" s="48"/>
      <c r="F391" s="48">
        <v>2197.2999999999997</v>
      </c>
      <c r="G391" s="43"/>
      <c r="H391" s="43"/>
      <c r="I391" s="43"/>
      <c r="J391" s="43"/>
      <c r="K391" s="43"/>
      <c r="L391" s="43"/>
      <c r="M391" s="43"/>
      <c r="N391" s="43"/>
    </row>
    <row r="392" ht="12.75" customHeight="1">
      <c r="A392" s="48" t="s">
        <v>74</v>
      </c>
      <c r="B392" s="48" t="s">
        <v>25</v>
      </c>
      <c r="C392" s="48" t="s">
        <v>7</v>
      </c>
      <c r="D392" s="48" t="s">
        <v>47</v>
      </c>
      <c r="E392" s="48"/>
      <c r="F392" s="48">
        <v>0.0</v>
      </c>
      <c r="G392" s="43"/>
      <c r="H392" s="43"/>
      <c r="I392" s="43"/>
      <c r="J392" s="43"/>
      <c r="K392" s="43"/>
      <c r="L392" s="43"/>
      <c r="M392" s="43"/>
      <c r="N392" s="43"/>
    </row>
    <row r="393" ht="12.75" customHeight="1">
      <c r="A393" s="48" t="s">
        <v>74</v>
      </c>
      <c r="B393" s="48" t="s">
        <v>27</v>
      </c>
      <c r="C393" s="48" t="s">
        <v>79</v>
      </c>
      <c r="D393" s="48" t="s">
        <v>52</v>
      </c>
      <c r="E393" s="48"/>
      <c r="F393" s="48">
        <v>3870.0</v>
      </c>
      <c r="G393" s="43"/>
      <c r="H393" s="43"/>
      <c r="I393" s="43"/>
      <c r="J393" s="43"/>
      <c r="K393" s="43"/>
      <c r="L393" s="43"/>
      <c r="M393" s="43"/>
      <c r="N393" s="43"/>
    </row>
    <row r="394" ht="12.75" customHeight="1">
      <c r="A394" s="48" t="s">
        <v>74</v>
      </c>
      <c r="B394" s="48" t="s">
        <v>27</v>
      </c>
      <c r="C394" s="48" t="s">
        <v>79</v>
      </c>
      <c r="D394" s="48" t="s">
        <v>8</v>
      </c>
      <c r="E394" s="48"/>
      <c r="F394" s="48">
        <v>3870.0</v>
      </c>
      <c r="G394" s="43"/>
      <c r="H394" s="43"/>
      <c r="I394" s="43"/>
      <c r="J394" s="43"/>
      <c r="K394" s="43"/>
      <c r="L394" s="43"/>
      <c r="M394" s="43"/>
      <c r="N394" s="43"/>
    </row>
    <row r="395" ht="12.75" customHeight="1">
      <c r="A395" s="48" t="s">
        <v>74</v>
      </c>
      <c r="B395" s="48" t="s">
        <v>27</v>
      </c>
      <c r="C395" s="48" t="s">
        <v>79</v>
      </c>
      <c r="D395" s="48" t="s">
        <v>8</v>
      </c>
      <c r="E395" s="48"/>
      <c r="F395" s="48">
        <v>1930.6999999999998</v>
      </c>
      <c r="G395" s="43"/>
      <c r="H395" s="43"/>
      <c r="I395" s="43"/>
      <c r="J395" s="43"/>
      <c r="K395" s="43"/>
      <c r="L395" s="43"/>
      <c r="M395" s="43"/>
      <c r="N395" s="43"/>
    </row>
    <row r="396" ht="12.75" customHeight="1">
      <c r="A396" s="48" t="s">
        <v>74</v>
      </c>
      <c r="B396" s="48" t="s">
        <v>27</v>
      </c>
      <c r="C396" s="48" t="s">
        <v>79</v>
      </c>
      <c r="D396" s="48" t="s">
        <v>54</v>
      </c>
      <c r="E396" s="48"/>
      <c r="F396" s="48">
        <v>12590.4</v>
      </c>
      <c r="G396" s="43"/>
      <c r="H396" s="43"/>
      <c r="I396" s="43"/>
      <c r="J396" s="43"/>
      <c r="K396" s="43"/>
      <c r="L396" s="43"/>
      <c r="M396" s="43"/>
      <c r="N396" s="43"/>
    </row>
    <row r="397" ht="12.75" customHeight="1">
      <c r="A397" s="48" t="s">
        <v>74</v>
      </c>
      <c r="B397" s="48" t="s">
        <v>27</v>
      </c>
      <c r="C397" s="48" t="s">
        <v>79</v>
      </c>
      <c r="D397" s="48" t="s">
        <v>50</v>
      </c>
      <c r="E397" s="48"/>
      <c r="F397" s="48">
        <v>10001.8</v>
      </c>
      <c r="G397" s="43"/>
      <c r="H397" s="43"/>
      <c r="I397" s="43"/>
      <c r="J397" s="43"/>
      <c r="K397" s="43"/>
      <c r="L397" s="43"/>
      <c r="M397" s="43"/>
      <c r="N397" s="43"/>
    </row>
    <row r="398" ht="12.75" customHeight="1">
      <c r="A398" s="48" t="s">
        <v>74</v>
      </c>
      <c r="B398" s="48" t="s">
        <v>27</v>
      </c>
      <c r="C398" s="48" t="s">
        <v>79</v>
      </c>
      <c r="D398" s="48" t="s">
        <v>50</v>
      </c>
      <c r="E398" s="48"/>
      <c r="F398" s="48">
        <v>726.6999999999999</v>
      </c>
      <c r="G398" s="43"/>
      <c r="H398" s="43"/>
      <c r="I398" s="43"/>
      <c r="J398" s="43"/>
      <c r="K398" s="43"/>
      <c r="L398" s="43"/>
      <c r="M398" s="43"/>
      <c r="N398" s="43"/>
    </row>
    <row r="399" ht="12.75" customHeight="1">
      <c r="A399" s="48" t="s">
        <v>74</v>
      </c>
      <c r="B399" s="48" t="s">
        <v>27</v>
      </c>
      <c r="C399" s="48" t="s">
        <v>79</v>
      </c>
      <c r="D399" s="48" t="s">
        <v>50</v>
      </c>
      <c r="E399" s="48"/>
      <c r="F399" s="48">
        <v>5194.4</v>
      </c>
      <c r="G399" s="43"/>
      <c r="H399" s="43"/>
      <c r="I399" s="43"/>
      <c r="J399" s="43"/>
      <c r="K399" s="43"/>
      <c r="L399" s="43"/>
      <c r="M399" s="43"/>
      <c r="N399" s="43"/>
    </row>
    <row r="400" ht="12.75" customHeight="1">
      <c r="A400" s="48" t="s">
        <v>74</v>
      </c>
      <c r="B400" s="48" t="s">
        <v>27</v>
      </c>
      <c r="C400" s="48" t="s">
        <v>79</v>
      </c>
      <c r="D400" s="48" t="s">
        <v>47</v>
      </c>
      <c r="E400" s="48"/>
      <c r="F400" s="48">
        <v>16602.3</v>
      </c>
      <c r="G400" s="43"/>
      <c r="H400" s="43"/>
      <c r="I400" s="43"/>
      <c r="J400" s="43"/>
      <c r="K400" s="43"/>
      <c r="L400" s="43"/>
      <c r="M400" s="43"/>
      <c r="N400" s="43"/>
    </row>
    <row r="401" ht="12.75" customHeight="1">
      <c r="A401" s="48" t="s">
        <v>74</v>
      </c>
      <c r="B401" s="48" t="s">
        <v>27</v>
      </c>
      <c r="C401" s="48" t="s">
        <v>78</v>
      </c>
      <c r="D401" s="48" t="s">
        <v>52</v>
      </c>
      <c r="E401" s="48"/>
      <c r="F401" s="48">
        <v>11825.0</v>
      </c>
      <c r="G401" s="43"/>
      <c r="H401" s="43"/>
      <c r="I401" s="43"/>
      <c r="J401" s="43"/>
      <c r="K401" s="43"/>
      <c r="L401" s="43"/>
      <c r="M401" s="43"/>
      <c r="N401" s="43"/>
    </row>
    <row r="402" ht="12.75" customHeight="1">
      <c r="A402" s="48" t="s">
        <v>74</v>
      </c>
      <c r="B402" s="48" t="s">
        <v>27</v>
      </c>
      <c r="C402" s="48" t="s">
        <v>78</v>
      </c>
      <c r="D402" s="48" t="s">
        <v>53</v>
      </c>
      <c r="E402" s="48"/>
      <c r="F402" s="48">
        <v>-8608.6</v>
      </c>
      <c r="G402" s="43"/>
      <c r="H402" s="43"/>
      <c r="I402" s="43"/>
      <c r="J402" s="43"/>
      <c r="K402" s="43"/>
      <c r="L402" s="43"/>
      <c r="M402" s="43"/>
      <c r="N402" s="43"/>
    </row>
    <row r="403" ht="12.75" customHeight="1">
      <c r="A403" s="48" t="s">
        <v>74</v>
      </c>
      <c r="B403" s="48" t="s">
        <v>27</v>
      </c>
      <c r="C403" s="48" t="s">
        <v>78</v>
      </c>
      <c r="D403" s="48" t="s">
        <v>53</v>
      </c>
      <c r="E403" s="48"/>
      <c r="F403" s="48">
        <v>520.3</v>
      </c>
      <c r="G403" s="43"/>
      <c r="H403" s="43"/>
      <c r="I403" s="43"/>
      <c r="J403" s="43"/>
      <c r="K403" s="43"/>
      <c r="L403" s="43"/>
      <c r="M403" s="43"/>
      <c r="N403" s="43"/>
    </row>
    <row r="404" ht="12.75" customHeight="1">
      <c r="A404" s="48" t="s">
        <v>74</v>
      </c>
      <c r="B404" s="48" t="s">
        <v>27</v>
      </c>
      <c r="C404" s="48" t="s">
        <v>78</v>
      </c>
      <c r="D404" s="48" t="s">
        <v>54</v>
      </c>
      <c r="E404" s="48"/>
      <c r="F404" s="48">
        <v>28861.6</v>
      </c>
      <c r="G404" s="43"/>
      <c r="H404" s="43"/>
      <c r="I404" s="43"/>
      <c r="J404" s="43"/>
      <c r="K404" s="43"/>
      <c r="L404" s="43"/>
      <c r="M404" s="43"/>
      <c r="N404" s="43"/>
    </row>
    <row r="405" ht="12.75" customHeight="1">
      <c r="A405" s="48" t="s">
        <v>74</v>
      </c>
      <c r="B405" s="48" t="s">
        <v>27</v>
      </c>
      <c r="C405" s="48" t="s">
        <v>78</v>
      </c>
      <c r="D405" s="48" t="s">
        <v>50</v>
      </c>
      <c r="E405" s="48"/>
      <c r="F405" s="48">
        <v>7288.5</v>
      </c>
      <c r="G405" s="43"/>
      <c r="H405" s="43"/>
      <c r="I405" s="43"/>
      <c r="J405" s="43"/>
      <c r="K405" s="43"/>
      <c r="L405" s="43"/>
      <c r="M405" s="43"/>
      <c r="N405" s="43"/>
    </row>
    <row r="406" ht="12.75" customHeight="1">
      <c r="A406" s="48" t="s">
        <v>74</v>
      </c>
      <c r="B406" s="48" t="s">
        <v>27</v>
      </c>
      <c r="C406" s="48" t="s">
        <v>78</v>
      </c>
      <c r="D406" s="48" t="s">
        <v>50</v>
      </c>
      <c r="E406" s="48"/>
      <c r="F406" s="48">
        <v>5344.9</v>
      </c>
      <c r="G406" s="43"/>
      <c r="H406" s="43"/>
      <c r="I406" s="43"/>
      <c r="J406" s="43"/>
      <c r="K406" s="43"/>
      <c r="L406" s="43"/>
      <c r="M406" s="43"/>
      <c r="N406" s="43"/>
    </row>
    <row r="407" ht="12.75" customHeight="1">
      <c r="A407" s="48" t="s">
        <v>74</v>
      </c>
      <c r="B407" s="48" t="s">
        <v>27</v>
      </c>
      <c r="C407" s="48" t="s">
        <v>78</v>
      </c>
      <c r="D407" s="48" t="s">
        <v>50</v>
      </c>
      <c r="E407" s="48"/>
      <c r="F407" s="48">
        <v>19999.3</v>
      </c>
      <c r="G407" s="43"/>
      <c r="H407" s="43"/>
      <c r="I407" s="43"/>
      <c r="J407" s="43"/>
      <c r="K407" s="43"/>
      <c r="L407" s="43"/>
      <c r="M407" s="43"/>
      <c r="N407" s="43"/>
    </row>
    <row r="408" ht="12.75" customHeight="1">
      <c r="A408" s="48" t="s">
        <v>74</v>
      </c>
      <c r="B408" s="48" t="s">
        <v>27</v>
      </c>
      <c r="C408" s="48" t="s">
        <v>78</v>
      </c>
      <c r="D408" s="48" t="s">
        <v>50</v>
      </c>
      <c r="E408" s="48"/>
      <c r="F408" s="48">
        <v>984.6999999999999</v>
      </c>
      <c r="G408" s="43"/>
      <c r="H408" s="43"/>
      <c r="I408" s="43"/>
      <c r="J408" s="43"/>
      <c r="K408" s="43"/>
      <c r="L408" s="43"/>
      <c r="M408" s="43"/>
      <c r="N408" s="43"/>
    </row>
    <row r="409" ht="12.75" customHeight="1">
      <c r="A409" s="48" t="s">
        <v>74</v>
      </c>
      <c r="B409" s="48" t="s">
        <v>25</v>
      </c>
      <c r="C409" s="48" t="s">
        <v>75</v>
      </c>
      <c r="D409" s="48" t="s">
        <v>58</v>
      </c>
      <c r="E409" s="48"/>
      <c r="F409" s="48">
        <v>0.0</v>
      </c>
      <c r="G409" s="43"/>
      <c r="H409" s="43"/>
      <c r="I409" s="43"/>
      <c r="J409" s="43"/>
      <c r="K409" s="43"/>
      <c r="L409" s="43"/>
      <c r="M409" s="43"/>
      <c r="N409" s="43"/>
    </row>
    <row r="410" ht="12.75" customHeight="1">
      <c r="A410" s="48" t="s">
        <v>74</v>
      </c>
      <c r="B410" s="48" t="s">
        <v>25</v>
      </c>
      <c r="C410" s="48" t="s">
        <v>75</v>
      </c>
      <c r="D410" s="48" t="s">
        <v>8</v>
      </c>
      <c r="E410" s="48"/>
      <c r="F410" s="48">
        <v>0.0</v>
      </c>
      <c r="G410" s="43"/>
      <c r="H410" s="43"/>
      <c r="I410" s="43"/>
      <c r="J410" s="43"/>
      <c r="K410" s="43"/>
      <c r="L410" s="43"/>
      <c r="M410" s="43"/>
      <c r="N410" s="43"/>
    </row>
    <row r="411" ht="12.75" customHeight="1">
      <c r="A411" s="48" t="s">
        <v>74</v>
      </c>
      <c r="B411" s="48" t="s">
        <v>25</v>
      </c>
      <c r="C411" s="48" t="s">
        <v>75</v>
      </c>
      <c r="D411" s="48" t="s">
        <v>8</v>
      </c>
      <c r="E411" s="48"/>
      <c r="F411" s="48">
        <v>0.0</v>
      </c>
      <c r="G411" s="43"/>
      <c r="H411" s="43"/>
      <c r="I411" s="43"/>
      <c r="J411" s="43"/>
      <c r="K411" s="43"/>
      <c r="L411" s="43"/>
      <c r="M411" s="43"/>
      <c r="N411" s="43"/>
    </row>
    <row r="412" ht="12.75" customHeight="1">
      <c r="A412" s="48" t="s">
        <v>74</v>
      </c>
      <c r="B412" s="48" t="s">
        <v>25</v>
      </c>
      <c r="C412" s="48" t="s">
        <v>75</v>
      </c>
      <c r="D412" s="48" t="s">
        <v>8</v>
      </c>
      <c r="E412" s="48"/>
      <c r="F412" s="48">
        <v>0.0</v>
      </c>
      <c r="G412" s="43"/>
      <c r="H412" s="43"/>
      <c r="I412" s="43"/>
      <c r="J412" s="43"/>
      <c r="K412" s="43"/>
      <c r="L412" s="43"/>
      <c r="M412" s="43"/>
      <c r="N412" s="43"/>
    </row>
    <row r="413" ht="12.75" customHeight="1">
      <c r="A413" s="48" t="s">
        <v>74</v>
      </c>
      <c r="B413" s="48" t="s">
        <v>25</v>
      </c>
      <c r="C413" s="48" t="s">
        <v>75</v>
      </c>
      <c r="D413" s="48" t="s">
        <v>8</v>
      </c>
      <c r="E413" s="48"/>
      <c r="F413" s="48">
        <v>0.0</v>
      </c>
      <c r="G413" s="43"/>
      <c r="H413" s="43"/>
      <c r="I413" s="43"/>
      <c r="J413" s="43"/>
      <c r="K413" s="43"/>
      <c r="L413" s="43"/>
      <c r="M413" s="43"/>
      <c r="N413" s="43"/>
    </row>
    <row r="414" ht="12.75" customHeight="1">
      <c r="A414" s="48" t="s">
        <v>74</v>
      </c>
      <c r="B414" s="48" t="s">
        <v>25</v>
      </c>
      <c r="C414" s="48" t="s">
        <v>75</v>
      </c>
      <c r="D414" s="48" t="s">
        <v>8</v>
      </c>
      <c r="E414" s="48"/>
      <c r="F414" s="48">
        <v>0.0</v>
      </c>
      <c r="G414" s="43"/>
      <c r="H414" s="43"/>
      <c r="I414" s="43"/>
      <c r="J414" s="43"/>
      <c r="K414" s="43"/>
      <c r="L414" s="43"/>
      <c r="M414" s="43"/>
      <c r="N414" s="43"/>
    </row>
    <row r="415" ht="12.75" customHeight="1">
      <c r="A415" s="48" t="s">
        <v>74</v>
      </c>
      <c r="B415" s="48" t="s">
        <v>25</v>
      </c>
      <c r="C415" s="48" t="s">
        <v>75</v>
      </c>
      <c r="D415" s="48" t="s">
        <v>8</v>
      </c>
      <c r="E415" s="48"/>
      <c r="F415" s="48">
        <v>0.0</v>
      </c>
      <c r="G415" s="43"/>
      <c r="H415" s="43"/>
      <c r="I415" s="43"/>
      <c r="J415" s="43"/>
      <c r="K415" s="43"/>
      <c r="L415" s="43"/>
      <c r="M415" s="43"/>
      <c r="N415" s="43"/>
    </row>
    <row r="416" ht="12.75" customHeight="1">
      <c r="A416" s="48" t="s">
        <v>74</v>
      </c>
      <c r="B416" s="48" t="s">
        <v>25</v>
      </c>
      <c r="C416" s="48" t="s">
        <v>75</v>
      </c>
      <c r="D416" s="48" t="s">
        <v>8</v>
      </c>
      <c r="E416" s="48"/>
      <c r="F416" s="48">
        <v>0.0</v>
      </c>
      <c r="G416" s="43"/>
      <c r="H416" s="43"/>
      <c r="I416" s="43"/>
      <c r="J416" s="43"/>
      <c r="K416" s="43"/>
      <c r="L416" s="43"/>
      <c r="M416" s="43"/>
      <c r="N416" s="43"/>
    </row>
    <row r="417" ht="12.75" customHeight="1">
      <c r="A417" s="48" t="s">
        <v>74</v>
      </c>
      <c r="B417" s="48" t="s">
        <v>25</v>
      </c>
      <c r="C417" s="48" t="s">
        <v>75</v>
      </c>
      <c r="D417" s="48" t="s">
        <v>8</v>
      </c>
      <c r="E417" s="48"/>
      <c r="F417" s="48">
        <v>0.0</v>
      </c>
      <c r="G417" s="43"/>
      <c r="H417" s="43"/>
      <c r="I417" s="43"/>
      <c r="J417" s="43"/>
      <c r="K417" s="43"/>
      <c r="L417" s="43"/>
      <c r="M417" s="43"/>
      <c r="N417" s="43"/>
    </row>
    <row r="418" ht="12.75" customHeight="1">
      <c r="A418" s="48" t="s">
        <v>74</v>
      </c>
      <c r="B418" s="48" t="s">
        <v>25</v>
      </c>
      <c r="C418" s="48" t="s">
        <v>75</v>
      </c>
      <c r="D418" s="48" t="s">
        <v>8</v>
      </c>
      <c r="E418" s="48"/>
      <c r="F418" s="48">
        <v>0.0</v>
      </c>
      <c r="G418" s="43"/>
      <c r="H418" s="43"/>
      <c r="I418" s="43"/>
      <c r="J418" s="43"/>
      <c r="K418" s="43"/>
      <c r="L418" s="43"/>
      <c r="M418" s="43"/>
      <c r="N418" s="43"/>
    </row>
    <row r="419" ht="12.75" customHeight="1">
      <c r="A419" s="48" t="s">
        <v>74</v>
      </c>
      <c r="B419" s="48" t="s">
        <v>25</v>
      </c>
      <c r="C419" s="48" t="s">
        <v>75</v>
      </c>
      <c r="D419" s="48" t="s">
        <v>47</v>
      </c>
      <c r="E419" s="48"/>
      <c r="F419" s="48">
        <v>0.0</v>
      </c>
      <c r="G419" s="43"/>
      <c r="H419" s="43"/>
      <c r="I419" s="43"/>
      <c r="J419" s="43"/>
      <c r="K419" s="43"/>
      <c r="L419" s="43"/>
      <c r="M419" s="43"/>
      <c r="N419" s="43"/>
    </row>
    <row r="420" ht="12.75" customHeight="1">
      <c r="A420" s="48" t="s">
        <v>74</v>
      </c>
      <c r="B420" s="48" t="s">
        <v>25</v>
      </c>
      <c r="C420" s="48" t="s">
        <v>75</v>
      </c>
      <c r="D420" s="48" t="s">
        <v>47</v>
      </c>
      <c r="E420" s="48"/>
      <c r="F420" s="48">
        <v>0.0</v>
      </c>
      <c r="G420" s="43"/>
      <c r="H420" s="43"/>
      <c r="I420" s="43"/>
      <c r="J420" s="43"/>
      <c r="K420" s="43"/>
      <c r="L420" s="43"/>
      <c r="M420" s="43"/>
      <c r="N420" s="43"/>
    </row>
    <row r="421" ht="12.75" customHeight="1">
      <c r="A421" s="48" t="s">
        <v>74</v>
      </c>
      <c r="B421" s="48" t="s">
        <v>25</v>
      </c>
      <c r="C421" s="48" t="s">
        <v>7</v>
      </c>
      <c r="D421" s="48" t="s">
        <v>58</v>
      </c>
      <c r="E421" s="48"/>
      <c r="F421" s="48">
        <v>0.0</v>
      </c>
      <c r="G421" s="43"/>
      <c r="H421" s="43"/>
      <c r="I421" s="43"/>
      <c r="J421" s="43"/>
      <c r="K421" s="43"/>
      <c r="L421" s="43"/>
      <c r="M421" s="43"/>
      <c r="N421" s="43"/>
    </row>
    <row r="422" ht="12.75" customHeight="1">
      <c r="A422" s="48" t="s">
        <v>74</v>
      </c>
      <c r="B422" s="48" t="s">
        <v>25</v>
      </c>
      <c r="C422" s="48" t="s">
        <v>75</v>
      </c>
      <c r="D422" s="48" t="s">
        <v>8</v>
      </c>
      <c r="E422" s="48"/>
      <c r="F422" s="48">
        <v>8307.6</v>
      </c>
      <c r="G422" s="43"/>
      <c r="H422" s="43"/>
      <c r="I422" s="43"/>
      <c r="J422" s="43"/>
      <c r="K422" s="43"/>
      <c r="L422" s="43"/>
      <c r="M422" s="43"/>
      <c r="N422" s="43"/>
    </row>
    <row r="423" ht="12.75" customHeight="1">
      <c r="A423" s="48" t="s">
        <v>74</v>
      </c>
      <c r="B423" s="48" t="s">
        <v>25</v>
      </c>
      <c r="C423" s="48" t="s">
        <v>75</v>
      </c>
      <c r="D423" s="48" t="s">
        <v>8</v>
      </c>
      <c r="E423" s="48"/>
      <c r="F423" s="48">
        <v>0.0</v>
      </c>
      <c r="G423" s="43"/>
      <c r="H423" s="43"/>
      <c r="I423" s="43"/>
      <c r="J423" s="43"/>
      <c r="K423" s="43"/>
      <c r="L423" s="43"/>
      <c r="M423" s="43"/>
      <c r="N423" s="43"/>
    </row>
    <row r="424" ht="12.75" customHeight="1">
      <c r="A424" s="48" t="s">
        <v>74</v>
      </c>
      <c r="B424" s="48" t="s">
        <v>25</v>
      </c>
      <c r="C424" s="48" t="s">
        <v>75</v>
      </c>
      <c r="D424" s="48" t="s">
        <v>54</v>
      </c>
      <c r="E424" s="48"/>
      <c r="F424" s="48">
        <v>4467.7</v>
      </c>
      <c r="G424" s="43"/>
      <c r="H424" s="43"/>
      <c r="I424" s="43"/>
      <c r="J424" s="43"/>
      <c r="K424" s="43"/>
      <c r="L424" s="43"/>
      <c r="M424" s="43"/>
      <c r="N424" s="43"/>
    </row>
    <row r="425" ht="12.75" customHeight="1">
      <c r="A425" s="48" t="s">
        <v>74</v>
      </c>
      <c r="B425" s="48" t="s">
        <v>25</v>
      </c>
      <c r="C425" s="48" t="s">
        <v>75</v>
      </c>
      <c r="D425" s="48" t="s">
        <v>49</v>
      </c>
      <c r="E425" s="48"/>
      <c r="F425" s="48">
        <v>0.0</v>
      </c>
      <c r="G425" s="43"/>
      <c r="H425" s="43"/>
      <c r="I425" s="43"/>
      <c r="J425" s="43"/>
      <c r="K425" s="43"/>
      <c r="L425" s="43"/>
      <c r="M425" s="43"/>
      <c r="N425" s="43"/>
    </row>
    <row r="426" ht="12.75" customHeight="1">
      <c r="A426" s="48" t="s">
        <v>74</v>
      </c>
      <c r="B426" s="48" t="s">
        <v>25</v>
      </c>
      <c r="C426" s="48" t="s">
        <v>75</v>
      </c>
      <c r="D426" s="48" t="s">
        <v>58</v>
      </c>
      <c r="E426" s="48"/>
      <c r="F426" s="48">
        <v>39891.1</v>
      </c>
      <c r="G426" s="43"/>
      <c r="H426" s="43"/>
      <c r="I426" s="43"/>
      <c r="J426" s="43"/>
      <c r="K426" s="43"/>
      <c r="L426" s="43"/>
      <c r="M426" s="43"/>
      <c r="N426" s="43"/>
    </row>
    <row r="427" ht="12.75" customHeight="1">
      <c r="A427" s="48" t="s">
        <v>74</v>
      </c>
      <c r="B427" s="48" t="s">
        <v>25</v>
      </c>
      <c r="C427" s="48" t="s">
        <v>75</v>
      </c>
      <c r="D427" s="48" t="s">
        <v>8</v>
      </c>
      <c r="E427" s="48"/>
      <c r="F427" s="48">
        <v>0.0</v>
      </c>
      <c r="G427" s="43"/>
      <c r="H427" s="43"/>
      <c r="I427" s="43"/>
      <c r="J427" s="43"/>
      <c r="K427" s="43"/>
      <c r="L427" s="43"/>
      <c r="M427" s="43"/>
      <c r="N427" s="43"/>
    </row>
    <row r="428" ht="12.75" customHeight="1">
      <c r="A428" s="48" t="s">
        <v>74</v>
      </c>
      <c r="B428" s="48" t="s">
        <v>25</v>
      </c>
      <c r="C428" s="48" t="s">
        <v>75</v>
      </c>
      <c r="D428" s="48" t="s">
        <v>8</v>
      </c>
      <c r="E428" s="48"/>
      <c r="F428" s="48">
        <v>35462.1</v>
      </c>
      <c r="G428" s="43"/>
      <c r="H428" s="43"/>
      <c r="I428" s="43"/>
      <c r="J428" s="43"/>
      <c r="K428" s="43"/>
      <c r="L428" s="43"/>
      <c r="M428" s="43"/>
      <c r="N428" s="43"/>
    </row>
    <row r="429" ht="12.75" customHeight="1">
      <c r="A429" s="48" t="s">
        <v>74</v>
      </c>
      <c r="B429" s="48" t="s">
        <v>25</v>
      </c>
      <c r="C429" s="48" t="s">
        <v>75</v>
      </c>
      <c r="D429" s="48" t="s">
        <v>8</v>
      </c>
      <c r="E429" s="48"/>
      <c r="F429" s="48">
        <v>21500.0</v>
      </c>
      <c r="G429" s="43"/>
      <c r="H429" s="43"/>
      <c r="I429" s="43"/>
      <c r="J429" s="43"/>
      <c r="K429" s="43"/>
      <c r="L429" s="43"/>
      <c r="M429" s="43"/>
      <c r="N429" s="43"/>
    </row>
    <row r="430" ht="12.75" customHeight="1">
      <c r="A430" s="48" t="s">
        <v>74</v>
      </c>
      <c r="B430" s="48" t="s">
        <v>25</v>
      </c>
      <c r="C430" s="48" t="s">
        <v>75</v>
      </c>
      <c r="D430" s="48" t="s">
        <v>8</v>
      </c>
      <c r="E430" s="48"/>
      <c r="F430" s="48">
        <v>325510.0</v>
      </c>
      <c r="G430" s="43"/>
      <c r="H430" s="43"/>
      <c r="I430" s="43"/>
      <c r="J430" s="43"/>
      <c r="K430" s="43"/>
      <c r="L430" s="43"/>
      <c r="M430" s="43"/>
      <c r="N430" s="43"/>
    </row>
    <row r="431" ht="12.75" customHeight="1">
      <c r="A431" s="48" t="s">
        <v>74</v>
      </c>
      <c r="B431" s="48" t="s">
        <v>25</v>
      </c>
      <c r="C431" s="48" t="s">
        <v>75</v>
      </c>
      <c r="D431" s="48" t="s">
        <v>8</v>
      </c>
      <c r="E431" s="48"/>
      <c r="F431" s="48">
        <v>29128.199999999997</v>
      </c>
      <c r="G431" s="43"/>
      <c r="H431" s="43"/>
      <c r="I431" s="43"/>
      <c r="J431" s="43"/>
      <c r="K431" s="43"/>
      <c r="L431" s="43"/>
      <c r="M431" s="43"/>
      <c r="N431" s="43"/>
    </row>
    <row r="432" ht="12.75" customHeight="1">
      <c r="A432" s="48" t="s">
        <v>74</v>
      </c>
      <c r="B432" s="48" t="s">
        <v>25</v>
      </c>
      <c r="C432" s="48" t="s">
        <v>75</v>
      </c>
      <c r="D432" s="48" t="s">
        <v>8</v>
      </c>
      <c r="E432" s="48"/>
      <c r="F432" s="48">
        <v>47553.7</v>
      </c>
      <c r="G432" s="43"/>
      <c r="H432" s="43"/>
      <c r="I432" s="43"/>
      <c r="J432" s="43"/>
      <c r="K432" s="43"/>
      <c r="L432" s="43"/>
      <c r="M432" s="43"/>
      <c r="N432" s="43"/>
    </row>
    <row r="433" ht="12.75" customHeight="1">
      <c r="A433" s="48" t="s">
        <v>74</v>
      </c>
      <c r="B433" s="48" t="s">
        <v>25</v>
      </c>
      <c r="C433" s="48" t="s">
        <v>75</v>
      </c>
      <c r="D433" s="48" t="s">
        <v>8</v>
      </c>
      <c r="E433" s="48"/>
      <c r="F433" s="48">
        <v>311083.5</v>
      </c>
      <c r="G433" s="43"/>
      <c r="H433" s="43"/>
      <c r="I433" s="43"/>
      <c r="J433" s="43"/>
      <c r="K433" s="43"/>
      <c r="L433" s="43"/>
      <c r="M433" s="43"/>
      <c r="N433" s="43"/>
    </row>
    <row r="434" ht="12.75" customHeight="1">
      <c r="A434" s="48" t="s">
        <v>74</v>
      </c>
      <c r="B434" s="48" t="s">
        <v>25</v>
      </c>
      <c r="C434" s="48" t="s">
        <v>75</v>
      </c>
      <c r="D434" s="48" t="s">
        <v>8</v>
      </c>
      <c r="E434" s="48"/>
      <c r="F434" s="48">
        <v>664913.2999999999</v>
      </c>
      <c r="G434" s="43"/>
      <c r="H434" s="43"/>
      <c r="I434" s="43"/>
      <c r="J434" s="43"/>
      <c r="K434" s="43"/>
      <c r="L434" s="43"/>
      <c r="M434" s="43"/>
      <c r="N434" s="43"/>
    </row>
    <row r="435" ht="12.75" customHeight="1">
      <c r="A435" s="48" t="s">
        <v>74</v>
      </c>
      <c r="B435" s="48" t="s">
        <v>25</v>
      </c>
      <c r="C435" s="48" t="s">
        <v>75</v>
      </c>
      <c r="D435" s="48" t="s">
        <v>8</v>
      </c>
      <c r="E435" s="48"/>
      <c r="F435" s="48">
        <v>-6450.0</v>
      </c>
      <c r="G435" s="43"/>
      <c r="H435" s="43"/>
      <c r="I435" s="43"/>
      <c r="J435" s="43"/>
      <c r="K435" s="43"/>
      <c r="L435" s="43"/>
      <c r="M435" s="43"/>
      <c r="N435" s="43"/>
    </row>
    <row r="436" ht="12.75" customHeight="1">
      <c r="A436" s="48" t="s">
        <v>74</v>
      </c>
      <c r="B436" s="48" t="s">
        <v>25</v>
      </c>
      <c r="C436" s="48" t="s">
        <v>75</v>
      </c>
      <c r="D436" s="48" t="s">
        <v>8</v>
      </c>
      <c r="E436" s="48"/>
      <c r="F436" s="48">
        <v>0.0</v>
      </c>
      <c r="G436" s="43"/>
      <c r="H436" s="43"/>
      <c r="I436" s="43"/>
      <c r="J436" s="43"/>
      <c r="K436" s="43"/>
      <c r="L436" s="43"/>
      <c r="M436" s="43"/>
      <c r="N436" s="43"/>
    </row>
    <row r="437" ht="12.75" customHeight="1">
      <c r="A437" s="48" t="s">
        <v>74</v>
      </c>
      <c r="B437" s="48" t="s">
        <v>25</v>
      </c>
      <c r="C437" s="48" t="s">
        <v>75</v>
      </c>
      <c r="D437" s="48" t="s">
        <v>8</v>
      </c>
      <c r="E437" s="48"/>
      <c r="F437" s="48">
        <v>999681.2</v>
      </c>
      <c r="G437" s="43"/>
      <c r="H437" s="43"/>
      <c r="I437" s="43"/>
      <c r="J437" s="43"/>
      <c r="K437" s="43"/>
      <c r="L437" s="43"/>
      <c r="M437" s="43"/>
      <c r="N437" s="43"/>
    </row>
    <row r="438" ht="12.75" customHeight="1">
      <c r="A438" s="48" t="s">
        <v>74</v>
      </c>
      <c r="B438" s="48" t="s">
        <v>25</v>
      </c>
      <c r="C438" s="48" t="s">
        <v>75</v>
      </c>
      <c r="D438" s="48" t="s">
        <v>8</v>
      </c>
      <c r="E438" s="48"/>
      <c r="F438" s="48">
        <v>0.0</v>
      </c>
      <c r="G438" s="43"/>
      <c r="H438" s="43"/>
      <c r="I438" s="43"/>
      <c r="J438" s="43"/>
      <c r="K438" s="43"/>
      <c r="L438" s="43"/>
      <c r="M438" s="43"/>
      <c r="N438" s="43"/>
    </row>
    <row r="439" ht="12.75" customHeight="1">
      <c r="A439" s="48" t="s">
        <v>74</v>
      </c>
      <c r="B439" s="48" t="s">
        <v>25</v>
      </c>
      <c r="C439" s="48" t="s">
        <v>75</v>
      </c>
      <c r="D439" s="48" t="s">
        <v>8</v>
      </c>
      <c r="E439" s="48"/>
      <c r="F439" s="48">
        <v>0.0</v>
      </c>
      <c r="G439" s="43"/>
      <c r="H439" s="43"/>
      <c r="I439" s="43"/>
      <c r="J439" s="43"/>
      <c r="K439" s="43"/>
      <c r="L439" s="43"/>
      <c r="M439" s="43"/>
      <c r="N439" s="43"/>
    </row>
    <row r="440" ht="12.75" customHeight="1">
      <c r="A440" s="48" t="s">
        <v>74</v>
      </c>
      <c r="B440" s="48" t="s">
        <v>25</v>
      </c>
      <c r="C440" s="48" t="s">
        <v>75</v>
      </c>
      <c r="D440" s="48" t="s">
        <v>8</v>
      </c>
      <c r="E440" s="48"/>
      <c r="F440" s="48">
        <v>149640.0</v>
      </c>
      <c r="G440" s="43"/>
      <c r="H440" s="43"/>
      <c r="I440" s="43"/>
      <c r="J440" s="43"/>
      <c r="K440" s="43"/>
      <c r="L440" s="43"/>
      <c r="M440" s="43"/>
      <c r="N440" s="43"/>
    </row>
    <row r="441" ht="12.75" customHeight="1">
      <c r="A441" s="48" t="s">
        <v>74</v>
      </c>
      <c r="B441" s="48" t="s">
        <v>25</v>
      </c>
      <c r="C441" s="48" t="s">
        <v>75</v>
      </c>
      <c r="D441" s="48" t="s">
        <v>8</v>
      </c>
      <c r="E441" s="48"/>
      <c r="F441" s="48">
        <v>138666.4</v>
      </c>
      <c r="G441" s="43"/>
      <c r="H441" s="43"/>
      <c r="I441" s="43"/>
      <c r="J441" s="43"/>
      <c r="K441" s="43"/>
      <c r="L441" s="43"/>
      <c r="M441" s="43"/>
      <c r="N441" s="43"/>
    </row>
    <row r="442" ht="12.75" customHeight="1">
      <c r="A442" s="48" t="s">
        <v>74</v>
      </c>
      <c r="B442" s="48" t="s">
        <v>25</v>
      </c>
      <c r="C442" s="48" t="s">
        <v>75</v>
      </c>
      <c r="D442" s="48" t="s">
        <v>8</v>
      </c>
      <c r="E442" s="48"/>
      <c r="F442" s="48">
        <v>5443.8</v>
      </c>
      <c r="G442" s="43"/>
      <c r="H442" s="43"/>
      <c r="I442" s="43"/>
      <c r="J442" s="43"/>
      <c r="K442" s="43"/>
      <c r="L442" s="43"/>
      <c r="M442" s="43"/>
      <c r="N442" s="43"/>
    </row>
    <row r="443" ht="12.75" customHeight="1">
      <c r="A443" s="48" t="s">
        <v>74</v>
      </c>
      <c r="B443" s="48" t="s">
        <v>25</v>
      </c>
      <c r="C443" s="48" t="s">
        <v>75</v>
      </c>
      <c r="D443" s="48" t="s">
        <v>8</v>
      </c>
      <c r="E443" s="48"/>
      <c r="F443" s="48">
        <v>10750.0</v>
      </c>
      <c r="G443" s="43"/>
      <c r="H443" s="43"/>
      <c r="I443" s="43"/>
      <c r="J443" s="43"/>
      <c r="K443" s="43"/>
      <c r="L443" s="43"/>
      <c r="M443" s="43"/>
      <c r="N443" s="43"/>
    </row>
    <row r="444" ht="12.75" customHeight="1">
      <c r="A444" s="48" t="s">
        <v>74</v>
      </c>
      <c r="B444" s="48" t="s">
        <v>25</v>
      </c>
      <c r="C444" s="48" t="s">
        <v>75</v>
      </c>
      <c r="D444" s="48" t="s">
        <v>8</v>
      </c>
      <c r="E444" s="48"/>
      <c r="F444" s="48">
        <v>119127.2</v>
      </c>
      <c r="G444" s="43"/>
      <c r="H444" s="43"/>
      <c r="I444" s="43"/>
      <c r="J444" s="43"/>
      <c r="K444" s="43"/>
      <c r="L444" s="43"/>
      <c r="M444" s="43"/>
      <c r="N444" s="43"/>
    </row>
    <row r="445" ht="12.75" customHeight="1">
      <c r="A445" s="48" t="s">
        <v>74</v>
      </c>
      <c r="B445" s="48" t="s">
        <v>25</v>
      </c>
      <c r="C445" s="48" t="s">
        <v>75</v>
      </c>
      <c r="D445" s="48" t="s">
        <v>54</v>
      </c>
      <c r="E445" s="48"/>
      <c r="F445" s="48">
        <v>33389.5</v>
      </c>
      <c r="G445" s="43"/>
      <c r="H445" s="43"/>
      <c r="I445" s="43"/>
      <c r="J445" s="43"/>
      <c r="K445" s="43"/>
      <c r="L445" s="43"/>
      <c r="M445" s="43"/>
      <c r="N445" s="43"/>
    </row>
    <row r="446" ht="12.75" customHeight="1">
      <c r="A446" s="48" t="s">
        <v>74</v>
      </c>
      <c r="B446" s="48" t="s">
        <v>25</v>
      </c>
      <c r="C446" s="48" t="s">
        <v>75</v>
      </c>
      <c r="D446" s="48" t="s">
        <v>54</v>
      </c>
      <c r="E446" s="48"/>
      <c r="F446" s="48">
        <v>5375.0</v>
      </c>
      <c r="G446" s="43"/>
      <c r="H446" s="43"/>
      <c r="I446" s="43"/>
      <c r="J446" s="43"/>
      <c r="K446" s="43"/>
      <c r="L446" s="43"/>
      <c r="M446" s="43"/>
      <c r="N446" s="43"/>
    </row>
    <row r="447" ht="12.75" customHeight="1">
      <c r="A447" s="48" t="s">
        <v>74</v>
      </c>
      <c r="B447" s="48" t="s">
        <v>25</v>
      </c>
      <c r="C447" s="48" t="s">
        <v>75</v>
      </c>
      <c r="D447" s="48" t="s">
        <v>54</v>
      </c>
      <c r="E447" s="48"/>
      <c r="F447" s="48">
        <v>0.0</v>
      </c>
      <c r="G447" s="43"/>
      <c r="H447" s="43"/>
      <c r="I447" s="43"/>
      <c r="J447" s="43"/>
      <c r="K447" s="43"/>
      <c r="L447" s="43"/>
      <c r="M447" s="43"/>
      <c r="N447" s="43"/>
    </row>
    <row r="448" ht="12.75" customHeight="1">
      <c r="A448" s="48" t="s">
        <v>74</v>
      </c>
      <c r="B448" s="48" t="s">
        <v>25</v>
      </c>
      <c r="C448" s="48" t="s">
        <v>75</v>
      </c>
      <c r="D448" s="48" t="s">
        <v>49</v>
      </c>
      <c r="E448" s="48"/>
      <c r="F448" s="48">
        <v>3698.0</v>
      </c>
      <c r="G448" s="43"/>
      <c r="H448" s="43"/>
      <c r="I448" s="43"/>
      <c r="J448" s="43"/>
      <c r="K448" s="43"/>
      <c r="L448" s="43"/>
      <c r="M448" s="43"/>
      <c r="N448" s="43"/>
    </row>
    <row r="449" ht="12.75" customHeight="1">
      <c r="A449" s="48" t="s">
        <v>74</v>
      </c>
      <c r="B449" s="48" t="s">
        <v>25</v>
      </c>
      <c r="C449" s="48" t="s">
        <v>75</v>
      </c>
      <c r="D449" s="48" t="s">
        <v>50</v>
      </c>
      <c r="E449" s="48"/>
      <c r="F449" s="48">
        <v>537.5</v>
      </c>
      <c r="G449" s="43"/>
      <c r="H449" s="43"/>
      <c r="I449" s="43"/>
      <c r="J449" s="43"/>
      <c r="K449" s="43"/>
      <c r="L449" s="43"/>
      <c r="M449" s="43"/>
      <c r="N449" s="43"/>
    </row>
    <row r="450" ht="12.75" customHeight="1">
      <c r="A450" s="48" t="s">
        <v>74</v>
      </c>
      <c r="B450" s="48" t="s">
        <v>25</v>
      </c>
      <c r="C450" s="48" t="s">
        <v>75</v>
      </c>
      <c r="D450" s="48" t="s">
        <v>50</v>
      </c>
      <c r="E450" s="48"/>
      <c r="F450" s="48">
        <v>765.4</v>
      </c>
      <c r="G450" s="43"/>
      <c r="H450" s="43"/>
      <c r="I450" s="43"/>
      <c r="J450" s="43"/>
      <c r="K450" s="43"/>
      <c r="L450" s="43"/>
      <c r="M450" s="43"/>
      <c r="N450" s="43"/>
    </row>
    <row r="451" ht="12.75" customHeight="1">
      <c r="A451" s="48" t="s">
        <v>74</v>
      </c>
      <c r="B451" s="48" t="s">
        <v>25</v>
      </c>
      <c r="C451" s="48" t="s">
        <v>75</v>
      </c>
      <c r="D451" s="48" t="s">
        <v>50</v>
      </c>
      <c r="E451" s="48"/>
      <c r="F451" s="48">
        <v>679.4</v>
      </c>
      <c r="G451" s="43"/>
      <c r="H451" s="43"/>
      <c r="I451" s="43"/>
      <c r="J451" s="43"/>
      <c r="K451" s="43"/>
      <c r="L451" s="43"/>
      <c r="M451" s="43"/>
      <c r="N451" s="43"/>
    </row>
    <row r="452" ht="12.75" customHeight="1">
      <c r="A452" s="48" t="s">
        <v>74</v>
      </c>
      <c r="B452" s="48" t="s">
        <v>25</v>
      </c>
      <c r="C452" s="48" t="s">
        <v>75</v>
      </c>
      <c r="D452" s="48" t="s">
        <v>50</v>
      </c>
      <c r="E452" s="48"/>
      <c r="F452" s="48">
        <v>507.4</v>
      </c>
      <c r="G452" s="43"/>
      <c r="H452" s="43"/>
      <c r="I452" s="43"/>
      <c r="J452" s="43"/>
      <c r="K452" s="43"/>
      <c r="L452" s="43"/>
      <c r="M452" s="43"/>
      <c r="N452" s="43"/>
    </row>
    <row r="453" ht="12.75" customHeight="1">
      <c r="A453" s="48" t="s">
        <v>74</v>
      </c>
      <c r="B453" s="48" t="s">
        <v>25</v>
      </c>
      <c r="C453" s="48" t="s">
        <v>75</v>
      </c>
      <c r="D453" s="48" t="s">
        <v>50</v>
      </c>
      <c r="E453" s="48"/>
      <c r="F453" s="48">
        <v>563.3</v>
      </c>
      <c r="G453" s="43"/>
      <c r="H453" s="43"/>
      <c r="I453" s="43"/>
      <c r="J453" s="43"/>
      <c r="K453" s="43"/>
      <c r="L453" s="43"/>
      <c r="M453" s="43"/>
      <c r="N453" s="43"/>
    </row>
    <row r="454" ht="12.75" customHeight="1">
      <c r="A454" s="48" t="s">
        <v>74</v>
      </c>
      <c r="B454" s="48" t="s">
        <v>25</v>
      </c>
      <c r="C454" s="48" t="s">
        <v>75</v>
      </c>
      <c r="D454" s="48" t="s">
        <v>47</v>
      </c>
      <c r="E454" s="48"/>
      <c r="F454" s="48">
        <v>0.0</v>
      </c>
      <c r="G454" s="43"/>
      <c r="H454" s="43"/>
      <c r="I454" s="43"/>
      <c r="J454" s="43"/>
      <c r="K454" s="43"/>
      <c r="L454" s="43"/>
      <c r="M454" s="43"/>
      <c r="N454" s="43"/>
    </row>
    <row r="455" ht="12.75" customHeight="1">
      <c r="A455" s="48" t="s">
        <v>74</v>
      </c>
      <c r="B455" s="48" t="s">
        <v>25</v>
      </c>
      <c r="C455" s="48" t="s">
        <v>75</v>
      </c>
      <c r="D455" s="48" t="s">
        <v>47</v>
      </c>
      <c r="E455" s="48"/>
      <c r="F455" s="48">
        <v>1066.3999999999999</v>
      </c>
      <c r="G455" s="43"/>
      <c r="H455" s="43"/>
      <c r="I455" s="43"/>
      <c r="J455" s="43"/>
      <c r="K455" s="43"/>
      <c r="L455" s="43"/>
      <c r="M455" s="43"/>
      <c r="N455" s="43"/>
    </row>
    <row r="456" ht="12.75" customHeight="1">
      <c r="A456" s="48" t="s">
        <v>74</v>
      </c>
      <c r="B456" s="48" t="s">
        <v>25</v>
      </c>
      <c r="C456" s="48" t="s">
        <v>75</v>
      </c>
      <c r="D456" s="48" t="s">
        <v>47</v>
      </c>
      <c r="E456" s="48"/>
      <c r="F456" s="48">
        <v>-12.899999999999999</v>
      </c>
      <c r="G456" s="43"/>
      <c r="H456" s="43"/>
      <c r="I456" s="43"/>
      <c r="J456" s="43"/>
      <c r="K456" s="43"/>
      <c r="L456" s="43"/>
      <c r="M456" s="43"/>
      <c r="N456" s="43"/>
    </row>
    <row r="457" ht="12.75" customHeight="1">
      <c r="A457" s="48" t="s">
        <v>74</v>
      </c>
      <c r="B457" s="48" t="s">
        <v>25</v>
      </c>
      <c r="C457" s="48" t="s">
        <v>76</v>
      </c>
      <c r="D457" s="48" t="s">
        <v>8</v>
      </c>
      <c r="E457" s="48"/>
      <c r="F457" s="48">
        <v>1053.5</v>
      </c>
      <c r="G457" s="43"/>
      <c r="H457" s="43"/>
      <c r="I457" s="43"/>
      <c r="J457" s="43"/>
      <c r="K457" s="43"/>
      <c r="L457" s="43"/>
      <c r="M457" s="43"/>
      <c r="N457" s="43"/>
    </row>
    <row r="458" ht="12.75" customHeight="1">
      <c r="A458" s="48" t="s">
        <v>74</v>
      </c>
      <c r="B458" s="48" t="s">
        <v>25</v>
      </c>
      <c r="C458" s="48" t="s">
        <v>76</v>
      </c>
      <c r="D458" s="48" t="s">
        <v>54</v>
      </c>
      <c r="E458" s="48"/>
      <c r="F458" s="48">
        <v>369.8</v>
      </c>
      <c r="G458" s="43"/>
      <c r="H458" s="43"/>
      <c r="I458" s="43"/>
      <c r="J458" s="43"/>
      <c r="K458" s="43"/>
      <c r="L458" s="43"/>
      <c r="M458" s="43"/>
      <c r="N458" s="43"/>
    </row>
    <row r="459" ht="12.75" customHeight="1">
      <c r="A459" s="48" t="s">
        <v>74</v>
      </c>
      <c r="B459" s="48" t="s">
        <v>25</v>
      </c>
      <c r="C459" s="48" t="s">
        <v>76</v>
      </c>
      <c r="D459" s="48" t="s">
        <v>54</v>
      </c>
      <c r="E459" s="48"/>
      <c r="F459" s="48">
        <v>77898.8</v>
      </c>
      <c r="G459" s="43"/>
      <c r="H459" s="43"/>
      <c r="I459" s="43"/>
      <c r="J459" s="43"/>
      <c r="K459" s="43"/>
      <c r="L459" s="43"/>
      <c r="M459" s="43"/>
      <c r="N459" s="43"/>
    </row>
    <row r="460" ht="12.75" customHeight="1">
      <c r="A460" s="48" t="s">
        <v>74</v>
      </c>
      <c r="B460" s="48" t="s">
        <v>25</v>
      </c>
      <c r="C460" s="48" t="s">
        <v>76</v>
      </c>
      <c r="D460" s="48" t="s">
        <v>49</v>
      </c>
      <c r="E460" s="48"/>
      <c r="F460" s="48">
        <v>6923.0</v>
      </c>
      <c r="G460" s="43"/>
      <c r="H460" s="43"/>
      <c r="I460" s="43"/>
      <c r="J460" s="43"/>
      <c r="K460" s="43"/>
      <c r="L460" s="43"/>
      <c r="M460" s="43"/>
      <c r="N460" s="43"/>
    </row>
    <row r="461" ht="12.75" customHeight="1">
      <c r="A461" s="48" t="s">
        <v>74</v>
      </c>
      <c r="B461" s="48" t="s">
        <v>25</v>
      </c>
      <c r="C461" s="48" t="s">
        <v>76</v>
      </c>
      <c r="D461" s="48" t="s">
        <v>50</v>
      </c>
      <c r="E461" s="48"/>
      <c r="F461" s="48">
        <v>7039.099999999999</v>
      </c>
      <c r="G461" s="43"/>
      <c r="H461" s="43"/>
      <c r="I461" s="43"/>
      <c r="J461" s="43"/>
      <c r="K461" s="43"/>
      <c r="L461" s="43"/>
      <c r="M461" s="43"/>
      <c r="N461" s="43"/>
    </row>
    <row r="462" ht="12.75" customHeight="1">
      <c r="A462" s="48" t="s">
        <v>74</v>
      </c>
      <c r="B462" s="48" t="s">
        <v>25</v>
      </c>
      <c r="C462" s="48" t="s">
        <v>76</v>
      </c>
      <c r="D462" s="48" t="s">
        <v>50</v>
      </c>
      <c r="E462" s="48"/>
      <c r="F462" s="48">
        <v>18898.5</v>
      </c>
      <c r="G462" s="43"/>
      <c r="H462" s="43"/>
      <c r="I462" s="43"/>
      <c r="J462" s="43"/>
      <c r="K462" s="43"/>
      <c r="L462" s="43"/>
      <c r="M462" s="43"/>
      <c r="N462" s="43"/>
    </row>
    <row r="463" ht="12.75" customHeight="1">
      <c r="A463" s="48" t="s">
        <v>74</v>
      </c>
      <c r="B463" s="48" t="s">
        <v>25</v>
      </c>
      <c r="C463" s="48" t="s">
        <v>76</v>
      </c>
      <c r="D463" s="48" t="s">
        <v>50</v>
      </c>
      <c r="E463" s="48"/>
      <c r="F463" s="48">
        <v>15505.8</v>
      </c>
      <c r="G463" s="43"/>
      <c r="H463" s="43"/>
      <c r="I463" s="43"/>
      <c r="J463" s="43"/>
      <c r="K463" s="43"/>
      <c r="L463" s="43"/>
      <c r="M463" s="43"/>
      <c r="N463" s="43"/>
    </row>
    <row r="464" ht="12.75" customHeight="1">
      <c r="A464" s="48" t="s">
        <v>74</v>
      </c>
      <c r="B464" s="48" t="s">
        <v>25</v>
      </c>
      <c r="C464" s="48" t="s">
        <v>76</v>
      </c>
      <c r="D464" s="48" t="s">
        <v>50</v>
      </c>
      <c r="E464" s="48"/>
      <c r="F464" s="48">
        <v>7568.0</v>
      </c>
      <c r="G464" s="43"/>
      <c r="H464" s="43"/>
      <c r="I464" s="43"/>
      <c r="J464" s="43"/>
      <c r="K464" s="43"/>
      <c r="L464" s="43"/>
      <c r="M464" s="43"/>
      <c r="N464" s="43"/>
    </row>
    <row r="465" ht="12.75" customHeight="1">
      <c r="A465" s="48" t="s">
        <v>74</v>
      </c>
      <c r="B465" s="48" t="s">
        <v>25</v>
      </c>
      <c r="C465" s="48" t="s">
        <v>76</v>
      </c>
      <c r="D465" s="48" t="s">
        <v>50</v>
      </c>
      <c r="E465" s="48"/>
      <c r="F465" s="48">
        <v>6828.4</v>
      </c>
      <c r="G465" s="43"/>
      <c r="H465" s="43"/>
      <c r="I465" s="43"/>
      <c r="J465" s="43"/>
      <c r="K465" s="43"/>
      <c r="L465" s="43"/>
      <c r="M465" s="43"/>
      <c r="N465" s="43"/>
    </row>
    <row r="466" ht="12.75" customHeight="1">
      <c r="A466" s="48" t="s">
        <v>74</v>
      </c>
      <c r="B466" s="48" t="s">
        <v>25</v>
      </c>
      <c r="C466" s="48" t="s">
        <v>76</v>
      </c>
      <c r="D466" s="48" t="s">
        <v>50</v>
      </c>
      <c r="E466" s="48"/>
      <c r="F466" s="48">
        <v>9021.4</v>
      </c>
      <c r="G466" s="43"/>
      <c r="H466" s="43"/>
      <c r="I466" s="43"/>
      <c r="J466" s="43"/>
      <c r="K466" s="43"/>
      <c r="L466" s="43"/>
      <c r="M466" s="43"/>
      <c r="N466" s="43"/>
    </row>
    <row r="467" ht="12.75" customHeight="1">
      <c r="A467" s="48" t="s">
        <v>74</v>
      </c>
      <c r="B467" s="48" t="s">
        <v>25</v>
      </c>
      <c r="C467" s="48" t="s">
        <v>76</v>
      </c>
      <c r="D467" s="48" t="s">
        <v>50</v>
      </c>
      <c r="E467" s="48"/>
      <c r="F467" s="48">
        <v>25812.899999999998</v>
      </c>
      <c r="G467" s="43"/>
      <c r="H467" s="43"/>
      <c r="I467" s="43"/>
      <c r="J467" s="43"/>
      <c r="K467" s="43"/>
      <c r="L467" s="43"/>
      <c r="M467" s="43"/>
      <c r="N467" s="43"/>
    </row>
    <row r="468" ht="12.75" customHeight="1">
      <c r="A468" s="48" t="s">
        <v>74</v>
      </c>
      <c r="B468" s="48" t="s">
        <v>25</v>
      </c>
      <c r="C468" s="48" t="s">
        <v>76</v>
      </c>
      <c r="D468" s="48" t="s">
        <v>50</v>
      </c>
      <c r="E468" s="48"/>
      <c r="F468" s="48">
        <v>0.0</v>
      </c>
      <c r="G468" s="43"/>
      <c r="H468" s="43"/>
      <c r="I468" s="43"/>
      <c r="J468" s="43"/>
      <c r="K468" s="43"/>
      <c r="L468" s="43"/>
      <c r="M468" s="43"/>
      <c r="N468" s="43"/>
    </row>
    <row r="469" ht="12.75" customHeight="1">
      <c r="A469" s="48" t="s">
        <v>74</v>
      </c>
      <c r="B469" s="48" t="s">
        <v>25</v>
      </c>
      <c r="C469" s="48" t="s">
        <v>76</v>
      </c>
      <c r="D469" s="48" t="s">
        <v>50</v>
      </c>
      <c r="E469" s="48"/>
      <c r="F469" s="48">
        <v>70004.0</v>
      </c>
      <c r="G469" s="43"/>
      <c r="H469" s="43"/>
      <c r="I469" s="43"/>
      <c r="J469" s="43"/>
      <c r="K469" s="43"/>
      <c r="L469" s="43"/>
      <c r="M469" s="43"/>
      <c r="N469" s="43"/>
    </row>
    <row r="470" ht="12.75" customHeight="1">
      <c r="A470" s="48" t="s">
        <v>74</v>
      </c>
      <c r="B470" s="48" t="s">
        <v>25</v>
      </c>
      <c r="C470" s="48" t="s">
        <v>76</v>
      </c>
      <c r="D470" s="48" t="s">
        <v>47</v>
      </c>
      <c r="E470" s="48"/>
      <c r="F470" s="48">
        <v>8109.799999999999</v>
      </c>
      <c r="G470" s="43"/>
      <c r="H470" s="43"/>
      <c r="I470" s="43"/>
      <c r="J470" s="43"/>
      <c r="K470" s="43"/>
      <c r="L470" s="43"/>
      <c r="M470" s="43"/>
      <c r="N470" s="43"/>
    </row>
    <row r="471" ht="12.75" customHeight="1">
      <c r="A471" s="48" t="s">
        <v>74</v>
      </c>
      <c r="B471" s="48" t="s">
        <v>25</v>
      </c>
      <c r="C471" s="48" t="s">
        <v>76</v>
      </c>
      <c r="D471" s="48" t="s">
        <v>47</v>
      </c>
      <c r="E471" s="48"/>
      <c r="F471" s="48">
        <v>8178.599999999999</v>
      </c>
      <c r="G471" s="43"/>
      <c r="H471" s="43"/>
      <c r="I471" s="43"/>
      <c r="J471" s="43"/>
      <c r="K471" s="43"/>
      <c r="L471" s="43"/>
      <c r="M471" s="43"/>
      <c r="N471" s="43"/>
    </row>
    <row r="472" ht="12.75" customHeight="1">
      <c r="A472" s="48" t="s">
        <v>74</v>
      </c>
      <c r="B472" s="48" t="s">
        <v>25</v>
      </c>
      <c r="C472" s="48" t="s">
        <v>76</v>
      </c>
      <c r="D472" s="48" t="s">
        <v>47</v>
      </c>
      <c r="E472" s="48"/>
      <c r="F472" s="48">
        <v>18352.399999999998</v>
      </c>
      <c r="G472" s="43"/>
      <c r="H472" s="43"/>
      <c r="I472" s="43"/>
      <c r="J472" s="43"/>
      <c r="K472" s="43"/>
      <c r="L472" s="43"/>
      <c r="M472" s="43"/>
      <c r="N472" s="43"/>
    </row>
    <row r="473" ht="12.75" customHeight="1">
      <c r="A473" s="48" t="s">
        <v>74</v>
      </c>
      <c r="B473" s="48" t="s">
        <v>25</v>
      </c>
      <c r="C473" s="48" t="s">
        <v>76</v>
      </c>
      <c r="D473" s="48" t="s">
        <v>47</v>
      </c>
      <c r="E473" s="48"/>
      <c r="F473" s="48">
        <v>9666.4</v>
      </c>
      <c r="G473" s="43"/>
      <c r="H473" s="43"/>
      <c r="I473" s="43"/>
      <c r="J473" s="43"/>
      <c r="K473" s="43"/>
      <c r="L473" s="43"/>
      <c r="M473" s="43"/>
      <c r="N473" s="43"/>
    </row>
    <row r="474" ht="12.75" customHeight="1">
      <c r="A474" s="48" t="s">
        <v>74</v>
      </c>
      <c r="B474" s="48" t="s">
        <v>25</v>
      </c>
      <c r="C474" s="48" t="s">
        <v>76</v>
      </c>
      <c r="D474" s="48" t="s">
        <v>47</v>
      </c>
      <c r="E474" s="48"/>
      <c r="F474" s="48">
        <v>4239.8</v>
      </c>
      <c r="G474" s="43"/>
      <c r="H474" s="43"/>
      <c r="I474" s="43"/>
      <c r="J474" s="43"/>
      <c r="K474" s="43"/>
      <c r="L474" s="43"/>
      <c r="M474" s="43"/>
      <c r="N474" s="43"/>
    </row>
    <row r="475" ht="12.75" customHeight="1">
      <c r="A475" s="48" t="s">
        <v>74</v>
      </c>
      <c r="B475" s="48" t="s">
        <v>25</v>
      </c>
      <c r="C475" s="48" t="s">
        <v>76</v>
      </c>
      <c r="D475" s="48" t="s">
        <v>47</v>
      </c>
      <c r="E475" s="48"/>
      <c r="F475" s="48">
        <v>645.0</v>
      </c>
      <c r="G475" s="43"/>
      <c r="H475" s="43"/>
      <c r="I475" s="43"/>
      <c r="J475" s="43"/>
      <c r="K475" s="43"/>
      <c r="L475" s="43"/>
      <c r="M475" s="43"/>
      <c r="N475" s="43"/>
    </row>
    <row r="476" ht="12.75" customHeight="1">
      <c r="A476" s="48" t="s">
        <v>74</v>
      </c>
      <c r="B476" s="48" t="s">
        <v>25</v>
      </c>
      <c r="C476" s="48" t="s">
        <v>76</v>
      </c>
      <c r="D476" s="48" t="s">
        <v>47</v>
      </c>
      <c r="E476" s="48"/>
      <c r="F476" s="48">
        <v>3246.5</v>
      </c>
      <c r="G476" s="43"/>
      <c r="H476" s="43"/>
      <c r="I476" s="43"/>
      <c r="J476" s="43"/>
      <c r="K476" s="43"/>
      <c r="L476" s="43"/>
      <c r="M476" s="43"/>
      <c r="N476" s="43"/>
    </row>
    <row r="477" ht="12.75" customHeight="1">
      <c r="A477" s="48" t="s">
        <v>74</v>
      </c>
      <c r="B477" s="48" t="s">
        <v>25</v>
      </c>
      <c r="C477" s="48" t="s">
        <v>76</v>
      </c>
      <c r="D477" s="48" t="s">
        <v>47</v>
      </c>
      <c r="E477" s="48"/>
      <c r="F477" s="48">
        <v>6217.8</v>
      </c>
      <c r="G477" s="43"/>
      <c r="H477" s="43"/>
      <c r="I477" s="43"/>
      <c r="J477" s="43"/>
      <c r="K477" s="43"/>
      <c r="L477" s="43"/>
      <c r="M477" s="43"/>
      <c r="N477" s="43"/>
    </row>
    <row r="478" ht="12.75" customHeight="1">
      <c r="A478" s="48" t="s">
        <v>74</v>
      </c>
      <c r="B478" s="48" t="s">
        <v>25</v>
      </c>
      <c r="C478" s="48" t="s">
        <v>7</v>
      </c>
      <c r="D478" s="48" t="s">
        <v>58</v>
      </c>
      <c r="E478" s="48"/>
      <c r="F478" s="48">
        <v>37010.1</v>
      </c>
      <c r="G478" s="43"/>
      <c r="H478" s="43"/>
      <c r="I478" s="43"/>
      <c r="J478" s="43"/>
      <c r="K478" s="43"/>
      <c r="L478" s="43"/>
      <c r="M478" s="43"/>
      <c r="N478" s="43"/>
    </row>
    <row r="479" ht="12.75" customHeight="1">
      <c r="A479" s="48" t="s">
        <v>74</v>
      </c>
      <c r="B479" s="48" t="s">
        <v>25</v>
      </c>
      <c r="C479" s="48" t="s">
        <v>7</v>
      </c>
      <c r="D479" s="48" t="s">
        <v>8</v>
      </c>
      <c r="E479" s="48"/>
      <c r="F479" s="48">
        <v>3199.2</v>
      </c>
      <c r="G479" s="43"/>
      <c r="H479" s="43"/>
      <c r="I479" s="43"/>
      <c r="J479" s="43"/>
      <c r="K479" s="43"/>
      <c r="L479" s="43"/>
      <c r="M479" s="43"/>
      <c r="N479" s="43"/>
    </row>
    <row r="480" ht="12.75" customHeight="1">
      <c r="A480" s="48" t="s">
        <v>74</v>
      </c>
      <c r="B480" s="48" t="s">
        <v>27</v>
      </c>
      <c r="C480" s="48" t="s">
        <v>78</v>
      </c>
      <c r="D480" s="48" t="s">
        <v>8</v>
      </c>
      <c r="E480" s="48"/>
      <c r="F480" s="48">
        <v>2575.7</v>
      </c>
      <c r="G480" s="43"/>
      <c r="H480" s="43"/>
      <c r="I480" s="43"/>
      <c r="J480" s="43"/>
      <c r="K480" s="43"/>
      <c r="L480" s="43"/>
      <c r="M480" s="43"/>
      <c r="N480" s="43"/>
    </row>
    <row r="481" ht="12.75" customHeight="1">
      <c r="A481" s="48" t="s">
        <v>74</v>
      </c>
      <c r="B481" s="48" t="s">
        <v>25</v>
      </c>
      <c r="C481" s="48" t="s">
        <v>75</v>
      </c>
      <c r="D481" s="48" t="s">
        <v>8</v>
      </c>
      <c r="E481" s="48"/>
      <c r="F481" s="48">
        <v>0.0</v>
      </c>
      <c r="G481" s="43"/>
      <c r="H481" s="43"/>
      <c r="I481" s="43"/>
      <c r="J481" s="43"/>
      <c r="K481" s="43"/>
      <c r="L481" s="43"/>
      <c r="M481" s="43"/>
      <c r="N481" s="43"/>
    </row>
    <row r="482" ht="12.75" customHeight="1">
      <c r="A482" s="48" t="s">
        <v>74</v>
      </c>
      <c r="B482" s="48" t="s">
        <v>25</v>
      </c>
      <c r="C482" s="48" t="s">
        <v>75</v>
      </c>
      <c r="D482" s="48" t="s">
        <v>8</v>
      </c>
      <c r="E482" s="48"/>
      <c r="F482" s="48">
        <v>0.0</v>
      </c>
      <c r="G482" s="43"/>
      <c r="H482" s="43"/>
      <c r="I482" s="43"/>
      <c r="J482" s="43"/>
      <c r="K482" s="43"/>
      <c r="L482" s="43"/>
      <c r="M482" s="43"/>
      <c r="N482" s="43"/>
    </row>
    <row r="483" ht="12.75" customHeight="1">
      <c r="A483" s="48" t="s">
        <v>74</v>
      </c>
      <c r="B483" s="48" t="s">
        <v>25</v>
      </c>
      <c r="C483" s="48" t="s">
        <v>75</v>
      </c>
      <c r="D483" s="48" t="s">
        <v>8</v>
      </c>
      <c r="E483" s="48"/>
      <c r="F483" s="48">
        <v>108970.59999999999</v>
      </c>
      <c r="G483" s="43"/>
      <c r="H483" s="43"/>
      <c r="I483" s="43"/>
      <c r="J483" s="43"/>
      <c r="K483" s="43"/>
      <c r="L483" s="43"/>
      <c r="M483" s="43"/>
      <c r="N483" s="43"/>
    </row>
    <row r="484" ht="12.75" customHeight="1">
      <c r="A484" s="48" t="s">
        <v>74</v>
      </c>
      <c r="B484" s="48" t="s">
        <v>25</v>
      </c>
      <c r="C484" s="48" t="s">
        <v>75</v>
      </c>
      <c r="D484" s="48" t="s">
        <v>8</v>
      </c>
      <c r="E484" s="48"/>
      <c r="F484" s="48">
        <v>0.0</v>
      </c>
      <c r="G484" s="43"/>
      <c r="H484" s="43"/>
      <c r="I484" s="43"/>
      <c r="J484" s="43"/>
      <c r="K484" s="43"/>
      <c r="L484" s="43"/>
      <c r="M484" s="43"/>
      <c r="N484" s="43"/>
    </row>
    <row r="485" ht="12.75" customHeight="1">
      <c r="A485" s="48" t="s">
        <v>74</v>
      </c>
      <c r="B485" s="48" t="s">
        <v>25</v>
      </c>
      <c r="C485" s="48" t="s">
        <v>75</v>
      </c>
      <c r="D485" s="48" t="s">
        <v>8</v>
      </c>
      <c r="E485" s="48"/>
      <c r="F485" s="48">
        <v>0.0</v>
      </c>
      <c r="G485" s="43"/>
      <c r="H485" s="43"/>
      <c r="I485" s="43"/>
      <c r="J485" s="43"/>
      <c r="K485" s="43"/>
      <c r="L485" s="43"/>
      <c r="M485" s="43"/>
      <c r="N485" s="43"/>
    </row>
    <row r="486" ht="12.75" customHeight="1">
      <c r="A486" s="48" t="s">
        <v>74</v>
      </c>
      <c r="B486" s="48" t="s">
        <v>25</v>
      </c>
      <c r="C486" s="48" t="s">
        <v>75</v>
      </c>
      <c r="D486" s="48" t="s">
        <v>8</v>
      </c>
      <c r="E486" s="48"/>
      <c r="F486" s="48">
        <v>0.0</v>
      </c>
      <c r="G486" s="43"/>
      <c r="H486" s="43"/>
      <c r="I486" s="43"/>
      <c r="J486" s="43"/>
      <c r="K486" s="43"/>
      <c r="L486" s="43"/>
      <c r="M486" s="43"/>
      <c r="N486" s="43"/>
    </row>
    <row r="487" ht="12.75" customHeight="1">
      <c r="A487" s="48" t="s">
        <v>74</v>
      </c>
      <c r="B487" s="48" t="s">
        <v>25</v>
      </c>
      <c r="C487" s="48" t="s">
        <v>75</v>
      </c>
      <c r="D487" s="48" t="s">
        <v>8</v>
      </c>
      <c r="E487" s="48"/>
      <c r="F487" s="48">
        <v>25778.5</v>
      </c>
      <c r="G487" s="43"/>
      <c r="H487" s="43"/>
      <c r="I487" s="43"/>
      <c r="J487" s="43"/>
      <c r="K487" s="43"/>
      <c r="L487" s="43"/>
      <c r="M487" s="43"/>
      <c r="N487" s="43"/>
    </row>
    <row r="488" ht="12.75" customHeight="1">
      <c r="A488" s="48" t="s">
        <v>74</v>
      </c>
      <c r="B488" s="48" t="s">
        <v>25</v>
      </c>
      <c r="C488" s="48" t="s">
        <v>75</v>
      </c>
      <c r="D488" s="48" t="s">
        <v>8</v>
      </c>
      <c r="E488" s="48"/>
      <c r="F488" s="48">
        <v>0.0</v>
      </c>
      <c r="G488" s="43"/>
      <c r="H488" s="43"/>
      <c r="I488" s="43"/>
      <c r="J488" s="43"/>
      <c r="K488" s="43"/>
      <c r="L488" s="43"/>
      <c r="M488" s="43"/>
      <c r="N488" s="43"/>
    </row>
    <row r="489" ht="12.75" customHeight="1">
      <c r="A489" s="48" t="s">
        <v>74</v>
      </c>
      <c r="B489" s="48" t="s">
        <v>25</v>
      </c>
      <c r="C489" s="48" t="s">
        <v>75</v>
      </c>
      <c r="D489" s="48" t="s">
        <v>8</v>
      </c>
      <c r="E489" s="48"/>
      <c r="F489" s="48">
        <v>68769.9</v>
      </c>
      <c r="G489" s="43"/>
      <c r="H489" s="43"/>
      <c r="I489" s="43"/>
      <c r="J489" s="43"/>
      <c r="K489" s="43"/>
      <c r="L489" s="43"/>
      <c r="M489" s="43"/>
      <c r="N489" s="43"/>
    </row>
    <row r="490" ht="12.75" customHeight="1">
      <c r="A490" s="48" t="s">
        <v>74</v>
      </c>
      <c r="B490" s="48" t="s">
        <v>25</v>
      </c>
      <c r="C490" s="48" t="s">
        <v>75</v>
      </c>
      <c r="D490" s="48" t="s">
        <v>8</v>
      </c>
      <c r="E490" s="48"/>
      <c r="F490" s="48">
        <v>7228.299999999999</v>
      </c>
      <c r="G490" s="43"/>
      <c r="H490" s="43"/>
      <c r="I490" s="43"/>
      <c r="J490" s="43"/>
      <c r="K490" s="43"/>
      <c r="L490" s="43"/>
      <c r="M490" s="43"/>
      <c r="N490" s="43"/>
    </row>
    <row r="491" ht="12.75" customHeight="1">
      <c r="A491" s="48" t="s">
        <v>74</v>
      </c>
      <c r="B491" s="48" t="s">
        <v>25</v>
      </c>
      <c r="C491" s="48" t="s">
        <v>75</v>
      </c>
      <c r="D491" s="48" t="s">
        <v>8</v>
      </c>
      <c r="E491" s="48"/>
      <c r="F491" s="48">
        <v>0.0</v>
      </c>
      <c r="G491" s="43"/>
      <c r="H491" s="43"/>
      <c r="I491" s="43"/>
      <c r="J491" s="43"/>
      <c r="K491" s="43"/>
      <c r="L491" s="43"/>
      <c r="M491" s="43"/>
      <c r="N491" s="43"/>
    </row>
    <row r="492" ht="12.75" customHeight="1">
      <c r="A492" s="48" t="s">
        <v>74</v>
      </c>
      <c r="B492" s="48" t="s">
        <v>25</v>
      </c>
      <c r="C492" s="48" t="s">
        <v>75</v>
      </c>
      <c r="D492" s="48" t="s">
        <v>8</v>
      </c>
      <c r="E492" s="48"/>
      <c r="F492" s="48">
        <v>0.0</v>
      </c>
      <c r="G492" s="43"/>
      <c r="H492" s="43"/>
      <c r="I492" s="43"/>
      <c r="J492" s="43"/>
      <c r="K492" s="43"/>
      <c r="L492" s="43"/>
      <c r="M492" s="43"/>
      <c r="N492" s="43"/>
    </row>
    <row r="493" ht="12.75" customHeight="1">
      <c r="A493" s="48" t="s">
        <v>74</v>
      </c>
      <c r="B493" s="48" t="s">
        <v>25</v>
      </c>
      <c r="C493" s="48" t="s">
        <v>75</v>
      </c>
      <c r="D493" s="48" t="s">
        <v>8</v>
      </c>
      <c r="E493" s="48"/>
      <c r="F493" s="48">
        <v>0.0</v>
      </c>
      <c r="G493" s="43"/>
      <c r="H493" s="43"/>
      <c r="I493" s="43"/>
      <c r="J493" s="43"/>
      <c r="K493" s="43"/>
      <c r="L493" s="43"/>
      <c r="M493" s="43"/>
      <c r="N493" s="43"/>
    </row>
    <row r="494" ht="12.75" customHeight="1">
      <c r="A494" s="48" t="s">
        <v>74</v>
      </c>
      <c r="B494" s="48" t="s">
        <v>25</v>
      </c>
      <c r="C494" s="48" t="s">
        <v>75</v>
      </c>
      <c r="D494" s="48" t="s">
        <v>8</v>
      </c>
      <c r="E494" s="48"/>
      <c r="F494" s="48">
        <v>0.0</v>
      </c>
      <c r="G494" s="43"/>
      <c r="H494" s="43"/>
      <c r="I494" s="43"/>
      <c r="J494" s="43"/>
      <c r="K494" s="43"/>
      <c r="L494" s="43"/>
      <c r="M494" s="43"/>
      <c r="N494" s="43"/>
    </row>
    <row r="495" ht="12.75" customHeight="1">
      <c r="A495" s="48" t="s">
        <v>74</v>
      </c>
      <c r="B495" s="48" t="s">
        <v>25</v>
      </c>
      <c r="C495" s="48" t="s">
        <v>75</v>
      </c>
      <c r="D495" s="48" t="s">
        <v>8</v>
      </c>
      <c r="E495" s="48"/>
      <c r="F495" s="48">
        <v>0.0</v>
      </c>
      <c r="G495" s="43"/>
      <c r="H495" s="43"/>
      <c r="I495" s="43"/>
      <c r="J495" s="43"/>
      <c r="K495" s="43"/>
      <c r="L495" s="43"/>
      <c r="M495" s="43"/>
      <c r="N495" s="43"/>
    </row>
    <row r="496" ht="12.75" customHeight="1">
      <c r="A496" s="48" t="s">
        <v>74</v>
      </c>
      <c r="B496" s="48" t="s">
        <v>25</v>
      </c>
      <c r="C496" s="48" t="s">
        <v>75</v>
      </c>
      <c r="D496" s="48" t="s">
        <v>8</v>
      </c>
      <c r="E496" s="48"/>
      <c r="F496" s="48">
        <v>0.0</v>
      </c>
      <c r="G496" s="43"/>
      <c r="H496" s="43"/>
      <c r="I496" s="43"/>
      <c r="J496" s="43"/>
      <c r="K496" s="43"/>
      <c r="L496" s="43"/>
      <c r="M496" s="43"/>
      <c r="N496" s="43"/>
    </row>
    <row r="497" ht="12.75" customHeight="1">
      <c r="A497" s="48" t="s">
        <v>74</v>
      </c>
      <c r="B497" s="48" t="s">
        <v>25</v>
      </c>
      <c r="C497" s="48" t="s">
        <v>75</v>
      </c>
      <c r="D497" s="48" t="s">
        <v>8</v>
      </c>
      <c r="E497" s="48"/>
      <c r="F497" s="48">
        <v>123814.2</v>
      </c>
      <c r="G497" s="43"/>
      <c r="H497" s="43"/>
      <c r="I497" s="43"/>
      <c r="J497" s="43"/>
      <c r="K497" s="43"/>
      <c r="L497" s="43"/>
      <c r="M497" s="43"/>
      <c r="N497" s="43"/>
    </row>
    <row r="498" ht="12.75" customHeight="1">
      <c r="A498" s="48" t="s">
        <v>74</v>
      </c>
      <c r="B498" s="48" t="s">
        <v>25</v>
      </c>
      <c r="C498" s="48" t="s">
        <v>75</v>
      </c>
      <c r="D498" s="48" t="s">
        <v>8</v>
      </c>
      <c r="E498" s="48"/>
      <c r="F498" s="48">
        <v>0.0</v>
      </c>
      <c r="G498" s="43"/>
      <c r="H498" s="43"/>
      <c r="I498" s="43"/>
      <c r="J498" s="43"/>
      <c r="K498" s="43"/>
      <c r="L498" s="43"/>
      <c r="M498" s="43"/>
      <c r="N498" s="43"/>
    </row>
    <row r="499" ht="12.75" customHeight="1">
      <c r="A499" s="48" t="s">
        <v>74</v>
      </c>
      <c r="B499" s="48" t="s">
        <v>25</v>
      </c>
      <c r="C499" s="48" t="s">
        <v>75</v>
      </c>
      <c r="D499" s="48" t="s">
        <v>8</v>
      </c>
      <c r="E499" s="48"/>
      <c r="F499" s="48">
        <v>13699.8</v>
      </c>
      <c r="G499" s="43"/>
      <c r="H499" s="43"/>
      <c r="I499" s="43"/>
      <c r="J499" s="43"/>
      <c r="K499" s="43"/>
      <c r="L499" s="43"/>
      <c r="M499" s="43"/>
      <c r="N499" s="43"/>
    </row>
    <row r="500" ht="12.75" customHeight="1">
      <c r="A500" s="48" t="s">
        <v>74</v>
      </c>
      <c r="B500" s="48" t="s">
        <v>25</v>
      </c>
      <c r="C500" s="48" t="s">
        <v>75</v>
      </c>
      <c r="D500" s="48" t="s">
        <v>8</v>
      </c>
      <c r="E500" s="48"/>
      <c r="F500" s="48">
        <v>0.0</v>
      </c>
      <c r="G500" s="43"/>
      <c r="H500" s="43"/>
      <c r="I500" s="43"/>
      <c r="J500" s="43"/>
      <c r="K500" s="43"/>
      <c r="L500" s="43"/>
      <c r="M500" s="43"/>
      <c r="N500" s="43"/>
    </row>
    <row r="501" ht="12.75" customHeight="1">
      <c r="A501" s="48" t="s">
        <v>74</v>
      </c>
      <c r="B501" s="48" t="s">
        <v>25</v>
      </c>
      <c r="C501" s="48" t="s">
        <v>75</v>
      </c>
      <c r="D501" s="48" t="s">
        <v>8</v>
      </c>
      <c r="E501" s="48"/>
      <c r="F501" s="48">
        <v>0.0</v>
      </c>
      <c r="G501" s="43"/>
      <c r="H501" s="43"/>
      <c r="I501" s="43"/>
      <c r="J501" s="43"/>
      <c r="K501" s="43"/>
      <c r="L501" s="43"/>
      <c r="M501" s="43"/>
      <c r="N501" s="43"/>
    </row>
    <row r="502" ht="12.75" customHeight="1">
      <c r="A502" s="48" t="s">
        <v>74</v>
      </c>
      <c r="B502" s="48" t="s">
        <v>25</v>
      </c>
      <c r="C502" s="48" t="s">
        <v>75</v>
      </c>
      <c r="D502" s="48" t="s">
        <v>8</v>
      </c>
      <c r="E502" s="48"/>
      <c r="F502" s="48">
        <v>0.0</v>
      </c>
      <c r="G502" s="43"/>
      <c r="H502" s="43"/>
      <c r="I502" s="43"/>
      <c r="J502" s="43"/>
      <c r="K502" s="43"/>
      <c r="L502" s="43"/>
      <c r="M502" s="43"/>
      <c r="N502" s="43"/>
    </row>
    <row r="503" ht="12.75" customHeight="1">
      <c r="A503" s="48" t="s">
        <v>74</v>
      </c>
      <c r="B503" s="48" t="s">
        <v>25</v>
      </c>
      <c r="C503" s="48" t="s">
        <v>75</v>
      </c>
      <c r="D503" s="48" t="s">
        <v>8</v>
      </c>
      <c r="E503" s="48"/>
      <c r="F503" s="48">
        <v>0.0</v>
      </c>
      <c r="G503" s="43"/>
      <c r="H503" s="43"/>
      <c r="I503" s="43"/>
      <c r="J503" s="43"/>
      <c r="K503" s="43"/>
      <c r="L503" s="43"/>
      <c r="M503" s="43"/>
      <c r="N503" s="43"/>
    </row>
    <row r="504" ht="12.75" customHeight="1">
      <c r="A504" s="48" t="s">
        <v>74</v>
      </c>
      <c r="B504" s="48" t="s">
        <v>25</v>
      </c>
      <c r="C504" s="48" t="s">
        <v>75</v>
      </c>
      <c r="D504" s="48" t="s">
        <v>8</v>
      </c>
      <c r="E504" s="48"/>
      <c r="F504" s="48">
        <v>57654.399999999994</v>
      </c>
      <c r="G504" s="43"/>
      <c r="H504" s="43"/>
      <c r="I504" s="43"/>
      <c r="J504" s="43"/>
      <c r="K504" s="43"/>
      <c r="L504" s="43"/>
      <c r="M504" s="43"/>
      <c r="N504" s="43"/>
    </row>
    <row r="505" ht="12.75" customHeight="1">
      <c r="A505" s="48" t="s">
        <v>74</v>
      </c>
      <c r="B505" s="48" t="s">
        <v>25</v>
      </c>
      <c r="C505" s="48" t="s">
        <v>75</v>
      </c>
      <c r="D505" s="48" t="s">
        <v>8</v>
      </c>
      <c r="E505" s="48"/>
      <c r="F505" s="48">
        <v>0.0</v>
      </c>
      <c r="G505" s="43"/>
      <c r="H505" s="43"/>
      <c r="I505" s="43"/>
      <c r="J505" s="43"/>
      <c r="K505" s="43"/>
      <c r="L505" s="43"/>
      <c r="M505" s="43"/>
      <c r="N505" s="43"/>
    </row>
    <row r="506" ht="12.75" customHeight="1">
      <c r="A506" s="48" t="s">
        <v>74</v>
      </c>
      <c r="B506" s="48" t="s">
        <v>25</v>
      </c>
      <c r="C506" s="48" t="s">
        <v>75</v>
      </c>
      <c r="D506" s="48" t="s">
        <v>8</v>
      </c>
      <c r="E506" s="48"/>
      <c r="F506" s="48">
        <v>0.0</v>
      </c>
      <c r="G506" s="43"/>
      <c r="H506" s="43"/>
      <c r="I506" s="43"/>
      <c r="J506" s="43"/>
      <c r="K506" s="43"/>
      <c r="L506" s="43"/>
      <c r="M506" s="43"/>
      <c r="N506" s="43"/>
    </row>
    <row r="507" ht="12.75" customHeight="1">
      <c r="A507" s="48" t="s">
        <v>74</v>
      </c>
      <c r="B507" s="48" t="s">
        <v>25</v>
      </c>
      <c r="C507" s="48" t="s">
        <v>75</v>
      </c>
      <c r="D507" s="48" t="s">
        <v>8</v>
      </c>
      <c r="E507" s="48"/>
      <c r="F507" s="48">
        <v>129524.59999999999</v>
      </c>
      <c r="G507" s="43"/>
      <c r="H507" s="43"/>
      <c r="I507" s="43"/>
      <c r="J507" s="43"/>
      <c r="K507" s="43"/>
      <c r="L507" s="43"/>
      <c r="M507" s="43"/>
      <c r="N507" s="43"/>
    </row>
    <row r="508" ht="12.75" customHeight="1">
      <c r="A508" s="48" t="s">
        <v>74</v>
      </c>
      <c r="B508" s="48" t="s">
        <v>25</v>
      </c>
      <c r="C508" s="48" t="s">
        <v>75</v>
      </c>
      <c r="D508" s="48" t="s">
        <v>54</v>
      </c>
      <c r="E508" s="48"/>
      <c r="F508" s="48">
        <v>32297.3</v>
      </c>
      <c r="G508" s="43"/>
      <c r="H508" s="43"/>
      <c r="I508" s="43"/>
      <c r="J508" s="43"/>
      <c r="K508" s="43"/>
      <c r="L508" s="43"/>
      <c r="M508" s="43"/>
      <c r="N508" s="43"/>
    </row>
    <row r="509" ht="12.75" customHeight="1">
      <c r="A509" s="48" t="s">
        <v>74</v>
      </c>
      <c r="B509" s="48" t="s">
        <v>25</v>
      </c>
      <c r="C509" s="48" t="s">
        <v>75</v>
      </c>
      <c r="D509" s="48" t="s">
        <v>54</v>
      </c>
      <c r="E509" s="48"/>
      <c r="F509" s="48">
        <v>0.0</v>
      </c>
      <c r="G509" s="43"/>
      <c r="H509" s="43"/>
      <c r="I509" s="43"/>
      <c r="J509" s="43"/>
      <c r="K509" s="43"/>
      <c r="L509" s="43"/>
      <c r="M509" s="43"/>
      <c r="N509" s="43"/>
    </row>
    <row r="510" ht="12.75" customHeight="1">
      <c r="A510" s="48" t="s">
        <v>74</v>
      </c>
      <c r="B510" s="48" t="s">
        <v>25</v>
      </c>
      <c r="C510" s="48" t="s">
        <v>75</v>
      </c>
      <c r="D510" s="48" t="s">
        <v>49</v>
      </c>
      <c r="E510" s="48"/>
      <c r="F510" s="48">
        <v>3698.0</v>
      </c>
      <c r="G510" s="43"/>
      <c r="H510" s="43"/>
      <c r="I510" s="43"/>
      <c r="J510" s="43"/>
      <c r="K510" s="43"/>
      <c r="L510" s="43"/>
      <c r="M510" s="43"/>
      <c r="N510" s="43"/>
    </row>
    <row r="511" ht="12.75" customHeight="1">
      <c r="A511" s="48" t="s">
        <v>74</v>
      </c>
      <c r="B511" s="48" t="s">
        <v>25</v>
      </c>
      <c r="C511" s="48" t="s">
        <v>75</v>
      </c>
      <c r="D511" s="48" t="s">
        <v>50</v>
      </c>
      <c r="E511" s="48"/>
      <c r="F511" s="48">
        <v>696.6</v>
      </c>
      <c r="G511" s="43"/>
      <c r="H511" s="43"/>
      <c r="I511" s="43"/>
      <c r="J511" s="43"/>
      <c r="K511" s="43"/>
      <c r="L511" s="43"/>
      <c r="M511" s="43"/>
      <c r="N511" s="43"/>
    </row>
    <row r="512" ht="12.75" customHeight="1">
      <c r="A512" s="48" t="s">
        <v>74</v>
      </c>
      <c r="B512" s="48" t="s">
        <v>25</v>
      </c>
      <c r="C512" s="48" t="s">
        <v>75</v>
      </c>
      <c r="D512" s="48" t="s">
        <v>50</v>
      </c>
      <c r="E512" s="48"/>
      <c r="F512" s="48">
        <v>997.5999999999999</v>
      </c>
      <c r="G512" s="43"/>
      <c r="H512" s="43"/>
      <c r="I512" s="43"/>
      <c r="J512" s="43"/>
      <c r="K512" s="43"/>
      <c r="L512" s="43"/>
      <c r="M512" s="43"/>
      <c r="N512" s="43"/>
    </row>
    <row r="513" ht="12.75" customHeight="1">
      <c r="A513" s="48" t="s">
        <v>74</v>
      </c>
      <c r="B513" s="48" t="s">
        <v>25</v>
      </c>
      <c r="C513" s="48" t="s">
        <v>75</v>
      </c>
      <c r="D513" s="48" t="s">
        <v>50</v>
      </c>
      <c r="E513" s="48"/>
      <c r="F513" s="48">
        <v>7400.299999999999</v>
      </c>
      <c r="G513" s="43"/>
      <c r="H513" s="43"/>
      <c r="I513" s="43"/>
      <c r="J513" s="43"/>
      <c r="K513" s="43"/>
      <c r="L513" s="43"/>
      <c r="M513" s="43"/>
      <c r="N513" s="43"/>
    </row>
    <row r="514" ht="12.75" customHeight="1">
      <c r="A514" s="48" t="s">
        <v>74</v>
      </c>
      <c r="B514" s="48" t="s">
        <v>25</v>
      </c>
      <c r="C514" s="48" t="s">
        <v>75</v>
      </c>
      <c r="D514" s="48" t="s">
        <v>50</v>
      </c>
      <c r="E514" s="48"/>
      <c r="F514" s="48">
        <v>885.8</v>
      </c>
      <c r="G514" s="43"/>
      <c r="H514" s="43"/>
      <c r="I514" s="43"/>
      <c r="J514" s="43"/>
      <c r="K514" s="43"/>
      <c r="L514" s="43"/>
      <c r="M514" s="43"/>
      <c r="N514" s="43"/>
    </row>
    <row r="515" ht="12.75" customHeight="1">
      <c r="A515" s="48" t="s">
        <v>74</v>
      </c>
      <c r="B515" s="48" t="s">
        <v>25</v>
      </c>
      <c r="C515" s="48" t="s">
        <v>75</v>
      </c>
      <c r="D515" s="48" t="s">
        <v>50</v>
      </c>
      <c r="E515" s="48"/>
      <c r="F515" s="48">
        <v>657.9</v>
      </c>
      <c r="G515" s="43"/>
      <c r="H515" s="43"/>
      <c r="I515" s="43"/>
      <c r="J515" s="43"/>
      <c r="K515" s="43"/>
      <c r="L515" s="43"/>
      <c r="M515" s="43"/>
      <c r="N515" s="43"/>
    </row>
    <row r="516" ht="12.75" customHeight="1">
      <c r="A516" s="48" t="s">
        <v>74</v>
      </c>
      <c r="B516" s="48" t="s">
        <v>25</v>
      </c>
      <c r="C516" s="48" t="s">
        <v>75</v>
      </c>
      <c r="D516" s="48" t="s">
        <v>50</v>
      </c>
      <c r="E516" s="48"/>
      <c r="F516" s="48">
        <v>45128.5</v>
      </c>
      <c r="G516" s="43"/>
      <c r="H516" s="43"/>
      <c r="I516" s="43"/>
      <c r="J516" s="43"/>
      <c r="K516" s="43"/>
      <c r="L516" s="43"/>
      <c r="M516" s="43"/>
      <c r="N516" s="43"/>
    </row>
    <row r="517" ht="12.75" customHeight="1">
      <c r="A517" s="48" t="s">
        <v>74</v>
      </c>
      <c r="B517" s="48" t="s">
        <v>25</v>
      </c>
      <c r="C517" s="48" t="s">
        <v>75</v>
      </c>
      <c r="D517" s="48" t="s">
        <v>50</v>
      </c>
      <c r="E517" s="48"/>
      <c r="F517" s="48">
        <v>6204.9</v>
      </c>
      <c r="G517" s="43"/>
      <c r="H517" s="43"/>
      <c r="I517" s="43"/>
      <c r="J517" s="43"/>
      <c r="K517" s="43"/>
      <c r="L517" s="43"/>
      <c r="M517" s="43"/>
      <c r="N517" s="43"/>
    </row>
    <row r="518" ht="12.75" customHeight="1">
      <c r="A518" s="48" t="s">
        <v>74</v>
      </c>
      <c r="B518" s="48" t="s">
        <v>25</v>
      </c>
      <c r="C518" s="48" t="s">
        <v>75</v>
      </c>
      <c r="D518" s="48" t="s">
        <v>50</v>
      </c>
      <c r="E518" s="48"/>
      <c r="F518" s="48">
        <v>735.3</v>
      </c>
      <c r="G518" s="43"/>
      <c r="H518" s="43"/>
      <c r="I518" s="43"/>
      <c r="J518" s="43"/>
      <c r="K518" s="43"/>
      <c r="L518" s="43"/>
      <c r="M518" s="43"/>
      <c r="N518" s="43"/>
    </row>
    <row r="519" ht="12.75" customHeight="1">
      <c r="A519" s="48" t="s">
        <v>74</v>
      </c>
      <c r="B519" s="48" t="s">
        <v>25</v>
      </c>
      <c r="C519" s="48" t="s">
        <v>75</v>
      </c>
      <c r="D519" s="48" t="s">
        <v>50</v>
      </c>
      <c r="E519" s="48"/>
      <c r="F519" s="48">
        <v>6991.799999999999</v>
      </c>
      <c r="G519" s="43"/>
      <c r="H519" s="43"/>
      <c r="I519" s="43"/>
      <c r="J519" s="43"/>
      <c r="K519" s="43"/>
      <c r="L519" s="43"/>
      <c r="M519" s="43"/>
      <c r="N519" s="43"/>
    </row>
    <row r="520" ht="12.75" customHeight="1">
      <c r="A520" s="48" t="s">
        <v>74</v>
      </c>
      <c r="B520" s="48" t="s">
        <v>25</v>
      </c>
      <c r="C520" s="48" t="s">
        <v>75</v>
      </c>
      <c r="D520" s="48" t="s">
        <v>47</v>
      </c>
      <c r="E520" s="48"/>
      <c r="F520" s="48">
        <v>967.5</v>
      </c>
      <c r="G520" s="43"/>
      <c r="H520" s="43"/>
      <c r="I520" s="43"/>
      <c r="J520" s="43"/>
      <c r="K520" s="43"/>
      <c r="L520" s="43"/>
      <c r="M520" s="43"/>
      <c r="N520" s="43"/>
    </row>
    <row r="521" ht="12.75" customHeight="1">
      <c r="A521" s="48" t="s">
        <v>74</v>
      </c>
      <c r="B521" s="48" t="s">
        <v>25</v>
      </c>
      <c r="C521" s="48" t="s">
        <v>75</v>
      </c>
      <c r="D521" s="48" t="s">
        <v>47</v>
      </c>
      <c r="E521" s="48"/>
      <c r="F521" s="48">
        <v>-53414.6</v>
      </c>
      <c r="G521" s="43"/>
      <c r="H521" s="43"/>
      <c r="I521" s="43"/>
      <c r="J521" s="43"/>
      <c r="K521" s="43"/>
      <c r="L521" s="43"/>
      <c r="M521" s="43"/>
      <c r="N521" s="43"/>
    </row>
    <row r="522" ht="12.75" customHeight="1">
      <c r="A522" s="48" t="s">
        <v>74</v>
      </c>
      <c r="B522" s="48" t="s">
        <v>25</v>
      </c>
      <c r="C522" s="48" t="s">
        <v>76</v>
      </c>
      <c r="D522" s="48" t="s">
        <v>53</v>
      </c>
      <c r="E522" s="48"/>
      <c r="F522" s="48">
        <v>1032.0</v>
      </c>
      <c r="G522" s="43"/>
      <c r="H522" s="43"/>
      <c r="I522" s="43"/>
      <c r="J522" s="43"/>
      <c r="K522" s="43"/>
      <c r="L522" s="43"/>
      <c r="M522" s="43"/>
      <c r="N522" s="43"/>
    </row>
    <row r="523" ht="12.75" customHeight="1">
      <c r="A523" s="48" t="s">
        <v>74</v>
      </c>
      <c r="B523" s="48" t="s">
        <v>25</v>
      </c>
      <c r="C523" s="48" t="s">
        <v>76</v>
      </c>
      <c r="D523" s="48" t="s">
        <v>53</v>
      </c>
      <c r="E523" s="48"/>
      <c r="F523" s="48">
        <v>5908.2</v>
      </c>
      <c r="G523" s="43"/>
      <c r="H523" s="43"/>
      <c r="I523" s="43"/>
      <c r="J523" s="43"/>
      <c r="K523" s="43"/>
      <c r="L523" s="43"/>
      <c r="M523" s="43"/>
      <c r="N523" s="43"/>
    </row>
    <row r="524" ht="12.75" customHeight="1">
      <c r="A524" s="48" t="s">
        <v>74</v>
      </c>
      <c r="B524" s="48" t="s">
        <v>25</v>
      </c>
      <c r="C524" s="48" t="s">
        <v>76</v>
      </c>
      <c r="D524" s="48" t="s">
        <v>53</v>
      </c>
      <c r="E524" s="48"/>
      <c r="F524" s="48">
        <v>9632.0</v>
      </c>
      <c r="G524" s="43"/>
      <c r="H524" s="43"/>
      <c r="I524" s="43"/>
      <c r="J524" s="43"/>
      <c r="K524" s="43"/>
      <c r="L524" s="43"/>
      <c r="M524" s="43"/>
      <c r="N524" s="43"/>
    </row>
    <row r="525" ht="12.75" customHeight="1">
      <c r="A525" s="48" t="s">
        <v>74</v>
      </c>
      <c r="B525" s="48" t="s">
        <v>25</v>
      </c>
      <c r="C525" s="48" t="s">
        <v>76</v>
      </c>
      <c r="D525" s="48" t="s">
        <v>53</v>
      </c>
      <c r="E525" s="48"/>
      <c r="F525" s="48">
        <v>9632.0</v>
      </c>
      <c r="G525" s="43"/>
      <c r="H525" s="43"/>
      <c r="I525" s="43"/>
      <c r="J525" s="43"/>
      <c r="K525" s="43"/>
      <c r="L525" s="43"/>
      <c r="M525" s="43"/>
      <c r="N525" s="43"/>
    </row>
    <row r="526" ht="12.75" customHeight="1">
      <c r="A526" s="48" t="s">
        <v>74</v>
      </c>
      <c r="B526" s="48" t="s">
        <v>25</v>
      </c>
      <c r="C526" s="48" t="s">
        <v>76</v>
      </c>
      <c r="D526" s="48" t="s">
        <v>8</v>
      </c>
      <c r="E526" s="48"/>
      <c r="F526" s="48">
        <v>249.39999999999998</v>
      </c>
      <c r="G526" s="43"/>
      <c r="H526" s="43"/>
      <c r="I526" s="43"/>
      <c r="J526" s="43"/>
      <c r="K526" s="43"/>
      <c r="L526" s="43"/>
      <c r="M526" s="43"/>
      <c r="N526" s="43"/>
    </row>
    <row r="527" ht="12.75" customHeight="1">
      <c r="A527" s="48" t="s">
        <v>74</v>
      </c>
      <c r="B527" s="48" t="s">
        <v>25</v>
      </c>
      <c r="C527" s="48" t="s">
        <v>76</v>
      </c>
      <c r="D527" s="48" t="s">
        <v>54</v>
      </c>
      <c r="E527" s="48"/>
      <c r="F527" s="48">
        <v>0.0</v>
      </c>
      <c r="G527" s="43"/>
      <c r="H527" s="43"/>
      <c r="I527" s="43"/>
      <c r="J527" s="43"/>
      <c r="K527" s="43"/>
      <c r="L527" s="43"/>
      <c r="M527" s="43"/>
      <c r="N527" s="43"/>
    </row>
    <row r="528" ht="12.75" customHeight="1">
      <c r="A528" s="48" t="s">
        <v>74</v>
      </c>
      <c r="B528" s="48" t="s">
        <v>25</v>
      </c>
      <c r="C528" s="48" t="s">
        <v>76</v>
      </c>
      <c r="D528" s="48" t="s">
        <v>54</v>
      </c>
      <c r="E528" s="48"/>
      <c r="F528" s="48">
        <v>35569.6</v>
      </c>
      <c r="G528" s="43"/>
      <c r="H528" s="43"/>
      <c r="I528" s="43"/>
      <c r="J528" s="43"/>
      <c r="K528" s="43"/>
      <c r="L528" s="43"/>
      <c r="M528" s="43"/>
      <c r="N528" s="43"/>
    </row>
    <row r="529" ht="12.75" customHeight="1">
      <c r="A529" s="48" t="s">
        <v>74</v>
      </c>
      <c r="B529" s="48" t="s">
        <v>25</v>
      </c>
      <c r="C529" s="48" t="s">
        <v>76</v>
      </c>
      <c r="D529" s="48" t="s">
        <v>49</v>
      </c>
      <c r="E529" s="48"/>
      <c r="F529" s="48">
        <v>980.4</v>
      </c>
      <c r="G529" s="43"/>
      <c r="H529" s="43"/>
      <c r="I529" s="43"/>
      <c r="J529" s="43"/>
      <c r="K529" s="43"/>
      <c r="L529" s="43"/>
      <c r="M529" s="43"/>
      <c r="N529" s="43"/>
    </row>
    <row r="530" ht="12.75" customHeight="1">
      <c r="A530" s="48" t="s">
        <v>74</v>
      </c>
      <c r="B530" s="48" t="s">
        <v>25</v>
      </c>
      <c r="C530" s="48" t="s">
        <v>76</v>
      </c>
      <c r="D530" s="48" t="s">
        <v>50</v>
      </c>
      <c r="E530" s="48"/>
      <c r="F530" s="48">
        <v>-559.0</v>
      </c>
      <c r="G530" s="43"/>
      <c r="H530" s="43"/>
      <c r="I530" s="43"/>
      <c r="J530" s="43"/>
      <c r="K530" s="43"/>
      <c r="L530" s="43"/>
      <c r="M530" s="43"/>
      <c r="N530" s="43"/>
    </row>
    <row r="531" ht="12.75" customHeight="1">
      <c r="A531" s="48" t="s">
        <v>74</v>
      </c>
      <c r="B531" s="48" t="s">
        <v>25</v>
      </c>
      <c r="C531" s="48" t="s">
        <v>76</v>
      </c>
      <c r="D531" s="48" t="s">
        <v>50</v>
      </c>
      <c r="E531" s="48"/>
      <c r="F531" s="48">
        <v>2059.7</v>
      </c>
      <c r="G531" s="43"/>
      <c r="H531" s="43"/>
      <c r="I531" s="43"/>
      <c r="J531" s="43"/>
      <c r="K531" s="43"/>
      <c r="L531" s="43"/>
      <c r="M531" s="43"/>
      <c r="N531" s="43"/>
    </row>
    <row r="532" ht="12.75" customHeight="1">
      <c r="A532" s="48" t="s">
        <v>74</v>
      </c>
      <c r="B532" s="48" t="s">
        <v>25</v>
      </c>
      <c r="C532" s="48" t="s">
        <v>76</v>
      </c>
      <c r="D532" s="48" t="s">
        <v>50</v>
      </c>
      <c r="E532" s="48"/>
      <c r="F532" s="48">
        <v>16834.5</v>
      </c>
      <c r="G532" s="43"/>
      <c r="H532" s="43"/>
      <c r="I532" s="43"/>
      <c r="J532" s="43"/>
      <c r="K532" s="43"/>
      <c r="L532" s="43"/>
      <c r="M532" s="43"/>
      <c r="N532" s="43"/>
    </row>
    <row r="533" ht="12.75" customHeight="1">
      <c r="A533" s="48" t="s">
        <v>74</v>
      </c>
      <c r="B533" s="48" t="s">
        <v>25</v>
      </c>
      <c r="C533" s="48" t="s">
        <v>76</v>
      </c>
      <c r="D533" s="48" t="s">
        <v>50</v>
      </c>
      <c r="E533" s="48"/>
      <c r="F533" s="48">
        <v>8797.8</v>
      </c>
      <c r="G533" s="43"/>
      <c r="H533" s="43"/>
      <c r="I533" s="43"/>
      <c r="J533" s="43"/>
      <c r="K533" s="43"/>
      <c r="L533" s="43"/>
      <c r="M533" s="43"/>
      <c r="N533" s="43"/>
    </row>
    <row r="534" ht="12.75" customHeight="1">
      <c r="A534" s="48" t="s">
        <v>74</v>
      </c>
      <c r="B534" s="48" t="s">
        <v>25</v>
      </c>
      <c r="C534" s="48" t="s">
        <v>76</v>
      </c>
      <c r="D534" s="48" t="s">
        <v>50</v>
      </c>
      <c r="E534" s="48"/>
      <c r="F534" s="48">
        <v>13575.099999999999</v>
      </c>
      <c r="G534" s="43"/>
      <c r="H534" s="43"/>
      <c r="I534" s="43"/>
      <c r="J534" s="43"/>
      <c r="K534" s="43"/>
      <c r="L534" s="43"/>
      <c r="M534" s="43"/>
      <c r="N534" s="43"/>
    </row>
    <row r="535" ht="12.75" customHeight="1">
      <c r="A535" s="48" t="s">
        <v>74</v>
      </c>
      <c r="B535" s="48" t="s">
        <v>25</v>
      </c>
      <c r="C535" s="48" t="s">
        <v>76</v>
      </c>
      <c r="D535" s="48" t="s">
        <v>50</v>
      </c>
      <c r="E535" s="48"/>
      <c r="F535" s="48">
        <v>2403.7</v>
      </c>
      <c r="G535" s="43"/>
      <c r="H535" s="43"/>
      <c r="I535" s="43"/>
      <c r="J535" s="43"/>
      <c r="K535" s="43"/>
      <c r="L535" s="43"/>
      <c r="M535" s="43"/>
      <c r="N535" s="43"/>
    </row>
    <row r="536" ht="12.75" customHeight="1">
      <c r="A536" s="48" t="s">
        <v>74</v>
      </c>
      <c r="B536" s="48" t="s">
        <v>25</v>
      </c>
      <c r="C536" s="48" t="s">
        <v>76</v>
      </c>
      <c r="D536" s="48" t="s">
        <v>50</v>
      </c>
      <c r="E536" s="48"/>
      <c r="F536" s="48">
        <v>0.0</v>
      </c>
      <c r="G536" s="43"/>
      <c r="H536" s="43"/>
      <c r="I536" s="43"/>
      <c r="J536" s="43"/>
      <c r="K536" s="43"/>
      <c r="L536" s="43"/>
      <c r="M536" s="43"/>
      <c r="N536" s="43"/>
    </row>
    <row r="537" ht="12.75" customHeight="1">
      <c r="A537" s="48" t="s">
        <v>74</v>
      </c>
      <c r="B537" s="48" t="s">
        <v>25</v>
      </c>
      <c r="C537" s="48" t="s">
        <v>76</v>
      </c>
      <c r="D537" s="48" t="s">
        <v>50</v>
      </c>
      <c r="E537" s="48"/>
      <c r="F537" s="48">
        <v>59838.799999999996</v>
      </c>
      <c r="G537" s="43"/>
      <c r="H537" s="43"/>
      <c r="I537" s="43"/>
      <c r="J537" s="43"/>
      <c r="K537" s="43"/>
      <c r="L537" s="43"/>
      <c r="M537" s="43"/>
      <c r="N537" s="43"/>
    </row>
    <row r="538" ht="12.75" customHeight="1">
      <c r="A538" s="48" t="s">
        <v>74</v>
      </c>
      <c r="B538" s="48" t="s">
        <v>25</v>
      </c>
      <c r="C538" s="48" t="s">
        <v>76</v>
      </c>
      <c r="D538" s="48" t="s">
        <v>50</v>
      </c>
      <c r="E538" s="48"/>
      <c r="F538" s="48">
        <v>12405.5</v>
      </c>
      <c r="G538" s="43"/>
      <c r="H538" s="43"/>
      <c r="I538" s="43"/>
      <c r="J538" s="43"/>
      <c r="K538" s="43"/>
      <c r="L538" s="43"/>
      <c r="M538" s="43"/>
      <c r="N538" s="43"/>
    </row>
    <row r="539" ht="12.75" customHeight="1">
      <c r="A539" s="48" t="s">
        <v>74</v>
      </c>
      <c r="B539" s="48" t="s">
        <v>25</v>
      </c>
      <c r="C539" s="48" t="s">
        <v>76</v>
      </c>
      <c r="D539" s="48" t="s">
        <v>50</v>
      </c>
      <c r="E539" s="48"/>
      <c r="F539" s="48">
        <v>16804.399999999998</v>
      </c>
      <c r="G539" s="43"/>
      <c r="H539" s="43"/>
      <c r="I539" s="43"/>
      <c r="J539" s="43"/>
      <c r="K539" s="43"/>
      <c r="L539" s="43"/>
      <c r="M539" s="43"/>
      <c r="N539" s="43"/>
    </row>
    <row r="540" ht="12.75" customHeight="1">
      <c r="A540" s="48" t="s">
        <v>74</v>
      </c>
      <c r="B540" s="48" t="s">
        <v>25</v>
      </c>
      <c r="C540" s="48" t="s">
        <v>76</v>
      </c>
      <c r="D540" s="48" t="s">
        <v>50</v>
      </c>
      <c r="E540" s="48"/>
      <c r="F540" s="48">
        <v>0.0</v>
      </c>
      <c r="G540" s="43"/>
      <c r="H540" s="43"/>
      <c r="I540" s="43"/>
      <c r="J540" s="43"/>
      <c r="K540" s="43"/>
      <c r="L540" s="43"/>
      <c r="M540" s="43"/>
      <c r="N540" s="43"/>
    </row>
    <row r="541" ht="12.75" customHeight="1">
      <c r="A541" s="48" t="s">
        <v>74</v>
      </c>
      <c r="B541" s="48" t="s">
        <v>25</v>
      </c>
      <c r="C541" s="48" t="s">
        <v>76</v>
      </c>
      <c r="D541" s="48" t="s">
        <v>50</v>
      </c>
      <c r="E541" s="48"/>
      <c r="F541" s="48">
        <v>8901.0</v>
      </c>
      <c r="G541" s="43"/>
      <c r="H541" s="43"/>
      <c r="I541" s="43"/>
      <c r="J541" s="43"/>
      <c r="K541" s="43"/>
      <c r="L541" s="43"/>
      <c r="M541" s="43"/>
      <c r="N541" s="43"/>
    </row>
    <row r="542" ht="12.75" customHeight="1">
      <c r="A542" s="48" t="s">
        <v>74</v>
      </c>
      <c r="B542" s="48" t="s">
        <v>25</v>
      </c>
      <c r="C542" s="48" t="s">
        <v>76</v>
      </c>
      <c r="D542" s="48" t="s">
        <v>50</v>
      </c>
      <c r="E542" s="48"/>
      <c r="F542" s="48">
        <v>0.0</v>
      </c>
      <c r="G542" s="43"/>
      <c r="H542" s="43"/>
      <c r="I542" s="43"/>
      <c r="J542" s="43"/>
      <c r="K542" s="43"/>
      <c r="L542" s="43"/>
      <c r="M542" s="43"/>
      <c r="N542" s="43"/>
    </row>
    <row r="543" ht="12.75" customHeight="1">
      <c r="A543" s="48" t="s">
        <v>74</v>
      </c>
      <c r="B543" s="48" t="s">
        <v>25</v>
      </c>
      <c r="C543" s="48" t="s">
        <v>76</v>
      </c>
      <c r="D543" s="48" t="s">
        <v>47</v>
      </c>
      <c r="E543" s="48"/>
      <c r="F543" s="48">
        <v>0.0</v>
      </c>
      <c r="G543" s="43"/>
      <c r="H543" s="43"/>
      <c r="I543" s="43"/>
      <c r="J543" s="43"/>
      <c r="K543" s="43"/>
      <c r="L543" s="43"/>
      <c r="M543" s="43"/>
      <c r="N543" s="43"/>
    </row>
    <row r="544" ht="12.75" customHeight="1">
      <c r="A544" s="48" t="s">
        <v>74</v>
      </c>
      <c r="B544" s="48" t="s">
        <v>25</v>
      </c>
      <c r="C544" s="48" t="s">
        <v>76</v>
      </c>
      <c r="D544" s="48" t="s">
        <v>47</v>
      </c>
      <c r="E544" s="48"/>
      <c r="F544" s="48">
        <v>1883.3999999999999</v>
      </c>
      <c r="G544" s="43"/>
      <c r="H544" s="43"/>
      <c r="I544" s="43"/>
      <c r="J544" s="43"/>
      <c r="K544" s="43"/>
      <c r="L544" s="43"/>
      <c r="M544" s="43"/>
      <c r="N544" s="43"/>
    </row>
    <row r="545" ht="12.75" customHeight="1">
      <c r="A545" s="48" t="s">
        <v>74</v>
      </c>
      <c r="B545" s="48" t="s">
        <v>25</v>
      </c>
      <c r="C545" s="48" t="s">
        <v>76</v>
      </c>
      <c r="D545" s="48" t="s">
        <v>47</v>
      </c>
      <c r="E545" s="48"/>
      <c r="F545" s="48">
        <v>6837.0</v>
      </c>
      <c r="G545" s="43"/>
      <c r="H545" s="43"/>
      <c r="I545" s="43"/>
      <c r="J545" s="43"/>
      <c r="K545" s="43"/>
      <c r="L545" s="43"/>
      <c r="M545" s="43"/>
      <c r="N545" s="43"/>
    </row>
    <row r="546" ht="12.75" customHeight="1">
      <c r="A546" s="48" t="s">
        <v>74</v>
      </c>
      <c r="B546" s="48" t="s">
        <v>25</v>
      </c>
      <c r="C546" s="48" t="s">
        <v>76</v>
      </c>
      <c r="D546" s="48" t="s">
        <v>47</v>
      </c>
      <c r="E546" s="48"/>
      <c r="F546" s="48">
        <v>675.1</v>
      </c>
      <c r="G546" s="43"/>
      <c r="H546" s="43"/>
      <c r="I546" s="43"/>
      <c r="J546" s="43"/>
      <c r="K546" s="43"/>
      <c r="L546" s="43"/>
      <c r="M546" s="43"/>
      <c r="N546" s="43"/>
    </row>
    <row r="547" ht="12.75" customHeight="1">
      <c r="A547" s="48" t="s">
        <v>74</v>
      </c>
      <c r="B547" s="48" t="s">
        <v>25</v>
      </c>
      <c r="C547" s="48" t="s">
        <v>76</v>
      </c>
      <c r="D547" s="48" t="s">
        <v>47</v>
      </c>
      <c r="E547" s="48"/>
      <c r="F547" s="48">
        <v>2390.7999999999997</v>
      </c>
      <c r="G547" s="43"/>
      <c r="H547" s="43"/>
      <c r="I547" s="43"/>
      <c r="J547" s="43"/>
      <c r="K547" s="43"/>
      <c r="L547" s="43"/>
      <c r="M547" s="43"/>
      <c r="N547" s="43"/>
    </row>
    <row r="548" ht="12.75" customHeight="1">
      <c r="A548" s="48" t="s">
        <v>74</v>
      </c>
      <c r="B548" s="48" t="s">
        <v>25</v>
      </c>
      <c r="C548" s="48" t="s">
        <v>76</v>
      </c>
      <c r="D548" s="48" t="s">
        <v>47</v>
      </c>
      <c r="E548" s="48"/>
      <c r="F548" s="48">
        <v>-165025.4</v>
      </c>
      <c r="G548" s="43"/>
      <c r="H548" s="43"/>
      <c r="I548" s="43"/>
      <c r="J548" s="43"/>
      <c r="K548" s="43"/>
      <c r="L548" s="43"/>
      <c r="M548" s="43"/>
      <c r="N548" s="43"/>
    </row>
    <row r="549" ht="12.75" customHeight="1">
      <c r="A549" s="48" t="s">
        <v>74</v>
      </c>
      <c r="B549" s="48" t="s">
        <v>25</v>
      </c>
      <c r="C549" s="48" t="s">
        <v>76</v>
      </c>
      <c r="D549" s="48" t="s">
        <v>47</v>
      </c>
      <c r="E549" s="48"/>
      <c r="F549" s="48">
        <v>3676.5</v>
      </c>
      <c r="G549" s="43"/>
      <c r="H549" s="43"/>
      <c r="I549" s="43"/>
      <c r="J549" s="43"/>
      <c r="K549" s="43"/>
      <c r="L549" s="43"/>
      <c r="M549" s="43"/>
      <c r="N549" s="43"/>
    </row>
    <row r="550" ht="12.75" customHeight="1">
      <c r="A550" s="48" t="s">
        <v>74</v>
      </c>
      <c r="B550" s="48" t="s">
        <v>25</v>
      </c>
      <c r="C550" s="48" t="s">
        <v>76</v>
      </c>
      <c r="D550" s="48" t="s">
        <v>47</v>
      </c>
      <c r="E550" s="48"/>
      <c r="F550" s="48">
        <v>7705.599999999999</v>
      </c>
      <c r="G550" s="43"/>
      <c r="H550" s="43"/>
      <c r="I550" s="43"/>
      <c r="J550" s="43"/>
      <c r="K550" s="43"/>
      <c r="L550" s="43"/>
      <c r="M550" s="43"/>
      <c r="N550" s="43"/>
    </row>
    <row r="551" ht="12.75" customHeight="1">
      <c r="A551" s="48" t="s">
        <v>74</v>
      </c>
      <c r="B551" s="48" t="s">
        <v>25</v>
      </c>
      <c r="C551" s="48" t="s">
        <v>76</v>
      </c>
      <c r="D551" s="48" t="s">
        <v>47</v>
      </c>
      <c r="E551" s="48"/>
      <c r="F551" s="48">
        <v>2438.1</v>
      </c>
      <c r="G551" s="43"/>
      <c r="H551" s="43"/>
      <c r="I551" s="43"/>
      <c r="J551" s="43"/>
      <c r="K551" s="43"/>
      <c r="L551" s="43"/>
      <c r="M551" s="43"/>
      <c r="N551" s="43"/>
    </row>
    <row r="552" ht="12.75" customHeight="1">
      <c r="A552" s="48" t="s">
        <v>74</v>
      </c>
      <c r="B552" s="48" t="s">
        <v>25</v>
      </c>
      <c r="C552" s="48" t="s">
        <v>7</v>
      </c>
      <c r="D552" s="48" t="s">
        <v>58</v>
      </c>
      <c r="E552" s="48"/>
      <c r="F552" s="48">
        <v>67080.0</v>
      </c>
      <c r="G552" s="43"/>
      <c r="H552" s="43"/>
      <c r="I552" s="43"/>
      <c r="J552" s="43"/>
      <c r="K552" s="43"/>
      <c r="L552" s="43"/>
      <c r="M552" s="43"/>
      <c r="N552" s="43"/>
    </row>
    <row r="553" ht="12.75" customHeight="1">
      <c r="A553" s="48" t="s">
        <v>74</v>
      </c>
      <c r="B553" s="48" t="s">
        <v>25</v>
      </c>
      <c r="C553" s="48" t="s">
        <v>7</v>
      </c>
      <c r="D553" s="48" t="s">
        <v>54</v>
      </c>
      <c r="E553" s="48"/>
      <c r="F553" s="48">
        <v>14994.099999999999</v>
      </c>
      <c r="G553" s="43"/>
      <c r="H553" s="43"/>
      <c r="I553" s="43"/>
      <c r="J553" s="43"/>
      <c r="K553" s="43"/>
      <c r="L553" s="43"/>
      <c r="M553" s="43"/>
      <c r="N553" s="43"/>
    </row>
    <row r="554" ht="12.75" customHeight="1">
      <c r="A554" s="48" t="s">
        <v>74</v>
      </c>
      <c r="B554" s="48" t="s">
        <v>25</v>
      </c>
      <c r="C554" s="48" t="s">
        <v>7</v>
      </c>
      <c r="D554" s="48" t="s">
        <v>50</v>
      </c>
      <c r="E554" s="48"/>
      <c r="F554" s="48">
        <v>0.0</v>
      </c>
      <c r="G554" s="43"/>
      <c r="H554" s="43"/>
      <c r="I554" s="43"/>
      <c r="J554" s="43"/>
      <c r="K554" s="43"/>
      <c r="L554" s="43"/>
      <c r="M554" s="43"/>
      <c r="N554" s="43"/>
    </row>
    <row r="555" ht="12.75" customHeight="1">
      <c r="A555" s="48" t="s">
        <v>74</v>
      </c>
      <c r="B555" s="48" t="s">
        <v>25</v>
      </c>
      <c r="C555" s="48" t="s">
        <v>7</v>
      </c>
      <c r="D555" s="48" t="s">
        <v>50</v>
      </c>
      <c r="E555" s="48"/>
      <c r="F555" s="48">
        <v>1513.6</v>
      </c>
      <c r="G555" s="43"/>
      <c r="H555" s="43"/>
      <c r="I555" s="43"/>
      <c r="J555" s="43"/>
      <c r="K555" s="43"/>
      <c r="L555" s="43"/>
      <c r="M555" s="43"/>
      <c r="N555" s="43"/>
    </row>
    <row r="556" ht="12.75" customHeight="1">
      <c r="A556" s="48" t="s">
        <v>74</v>
      </c>
      <c r="B556" s="48" t="s">
        <v>25</v>
      </c>
      <c r="C556" s="48" t="s">
        <v>7</v>
      </c>
      <c r="D556" s="48" t="s">
        <v>50</v>
      </c>
      <c r="E556" s="48"/>
      <c r="F556" s="48">
        <v>6299.5</v>
      </c>
      <c r="G556" s="43"/>
      <c r="H556" s="43"/>
      <c r="I556" s="43"/>
      <c r="J556" s="43"/>
      <c r="K556" s="43"/>
      <c r="L556" s="43"/>
      <c r="M556" s="43"/>
      <c r="N556" s="43"/>
    </row>
    <row r="557" ht="12.75" customHeight="1">
      <c r="A557" s="48" t="s">
        <v>74</v>
      </c>
      <c r="B557" s="48" t="s">
        <v>25</v>
      </c>
      <c r="C557" s="48" t="s">
        <v>7</v>
      </c>
      <c r="D557" s="48" t="s">
        <v>50</v>
      </c>
      <c r="E557" s="48"/>
      <c r="F557" s="48">
        <v>8204.4</v>
      </c>
      <c r="G557" s="43"/>
      <c r="H557" s="43"/>
      <c r="I557" s="43"/>
      <c r="J557" s="43"/>
      <c r="K557" s="43"/>
      <c r="L557" s="43"/>
      <c r="M557" s="43"/>
      <c r="N557" s="43"/>
    </row>
    <row r="558" ht="12.75" customHeight="1">
      <c r="A558" s="48" t="s">
        <v>74</v>
      </c>
      <c r="B558" s="48" t="s">
        <v>25</v>
      </c>
      <c r="C558" s="48" t="s">
        <v>7</v>
      </c>
      <c r="D558" s="48" t="s">
        <v>50</v>
      </c>
      <c r="E558" s="48"/>
      <c r="F558" s="48">
        <v>0.0</v>
      </c>
      <c r="G558" s="43"/>
      <c r="H558" s="43"/>
      <c r="I558" s="43"/>
      <c r="J558" s="43"/>
      <c r="K558" s="43"/>
      <c r="L558" s="43"/>
      <c r="M558" s="43"/>
      <c r="N558" s="43"/>
    </row>
    <row r="559" ht="12.75" customHeight="1">
      <c r="A559" s="48" t="s">
        <v>74</v>
      </c>
      <c r="B559" s="48" t="s">
        <v>25</v>
      </c>
      <c r="C559" s="48" t="s">
        <v>7</v>
      </c>
      <c r="D559" s="48" t="s">
        <v>50</v>
      </c>
      <c r="E559" s="48"/>
      <c r="F559" s="48">
        <v>19999.3</v>
      </c>
      <c r="G559" s="43"/>
      <c r="H559" s="43"/>
      <c r="I559" s="43"/>
      <c r="J559" s="43"/>
      <c r="K559" s="43"/>
      <c r="L559" s="43"/>
      <c r="M559" s="43"/>
      <c r="N559" s="43"/>
    </row>
    <row r="560" ht="12.75" customHeight="1">
      <c r="A560" s="48" t="s">
        <v>74</v>
      </c>
      <c r="B560" s="48" t="s">
        <v>25</v>
      </c>
      <c r="C560" s="48" t="s">
        <v>7</v>
      </c>
      <c r="D560" s="48" t="s">
        <v>50</v>
      </c>
      <c r="E560" s="48"/>
      <c r="F560" s="48">
        <v>872.9</v>
      </c>
      <c r="G560" s="43"/>
      <c r="H560" s="43"/>
      <c r="I560" s="43"/>
      <c r="J560" s="43"/>
      <c r="K560" s="43"/>
      <c r="L560" s="43"/>
      <c r="M560" s="43"/>
      <c r="N560" s="43"/>
    </row>
    <row r="561" ht="12.75" customHeight="1">
      <c r="A561" s="48" t="s">
        <v>74</v>
      </c>
      <c r="B561" s="48" t="s">
        <v>27</v>
      </c>
      <c r="C561" s="48" t="s">
        <v>79</v>
      </c>
      <c r="D561" s="48" t="s">
        <v>52</v>
      </c>
      <c r="E561" s="48"/>
      <c r="F561" s="48">
        <v>4515.0</v>
      </c>
      <c r="G561" s="43"/>
      <c r="H561" s="43"/>
      <c r="I561" s="43"/>
      <c r="J561" s="43"/>
      <c r="K561" s="43"/>
      <c r="L561" s="43"/>
      <c r="M561" s="43"/>
      <c r="N561" s="43"/>
    </row>
    <row r="562" ht="12.75" customHeight="1">
      <c r="A562" s="48" t="s">
        <v>74</v>
      </c>
      <c r="B562" s="48" t="s">
        <v>27</v>
      </c>
      <c r="C562" s="48" t="s">
        <v>79</v>
      </c>
      <c r="D562" s="48" t="s">
        <v>54</v>
      </c>
      <c r="E562" s="48"/>
      <c r="F562" s="48">
        <v>14994.099999999999</v>
      </c>
      <c r="G562" s="43"/>
      <c r="H562" s="43"/>
      <c r="I562" s="43"/>
      <c r="J562" s="43"/>
      <c r="K562" s="43"/>
      <c r="L562" s="43"/>
      <c r="M562" s="43"/>
      <c r="N562" s="43"/>
    </row>
    <row r="563" ht="12.75" customHeight="1">
      <c r="A563" s="48" t="s">
        <v>74</v>
      </c>
      <c r="B563" s="48" t="s">
        <v>27</v>
      </c>
      <c r="C563" s="48" t="s">
        <v>79</v>
      </c>
      <c r="D563" s="48" t="s">
        <v>50</v>
      </c>
      <c r="E563" s="48"/>
      <c r="F563" s="48">
        <v>9292.3</v>
      </c>
      <c r="G563" s="43"/>
      <c r="H563" s="43"/>
      <c r="I563" s="43"/>
      <c r="J563" s="43"/>
      <c r="K563" s="43"/>
      <c r="L563" s="43"/>
      <c r="M563" s="43"/>
      <c r="N563" s="43"/>
    </row>
    <row r="564" ht="12.75" customHeight="1">
      <c r="A564" s="48" t="s">
        <v>74</v>
      </c>
      <c r="B564" s="48" t="s">
        <v>27</v>
      </c>
      <c r="C564" s="48" t="s">
        <v>79</v>
      </c>
      <c r="D564" s="48" t="s">
        <v>50</v>
      </c>
      <c r="E564" s="48"/>
      <c r="F564" s="48">
        <v>19999.3</v>
      </c>
      <c r="G564" s="43"/>
      <c r="H564" s="43"/>
      <c r="I564" s="43"/>
      <c r="J564" s="43"/>
      <c r="K564" s="43"/>
      <c r="L564" s="43"/>
      <c r="M564" s="43"/>
      <c r="N564" s="43"/>
    </row>
    <row r="565" ht="12.75" customHeight="1">
      <c r="A565" s="48" t="s">
        <v>74</v>
      </c>
      <c r="B565" s="48" t="s">
        <v>27</v>
      </c>
      <c r="C565" s="48" t="s">
        <v>79</v>
      </c>
      <c r="D565" s="48" t="s">
        <v>50</v>
      </c>
      <c r="E565" s="48"/>
      <c r="F565" s="48">
        <v>4807.4</v>
      </c>
      <c r="G565" s="43"/>
      <c r="H565" s="43"/>
      <c r="I565" s="43"/>
      <c r="J565" s="43"/>
      <c r="K565" s="43"/>
      <c r="L565" s="43"/>
      <c r="M565" s="43"/>
      <c r="N565" s="43"/>
    </row>
    <row r="566" ht="12.75" customHeight="1">
      <c r="A566" s="48" t="s">
        <v>74</v>
      </c>
      <c r="B566" s="48" t="s">
        <v>27</v>
      </c>
      <c r="C566" s="48" t="s">
        <v>79</v>
      </c>
      <c r="D566" s="48" t="s">
        <v>47</v>
      </c>
      <c r="E566" s="48"/>
      <c r="F566" s="48">
        <v>172.0</v>
      </c>
      <c r="G566" s="43"/>
      <c r="H566" s="43"/>
      <c r="I566" s="43"/>
      <c r="J566" s="43"/>
      <c r="K566" s="43"/>
      <c r="L566" s="43"/>
      <c r="M566" s="43"/>
      <c r="N566" s="43"/>
    </row>
    <row r="567" ht="12.75" customHeight="1">
      <c r="A567" s="48" t="s">
        <v>74</v>
      </c>
      <c r="B567" s="48" t="s">
        <v>27</v>
      </c>
      <c r="C567" s="48" t="s">
        <v>78</v>
      </c>
      <c r="D567" s="48" t="s">
        <v>52</v>
      </c>
      <c r="E567" s="48"/>
      <c r="F567" s="48">
        <v>68954.8</v>
      </c>
      <c r="G567" s="43"/>
      <c r="H567" s="43"/>
      <c r="I567" s="43"/>
      <c r="J567" s="43"/>
      <c r="K567" s="43"/>
      <c r="L567" s="43"/>
      <c r="M567" s="43"/>
      <c r="N567" s="43"/>
    </row>
    <row r="568" ht="12.75" customHeight="1">
      <c r="A568" s="48" t="s">
        <v>74</v>
      </c>
      <c r="B568" s="48" t="s">
        <v>27</v>
      </c>
      <c r="C568" s="48" t="s">
        <v>78</v>
      </c>
      <c r="D568" s="48" t="s">
        <v>53</v>
      </c>
      <c r="E568" s="48"/>
      <c r="F568" s="48">
        <v>2403.7</v>
      </c>
      <c r="G568" s="43"/>
      <c r="H568" s="43"/>
      <c r="I568" s="43"/>
      <c r="J568" s="43"/>
      <c r="K568" s="43"/>
      <c r="L568" s="43"/>
      <c r="M568" s="43"/>
      <c r="N568" s="43"/>
    </row>
    <row r="569" ht="12.75" customHeight="1">
      <c r="A569" s="48" t="s">
        <v>74</v>
      </c>
      <c r="B569" s="48" t="s">
        <v>27</v>
      </c>
      <c r="C569" s="48" t="s">
        <v>78</v>
      </c>
      <c r="D569" s="48" t="s">
        <v>58</v>
      </c>
      <c r="E569" s="48"/>
      <c r="F569" s="48">
        <v>0.0</v>
      </c>
      <c r="G569" s="43"/>
      <c r="H569" s="43"/>
      <c r="I569" s="43"/>
      <c r="J569" s="43"/>
      <c r="K569" s="43"/>
      <c r="L569" s="43"/>
      <c r="M569" s="43"/>
      <c r="N569" s="43"/>
    </row>
    <row r="570" ht="12.75" customHeight="1">
      <c r="A570" s="48" t="s">
        <v>74</v>
      </c>
      <c r="B570" s="48" t="s">
        <v>27</v>
      </c>
      <c r="C570" s="48" t="s">
        <v>78</v>
      </c>
      <c r="D570" s="48" t="s">
        <v>58</v>
      </c>
      <c r="E570" s="48"/>
      <c r="F570" s="48">
        <v>40394.2</v>
      </c>
      <c r="G570" s="43"/>
      <c r="H570" s="43"/>
      <c r="I570" s="43"/>
      <c r="J570" s="43"/>
      <c r="K570" s="43"/>
      <c r="L570" s="43"/>
      <c r="M570" s="43"/>
      <c r="N570" s="43"/>
    </row>
    <row r="571" ht="12.75" customHeight="1">
      <c r="A571" s="48" t="s">
        <v>74</v>
      </c>
      <c r="B571" s="48" t="s">
        <v>27</v>
      </c>
      <c r="C571" s="48" t="s">
        <v>78</v>
      </c>
      <c r="D571" s="48" t="s">
        <v>54</v>
      </c>
      <c r="E571" s="48"/>
      <c r="F571" s="48">
        <v>30082.8</v>
      </c>
      <c r="G571" s="43"/>
      <c r="H571" s="43"/>
      <c r="I571" s="43"/>
      <c r="J571" s="43"/>
      <c r="K571" s="43"/>
      <c r="L571" s="43"/>
      <c r="M571" s="43"/>
      <c r="N571" s="43"/>
    </row>
    <row r="572" ht="12.75" customHeight="1">
      <c r="A572" s="48" t="s">
        <v>74</v>
      </c>
      <c r="B572" s="48" t="s">
        <v>27</v>
      </c>
      <c r="C572" s="48" t="s">
        <v>78</v>
      </c>
      <c r="D572" s="48" t="s">
        <v>49</v>
      </c>
      <c r="E572" s="48"/>
      <c r="F572" s="48">
        <v>90300.0</v>
      </c>
      <c r="G572" s="43"/>
      <c r="H572" s="43"/>
      <c r="I572" s="43"/>
      <c r="J572" s="43"/>
      <c r="K572" s="43"/>
      <c r="L572" s="43"/>
      <c r="M572" s="43"/>
      <c r="N572" s="43"/>
    </row>
    <row r="573" ht="12.75" customHeight="1">
      <c r="A573" s="48" t="s">
        <v>74</v>
      </c>
      <c r="B573" s="48" t="s">
        <v>27</v>
      </c>
      <c r="C573" s="48" t="s">
        <v>78</v>
      </c>
      <c r="D573" s="48" t="s">
        <v>49</v>
      </c>
      <c r="E573" s="48"/>
      <c r="F573" s="48">
        <v>50955.0</v>
      </c>
      <c r="G573" s="43"/>
      <c r="H573" s="43"/>
      <c r="I573" s="43"/>
      <c r="J573" s="43"/>
      <c r="K573" s="43"/>
      <c r="L573" s="43"/>
      <c r="M573" s="43"/>
      <c r="N573" s="43"/>
    </row>
    <row r="574" ht="12.75" customHeight="1">
      <c r="A574" s="48" t="s">
        <v>74</v>
      </c>
      <c r="B574" s="48" t="s">
        <v>27</v>
      </c>
      <c r="C574" s="48" t="s">
        <v>78</v>
      </c>
      <c r="D574" s="48" t="s">
        <v>50</v>
      </c>
      <c r="E574" s="48"/>
      <c r="F574" s="48">
        <v>1062.1</v>
      </c>
      <c r="G574" s="43"/>
      <c r="H574" s="43"/>
      <c r="I574" s="43"/>
      <c r="J574" s="43"/>
      <c r="K574" s="43"/>
      <c r="L574" s="43"/>
      <c r="M574" s="43"/>
      <c r="N574" s="43"/>
    </row>
    <row r="575" ht="12.75" customHeight="1">
      <c r="A575" s="48" t="s">
        <v>74</v>
      </c>
      <c r="B575" s="48" t="s">
        <v>27</v>
      </c>
      <c r="C575" s="48" t="s">
        <v>78</v>
      </c>
      <c r="D575" s="48" t="s">
        <v>50</v>
      </c>
      <c r="E575" s="48"/>
      <c r="F575" s="48">
        <v>4807.4</v>
      </c>
      <c r="G575" s="43"/>
      <c r="H575" s="43"/>
      <c r="I575" s="43"/>
      <c r="J575" s="43"/>
      <c r="K575" s="43"/>
      <c r="L575" s="43"/>
      <c r="M575" s="43"/>
      <c r="N575" s="43"/>
    </row>
    <row r="576" ht="12.75" customHeight="1">
      <c r="A576" s="48" t="s">
        <v>74</v>
      </c>
      <c r="B576" s="48" t="s">
        <v>27</v>
      </c>
      <c r="C576" s="48" t="s">
        <v>78</v>
      </c>
      <c r="D576" s="48" t="s">
        <v>50</v>
      </c>
      <c r="E576" s="48"/>
      <c r="F576" s="48">
        <v>16030.4</v>
      </c>
      <c r="G576" s="43"/>
      <c r="H576" s="43"/>
      <c r="I576" s="43"/>
      <c r="J576" s="43"/>
      <c r="K576" s="43"/>
      <c r="L576" s="43"/>
      <c r="M576" s="43"/>
      <c r="N576" s="43"/>
    </row>
    <row r="577" ht="12.75" customHeight="1">
      <c r="A577" s="48" t="s">
        <v>74</v>
      </c>
      <c r="B577" s="48" t="s">
        <v>27</v>
      </c>
      <c r="C577" s="48" t="s">
        <v>78</v>
      </c>
      <c r="D577" s="48" t="s">
        <v>50</v>
      </c>
      <c r="E577" s="48"/>
      <c r="F577" s="48">
        <v>-3233.6</v>
      </c>
      <c r="G577" s="43"/>
      <c r="H577" s="43"/>
      <c r="I577" s="43"/>
      <c r="J577" s="43"/>
      <c r="K577" s="43"/>
      <c r="L577" s="43"/>
      <c r="M577" s="43"/>
      <c r="N577" s="43"/>
    </row>
    <row r="578" ht="12.75" customHeight="1">
      <c r="A578" s="48" t="s">
        <v>74</v>
      </c>
      <c r="B578" s="48" t="s">
        <v>27</v>
      </c>
      <c r="C578" s="48" t="s">
        <v>78</v>
      </c>
      <c r="D578" s="48" t="s">
        <v>50</v>
      </c>
      <c r="E578" s="48"/>
      <c r="F578" s="48">
        <v>10354.4</v>
      </c>
      <c r="G578" s="43"/>
      <c r="H578" s="43"/>
      <c r="I578" s="43"/>
      <c r="J578" s="43"/>
      <c r="K578" s="43"/>
      <c r="L578" s="43"/>
      <c r="M578" s="43"/>
      <c r="N578" s="43"/>
    </row>
    <row r="579" ht="12.75" customHeight="1">
      <c r="A579" s="48" t="s">
        <v>74</v>
      </c>
      <c r="B579" s="48" t="s">
        <v>27</v>
      </c>
      <c r="C579" s="48" t="s">
        <v>78</v>
      </c>
      <c r="D579" s="48" t="s">
        <v>50</v>
      </c>
      <c r="E579" s="48"/>
      <c r="F579" s="48">
        <v>8397.9</v>
      </c>
      <c r="G579" s="43"/>
      <c r="H579" s="43"/>
      <c r="I579" s="43"/>
      <c r="J579" s="43"/>
      <c r="K579" s="43"/>
      <c r="L579" s="43"/>
      <c r="M579" s="43"/>
      <c r="N579" s="43"/>
    </row>
    <row r="580" ht="12.75" customHeight="1">
      <c r="A580" s="48" t="s">
        <v>74</v>
      </c>
      <c r="B580" s="48" t="s">
        <v>27</v>
      </c>
      <c r="C580" s="48" t="s">
        <v>78</v>
      </c>
      <c r="D580" s="48" t="s">
        <v>50</v>
      </c>
      <c r="E580" s="48"/>
      <c r="F580" s="48">
        <v>13231.099999999999</v>
      </c>
      <c r="G580" s="43"/>
      <c r="H580" s="43"/>
      <c r="I580" s="43"/>
      <c r="J580" s="43"/>
      <c r="K580" s="43"/>
      <c r="L580" s="43"/>
      <c r="M580" s="43"/>
      <c r="N580" s="43"/>
    </row>
    <row r="581" ht="12.75" customHeight="1">
      <c r="A581" s="48" t="s">
        <v>74</v>
      </c>
      <c r="B581" s="48" t="s">
        <v>27</v>
      </c>
      <c r="C581" s="48" t="s">
        <v>78</v>
      </c>
      <c r="D581" s="48" t="s">
        <v>50</v>
      </c>
      <c r="E581" s="48"/>
      <c r="F581" s="48">
        <v>0.0</v>
      </c>
      <c r="G581" s="43"/>
      <c r="H581" s="43"/>
      <c r="I581" s="43"/>
      <c r="J581" s="43"/>
      <c r="K581" s="43"/>
      <c r="L581" s="43"/>
      <c r="M581" s="43"/>
      <c r="N581" s="43"/>
    </row>
    <row r="582" ht="12.75" customHeight="1">
      <c r="A582" s="48" t="s">
        <v>74</v>
      </c>
      <c r="B582" s="48" t="s">
        <v>27</v>
      </c>
      <c r="C582" s="48" t="s">
        <v>78</v>
      </c>
      <c r="D582" s="48" t="s">
        <v>50</v>
      </c>
      <c r="E582" s="48"/>
      <c r="F582" s="48">
        <v>42350.7</v>
      </c>
      <c r="G582" s="43"/>
      <c r="H582" s="43"/>
      <c r="I582" s="43"/>
      <c r="J582" s="43"/>
      <c r="K582" s="43"/>
      <c r="L582" s="43"/>
      <c r="M582" s="43"/>
      <c r="N582" s="43"/>
    </row>
    <row r="583" ht="12.75" customHeight="1">
      <c r="A583" s="48" t="s">
        <v>74</v>
      </c>
      <c r="B583" s="48" t="s">
        <v>27</v>
      </c>
      <c r="C583" s="48" t="s">
        <v>78</v>
      </c>
      <c r="D583" s="48" t="s">
        <v>50</v>
      </c>
      <c r="E583" s="48"/>
      <c r="F583" s="48">
        <v>0.0</v>
      </c>
      <c r="G583" s="43"/>
      <c r="H583" s="43"/>
      <c r="I583" s="43"/>
      <c r="J583" s="43"/>
      <c r="K583" s="43"/>
      <c r="L583" s="43"/>
      <c r="M583" s="43"/>
      <c r="N583" s="43"/>
    </row>
    <row r="584" ht="12.75" customHeight="1">
      <c r="A584" s="48" t="s">
        <v>74</v>
      </c>
      <c r="B584" s="48" t="s">
        <v>27</v>
      </c>
      <c r="C584" s="48" t="s">
        <v>78</v>
      </c>
      <c r="D584" s="48" t="s">
        <v>47</v>
      </c>
      <c r="E584" s="48"/>
      <c r="F584" s="48">
        <v>30753.6</v>
      </c>
      <c r="G584" s="43"/>
      <c r="H584" s="43"/>
      <c r="I584" s="43"/>
      <c r="J584" s="43"/>
      <c r="K584" s="43"/>
      <c r="L584" s="43"/>
      <c r="M584" s="43"/>
      <c r="N584" s="43"/>
    </row>
    <row r="585" ht="12.75" customHeight="1">
      <c r="A585" s="48" t="s">
        <v>74</v>
      </c>
      <c r="B585" s="48" t="s">
        <v>27</v>
      </c>
      <c r="C585" s="48" t="s">
        <v>78</v>
      </c>
      <c r="D585" s="48" t="s">
        <v>47</v>
      </c>
      <c r="E585" s="48"/>
      <c r="F585" s="48">
        <v>4394.599999999999</v>
      </c>
      <c r="G585" s="43"/>
      <c r="H585" s="43"/>
      <c r="I585" s="43"/>
      <c r="J585" s="43"/>
      <c r="K585" s="43"/>
      <c r="L585" s="43"/>
      <c r="M585" s="43"/>
      <c r="N585" s="43"/>
    </row>
    <row r="586" ht="12.75" customHeight="1">
      <c r="A586" s="48" t="s">
        <v>74</v>
      </c>
      <c r="B586" s="48" t="s">
        <v>27</v>
      </c>
      <c r="C586" s="48" t="s">
        <v>78</v>
      </c>
      <c r="D586" s="48" t="s">
        <v>47</v>
      </c>
      <c r="E586" s="48"/>
      <c r="F586" s="48">
        <v>7869.0</v>
      </c>
      <c r="G586" s="43"/>
      <c r="H586" s="43"/>
      <c r="I586" s="43"/>
      <c r="J586" s="43"/>
      <c r="K586" s="43"/>
      <c r="L586" s="43"/>
      <c r="M586" s="43"/>
      <c r="N586" s="43"/>
    </row>
    <row r="587" ht="12.75" customHeight="1">
      <c r="A587" s="48" t="s">
        <v>74</v>
      </c>
      <c r="B587" s="48" t="s">
        <v>27</v>
      </c>
      <c r="C587" s="48" t="s">
        <v>78</v>
      </c>
      <c r="D587" s="48" t="s">
        <v>47</v>
      </c>
      <c r="E587" s="48"/>
      <c r="F587" s="48">
        <v>3814.1</v>
      </c>
      <c r="G587" s="43"/>
      <c r="H587" s="43"/>
      <c r="I587" s="43"/>
      <c r="J587" s="43"/>
      <c r="K587" s="43"/>
      <c r="L587" s="43"/>
      <c r="M587" s="43"/>
      <c r="N587" s="43"/>
    </row>
    <row r="588" ht="12.75" customHeight="1">
      <c r="A588" s="48" t="s">
        <v>74</v>
      </c>
      <c r="B588" s="48" t="s">
        <v>27</v>
      </c>
      <c r="C588" s="48" t="s">
        <v>78</v>
      </c>
      <c r="D588" s="48" t="s">
        <v>47</v>
      </c>
      <c r="E588" s="48"/>
      <c r="F588" s="48">
        <v>16426.0</v>
      </c>
      <c r="G588" s="43"/>
      <c r="H588" s="43"/>
      <c r="I588" s="43"/>
      <c r="J588" s="43"/>
      <c r="K588" s="43"/>
      <c r="L588" s="43"/>
      <c r="M588" s="43"/>
      <c r="N588" s="43"/>
    </row>
    <row r="589" ht="12.75" customHeight="1">
      <c r="A589" s="48" t="s">
        <v>74</v>
      </c>
      <c r="B589" s="48" t="s">
        <v>27</v>
      </c>
      <c r="C589" s="48" t="s">
        <v>78</v>
      </c>
      <c r="D589" s="48" t="s">
        <v>47</v>
      </c>
      <c r="E589" s="48"/>
      <c r="F589" s="48">
        <v>7198.2</v>
      </c>
      <c r="G589" s="43"/>
      <c r="H589" s="43"/>
      <c r="I589" s="43"/>
      <c r="J589" s="43"/>
      <c r="K589" s="43"/>
      <c r="L589" s="43"/>
      <c r="M589" s="43"/>
      <c r="N589" s="43"/>
    </row>
    <row r="590" ht="12.75" customHeight="1">
      <c r="A590" s="48" t="s">
        <v>74</v>
      </c>
      <c r="B590" s="48" t="s">
        <v>27</v>
      </c>
      <c r="C590" s="48" t="s">
        <v>78</v>
      </c>
      <c r="D590" s="48" t="s">
        <v>47</v>
      </c>
      <c r="E590" s="48"/>
      <c r="F590" s="48">
        <v>7408.9</v>
      </c>
      <c r="G590" s="43"/>
      <c r="H590" s="43"/>
      <c r="I590" s="43"/>
      <c r="J590" s="43"/>
      <c r="K590" s="43"/>
      <c r="L590" s="43"/>
      <c r="M590" s="43"/>
      <c r="N590" s="43"/>
    </row>
    <row r="591" ht="12.75" customHeight="1">
      <c r="A591" s="48" t="s">
        <v>74</v>
      </c>
      <c r="B591" s="48" t="s">
        <v>27</v>
      </c>
      <c r="C591" s="48" t="s">
        <v>78</v>
      </c>
      <c r="D591" s="48" t="s">
        <v>47</v>
      </c>
      <c r="E591" s="48"/>
      <c r="F591" s="48">
        <v>2554.2</v>
      </c>
      <c r="G591" s="43"/>
      <c r="H591" s="43"/>
      <c r="I591" s="43"/>
      <c r="J591" s="43"/>
      <c r="K591" s="43"/>
      <c r="L591" s="43"/>
      <c r="M591" s="43"/>
      <c r="N591" s="43"/>
    </row>
    <row r="592" ht="12.75" customHeight="1">
      <c r="A592" s="48" t="s">
        <v>74</v>
      </c>
      <c r="B592" s="48" t="s">
        <v>27</v>
      </c>
      <c r="C592" s="48" t="s">
        <v>78</v>
      </c>
      <c r="D592" s="48" t="s">
        <v>47</v>
      </c>
      <c r="E592" s="48"/>
      <c r="F592" s="48">
        <v>-43150.5</v>
      </c>
      <c r="G592" s="43"/>
      <c r="H592" s="43"/>
      <c r="I592" s="43"/>
      <c r="J592" s="43"/>
      <c r="K592" s="43"/>
      <c r="L592" s="43"/>
      <c r="M592" s="43"/>
      <c r="N592" s="43"/>
    </row>
    <row r="593" ht="12.75" customHeight="1">
      <c r="A593" s="48" t="s">
        <v>74</v>
      </c>
      <c r="B593" s="48" t="s">
        <v>25</v>
      </c>
      <c r="C593" s="48" t="s">
        <v>75</v>
      </c>
      <c r="D593" s="48" t="s">
        <v>53</v>
      </c>
      <c r="E593" s="48"/>
      <c r="F593" s="48">
        <v>-2640.2</v>
      </c>
      <c r="G593" s="43"/>
      <c r="H593" s="43"/>
      <c r="I593" s="43"/>
      <c r="J593" s="43"/>
      <c r="K593" s="43"/>
      <c r="L593" s="43"/>
      <c r="M593" s="43"/>
      <c r="N593" s="43"/>
    </row>
    <row r="594" ht="12.75" customHeight="1">
      <c r="A594" s="48" t="s">
        <v>74</v>
      </c>
      <c r="B594" s="48" t="s">
        <v>25</v>
      </c>
      <c r="C594" s="48" t="s">
        <v>75</v>
      </c>
      <c r="D594" s="48" t="s">
        <v>8</v>
      </c>
      <c r="E594" s="48"/>
      <c r="F594" s="48">
        <v>0.0</v>
      </c>
      <c r="G594" s="43"/>
      <c r="H594" s="43"/>
      <c r="I594" s="43"/>
      <c r="J594" s="43"/>
      <c r="K594" s="43"/>
      <c r="L594" s="43"/>
      <c r="M594" s="43"/>
      <c r="N594" s="43"/>
    </row>
    <row r="595" ht="12.75" customHeight="1">
      <c r="A595" s="48" t="s">
        <v>74</v>
      </c>
      <c r="B595" s="48" t="s">
        <v>25</v>
      </c>
      <c r="C595" s="48" t="s">
        <v>75</v>
      </c>
      <c r="D595" s="48" t="s">
        <v>8</v>
      </c>
      <c r="E595" s="48"/>
      <c r="F595" s="48">
        <v>90459.09999999999</v>
      </c>
      <c r="G595" s="43"/>
      <c r="H595" s="43"/>
      <c r="I595" s="43"/>
      <c r="J595" s="43"/>
      <c r="K595" s="43"/>
      <c r="L595" s="43"/>
      <c r="M595" s="43"/>
      <c r="N595" s="43"/>
    </row>
    <row r="596" ht="12.75" customHeight="1">
      <c r="A596" s="48" t="s">
        <v>74</v>
      </c>
      <c r="B596" s="48" t="s">
        <v>25</v>
      </c>
      <c r="C596" s="48" t="s">
        <v>75</v>
      </c>
      <c r="D596" s="48" t="s">
        <v>8</v>
      </c>
      <c r="E596" s="48"/>
      <c r="F596" s="48">
        <v>63115.399999999994</v>
      </c>
      <c r="G596" s="43"/>
      <c r="H596" s="43"/>
      <c r="I596" s="43"/>
      <c r="J596" s="43"/>
      <c r="K596" s="43"/>
      <c r="L596" s="43"/>
      <c r="M596" s="43"/>
      <c r="N596" s="43"/>
    </row>
    <row r="597" ht="12.75" customHeight="1">
      <c r="A597" s="48" t="s">
        <v>74</v>
      </c>
      <c r="B597" s="48" t="s">
        <v>25</v>
      </c>
      <c r="C597" s="48" t="s">
        <v>75</v>
      </c>
      <c r="D597" s="48" t="s">
        <v>8</v>
      </c>
      <c r="E597" s="48"/>
      <c r="F597" s="48">
        <v>430.0</v>
      </c>
      <c r="G597" s="43"/>
      <c r="H597" s="43"/>
      <c r="I597" s="43"/>
      <c r="J597" s="43"/>
      <c r="K597" s="43"/>
      <c r="L597" s="43"/>
      <c r="M597" s="43"/>
      <c r="N597" s="43"/>
    </row>
    <row r="598" ht="12.75" customHeight="1">
      <c r="A598" s="48" t="s">
        <v>74</v>
      </c>
      <c r="B598" s="48" t="s">
        <v>25</v>
      </c>
      <c r="C598" s="48" t="s">
        <v>75</v>
      </c>
      <c r="D598" s="48" t="s">
        <v>8</v>
      </c>
      <c r="E598" s="48"/>
      <c r="F598" s="48">
        <v>9997.5</v>
      </c>
      <c r="G598" s="43"/>
      <c r="H598" s="43"/>
      <c r="I598" s="43"/>
      <c r="J598" s="43"/>
      <c r="K598" s="43"/>
      <c r="L598" s="43"/>
      <c r="M598" s="43"/>
      <c r="N598" s="43"/>
    </row>
    <row r="599" ht="12.75" customHeight="1">
      <c r="A599" s="48" t="s">
        <v>74</v>
      </c>
      <c r="B599" s="48" t="s">
        <v>25</v>
      </c>
      <c r="C599" s="48" t="s">
        <v>75</v>
      </c>
      <c r="D599" s="48" t="s">
        <v>8</v>
      </c>
      <c r="E599" s="48"/>
      <c r="F599" s="48">
        <v>23220.0</v>
      </c>
      <c r="G599" s="43"/>
      <c r="H599" s="43"/>
      <c r="I599" s="43"/>
      <c r="J599" s="43"/>
      <c r="K599" s="43"/>
      <c r="L599" s="43"/>
      <c r="M599" s="43"/>
      <c r="N599" s="43"/>
    </row>
    <row r="600" ht="12.75" customHeight="1">
      <c r="A600" s="48" t="s">
        <v>74</v>
      </c>
      <c r="B600" s="48" t="s">
        <v>25</v>
      </c>
      <c r="C600" s="48" t="s">
        <v>75</v>
      </c>
      <c r="D600" s="48" t="s">
        <v>8</v>
      </c>
      <c r="E600" s="48"/>
      <c r="F600" s="48">
        <v>300957.0</v>
      </c>
      <c r="G600" s="43"/>
      <c r="H600" s="43"/>
      <c r="I600" s="43"/>
      <c r="J600" s="43"/>
      <c r="K600" s="43"/>
      <c r="L600" s="43"/>
      <c r="M600" s="43"/>
      <c r="N600" s="43"/>
    </row>
    <row r="601" ht="12.75" customHeight="1">
      <c r="A601" s="48" t="s">
        <v>74</v>
      </c>
      <c r="B601" s="48" t="s">
        <v>25</v>
      </c>
      <c r="C601" s="48" t="s">
        <v>75</v>
      </c>
      <c r="D601" s="48" t="s">
        <v>8</v>
      </c>
      <c r="E601" s="48"/>
      <c r="F601" s="48">
        <v>10986.5</v>
      </c>
      <c r="G601" s="43"/>
      <c r="H601" s="43"/>
      <c r="I601" s="43"/>
      <c r="J601" s="43"/>
      <c r="K601" s="43"/>
      <c r="L601" s="43"/>
      <c r="M601" s="43"/>
      <c r="N601" s="43"/>
    </row>
    <row r="602" ht="12.75" customHeight="1">
      <c r="A602" s="48" t="s">
        <v>74</v>
      </c>
      <c r="B602" s="48" t="s">
        <v>25</v>
      </c>
      <c r="C602" s="48" t="s">
        <v>75</v>
      </c>
      <c r="D602" s="48" t="s">
        <v>8</v>
      </c>
      <c r="E602" s="48"/>
      <c r="F602" s="48">
        <v>0.0</v>
      </c>
      <c r="G602" s="43"/>
      <c r="H602" s="43"/>
      <c r="I602" s="43"/>
      <c r="J602" s="43"/>
      <c r="K602" s="43"/>
      <c r="L602" s="43"/>
      <c r="M602" s="43"/>
      <c r="N602" s="43"/>
    </row>
    <row r="603" ht="12.75" customHeight="1">
      <c r="A603" s="48" t="s">
        <v>74</v>
      </c>
      <c r="B603" s="48" t="s">
        <v>25</v>
      </c>
      <c r="C603" s="48" t="s">
        <v>75</v>
      </c>
      <c r="D603" s="48" t="s">
        <v>8</v>
      </c>
      <c r="E603" s="48"/>
      <c r="F603" s="48">
        <v>9563.199999999999</v>
      </c>
      <c r="G603" s="43"/>
      <c r="H603" s="43"/>
      <c r="I603" s="43"/>
      <c r="J603" s="43"/>
      <c r="K603" s="43"/>
      <c r="L603" s="43"/>
      <c r="M603" s="43"/>
      <c r="N603" s="43"/>
    </row>
    <row r="604" ht="12.75" customHeight="1">
      <c r="A604" s="48" t="s">
        <v>74</v>
      </c>
      <c r="B604" s="48" t="s">
        <v>25</v>
      </c>
      <c r="C604" s="48" t="s">
        <v>75</v>
      </c>
      <c r="D604" s="48" t="s">
        <v>8</v>
      </c>
      <c r="E604" s="48"/>
      <c r="F604" s="48">
        <v>385985.2</v>
      </c>
      <c r="G604" s="43"/>
      <c r="H604" s="43"/>
      <c r="I604" s="43"/>
      <c r="J604" s="43"/>
      <c r="K604" s="43"/>
      <c r="L604" s="43"/>
      <c r="M604" s="43"/>
      <c r="N604" s="43"/>
    </row>
    <row r="605" ht="12.75" customHeight="1">
      <c r="A605" s="48" t="s">
        <v>74</v>
      </c>
      <c r="B605" s="48" t="s">
        <v>25</v>
      </c>
      <c r="C605" s="48" t="s">
        <v>75</v>
      </c>
      <c r="D605" s="48" t="s">
        <v>8</v>
      </c>
      <c r="E605" s="48"/>
      <c r="F605" s="48">
        <v>0.0</v>
      </c>
      <c r="G605" s="43"/>
      <c r="H605" s="43"/>
      <c r="I605" s="43"/>
      <c r="J605" s="43"/>
      <c r="K605" s="43"/>
      <c r="L605" s="43"/>
      <c r="M605" s="43"/>
      <c r="N605" s="43"/>
    </row>
    <row r="606" ht="12.75" customHeight="1">
      <c r="A606" s="48" t="s">
        <v>74</v>
      </c>
      <c r="B606" s="48" t="s">
        <v>25</v>
      </c>
      <c r="C606" s="48" t="s">
        <v>75</v>
      </c>
      <c r="D606" s="48" t="s">
        <v>8</v>
      </c>
      <c r="E606" s="48"/>
      <c r="F606" s="48">
        <v>216887.69999999998</v>
      </c>
      <c r="G606" s="43"/>
      <c r="H606" s="43"/>
      <c r="I606" s="43"/>
      <c r="J606" s="43"/>
      <c r="K606" s="43"/>
      <c r="L606" s="43"/>
      <c r="M606" s="43"/>
      <c r="N606" s="43"/>
    </row>
    <row r="607" ht="12.75" customHeight="1">
      <c r="A607" s="48" t="s">
        <v>74</v>
      </c>
      <c r="B607" s="48" t="s">
        <v>25</v>
      </c>
      <c r="C607" s="48" t="s">
        <v>75</v>
      </c>
      <c r="D607" s="48" t="s">
        <v>8</v>
      </c>
      <c r="E607" s="48"/>
      <c r="F607" s="48">
        <v>0.0</v>
      </c>
      <c r="G607" s="43"/>
      <c r="H607" s="43"/>
      <c r="I607" s="43"/>
      <c r="J607" s="43"/>
      <c r="K607" s="43"/>
      <c r="L607" s="43"/>
      <c r="M607" s="43"/>
      <c r="N607" s="43"/>
    </row>
    <row r="608" ht="12.75" customHeight="1">
      <c r="A608" s="48" t="s">
        <v>74</v>
      </c>
      <c r="B608" s="48" t="s">
        <v>25</v>
      </c>
      <c r="C608" s="48" t="s">
        <v>75</v>
      </c>
      <c r="D608" s="48" t="s">
        <v>8</v>
      </c>
      <c r="E608" s="48"/>
      <c r="F608" s="48">
        <v>147808.19999999998</v>
      </c>
      <c r="G608" s="43"/>
      <c r="H608" s="43"/>
      <c r="I608" s="43"/>
      <c r="J608" s="43"/>
      <c r="K608" s="43"/>
      <c r="L608" s="43"/>
      <c r="M608" s="43"/>
      <c r="N608" s="43"/>
    </row>
    <row r="609" ht="12.75" customHeight="1">
      <c r="A609" s="48" t="s">
        <v>74</v>
      </c>
      <c r="B609" s="48" t="s">
        <v>25</v>
      </c>
      <c r="C609" s="48" t="s">
        <v>75</v>
      </c>
      <c r="D609" s="48" t="s">
        <v>8</v>
      </c>
      <c r="E609" s="48"/>
      <c r="F609" s="48">
        <v>0.0</v>
      </c>
      <c r="G609" s="43"/>
      <c r="H609" s="43"/>
      <c r="I609" s="43"/>
      <c r="J609" s="43"/>
      <c r="K609" s="43"/>
      <c r="L609" s="43"/>
      <c r="M609" s="43"/>
      <c r="N609" s="43"/>
    </row>
    <row r="610" ht="12.75" customHeight="1">
      <c r="A610" s="48" t="s">
        <v>74</v>
      </c>
      <c r="B610" s="48" t="s">
        <v>25</v>
      </c>
      <c r="C610" s="48" t="s">
        <v>75</v>
      </c>
      <c r="D610" s="48" t="s">
        <v>8</v>
      </c>
      <c r="E610" s="48"/>
      <c r="F610" s="48">
        <v>0.0</v>
      </c>
      <c r="G610" s="43"/>
      <c r="H610" s="43"/>
      <c r="I610" s="43"/>
      <c r="J610" s="43"/>
      <c r="K610" s="43"/>
      <c r="L610" s="43"/>
      <c r="M610" s="43"/>
      <c r="N610" s="43"/>
    </row>
    <row r="611" ht="12.75" customHeight="1">
      <c r="A611" s="48" t="s">
        <v>74</v>
      </c>
      <c r="B611" s="48" t="s">
        <v>25</v>
      </c>
      <c r="C611" s="48" t="s">
        <v>75</v>
      </c>
      <c r="D611" s="48" t="s">
        <v>8</v>
      </c>
      <c r="E611" s="48"/>
      <c r="F611" s="48">
        <v>8088.299999999999</v>
      </c>
      <c r="G611" s="43"/>
      <c r="H611" s="43"/>
      <c r="I611" s="43"/>
      <c r="J611" s="43"/>
      <c r="K611" s="43"/>
      <c r="L611" s="43"/>
      <c r="M611" s="43"/>
      <c r="N611" s="43"/>
    </row>
    <row r="612" ht="12.75" customHeight="1">
      <c r="A612" s="48" t="s">
        <v>74</v>
      </c>
      <c r="B612" s="48" t="s">
        <v>25</v>
      </c>
      <c r="C612" s="48" t="s">
        <v>75</v>
      </c>
      <c r="D612" s="48" t="s">
        <v>8</v>
      </c>
      <c r="E612" s="48"/>
      <c r="F612" s="48">
        <v>15862.699999999999</v>
      </c>
      <c r="G612" s="43"/>
      <c r="H612" s="43"/>
      <c r="I612" s="43"/>
      <c r="J612" s="43"/>
      <c r="K612" s="43"/>
      <c r="L612" s="43"/>
      <c r="M612" s="43"/>
      <c r="N612" s="43"/>
    </row>
    <row r="613" ht="12.75" customHeight="1">
      <c r="A613" s="48" t="s">
        <v>74</v>
      </c>
      <c r="B613" s="48" t="s">
        <v>25</v>
      </c>
      <c r="C613" s="48" t="s">
        <v>75</v>
      </c>
      <c r="D613" s="48" t="s">
        <v>8</v>
      </c>
      <c r="E613" s="48"/>
      <c r="F613" s="48">
        <v>100675.9</v>
      </c>
      <c r="G613" s="43"/>
      <c r="H613" s="43"/>
      <c r="I613" s="43"/>
      <c r="J613" s="43"/>
      <c r="K613" s="43"/>
      <c r="L613" s="43"/>
      <c r="M613" s="43"/>
      <c r="N613" s="43"/>
    </row>
    <row r="614" ht="12.75" customHeight="1">
      <c r="A614" s="48" t="s">
        <v>74</v>
      </c>
      <c r="B614" s="48" t="s">
        <v>25</v>
      </c>
      <c r="C614" s="48" t="s">
        <v>75</v>
      </c>
      <c r="D614" s="48" t="s">
        <v>8</v>
      </c>
      <c r="E614" s="48"/>
      <c r="F614" s="48">
        <v>0.0</v>
      </c>
      <c r="G614" s="43"/>
      <c r="H614" s="43"/>
      <c r="I614" s="43"/>
      <c r="J614" s="43"/>
      <c r="K614" s="43"/>
      <c r="L614" s="43"/>
      <c r="M614" s="43"/>
      <c r="N614" s="43"/>
    </row>
    <row r="615" ht="12.75" customHeight="1">
      <c r="A615" s="48" t="s">
        <v>74</v>
      </c>
      <c r="B615" s="48" t="s">
        <v>25</v>
      </c>
      <c r="C615" s="48" t="s">
        <v>75</v>
      </c>
      <c r="D615" s="48" t="s">
        <v>8</v>
      </c>
      <c r="E615" s="48"/>
      <c r="F615" s="48">
        <v>4368.8</v>
      </c>
      <c r="G615" s="43"/>
      <c r="H615" s="43"/>
      <c r="I615" s="43"/>
      <c r="J615" s="43"/>
      <c r="K615" s="43"/>
      <c r="L615" s="43"/>
      <c r="M615" s="43"/>
      <c r="N615" s="43"/>
    </row>
    <row r="616" ht="12.75" customHeight="1">
      <c r="A616" s="48" t="s">
        <v>74</v>
      </c>
      <c r="B616" s="48" t="s">
        <v>25</v>
      </c>
      <c r="C616" s="48" t="s">
        <v>75</v>
      </c>
      <c r="D616" s="48" t="s">
        <v>8</v>
      </c>
      <c r="E616" s="48"/>
      <c r="F616" s="48">
        <v>0.0</v>
      </c>
      <c r="G616" s="43"/>
      <c r="H616" s="43"/>
      <c r="I616" s="43"/>
      <c r="J616" s="43"/>
      <c r="K616" s="43"/>
      <c r="L616" s="43"/>
      <c r="M616" s="43"/>
      <c r="N616" s="43"/>
    </row>
    <row r="617" ht="12.75" customHeight="1">
      <c r="A617" s="48" t="s">
        <v>74</v>
      </c>
      <c r="B617" s="48" t="s">
        <v>25</v>
      </c>
      <c r="C617" s="48" t="s">
        <v>75</v>
      </c>
      <c r="D617" s="48" t="s">
        <v>54</v>
      </c>
      <c r="E617" s="48"/>
      <c r="F617" s="48">
        <v>1754.3999999999999</v>
      </c>
      <c r="G617" s="43"/>
      <c r="H617" s="43"/>
      <c r="I617" s="43"/>
      <c r="J617" s="43"/>
      <c r="K617" s="43"/>
      <c r="L617" s="43"/>
      <c r="M617" s="43"/>
      <c r="N617" s="43"/>
    </row>
    <row r="618" ht="12.75" customHeight="1">
      <c r="A618" s="48" t="s">
        <v>74</v>
      </c>
      <c r="B618" s="48" t="s">
        <v>25</v>
      </c>
      <c r="C618" s="48" t="s">
        <v>75</v>
      </c>
      <c r="D618" s="48" t="s">
        <v>54</v>
      </c>
      <c r="E618" s="48"/>
      <c r="F618" s="48">
        <v>142489.1</v>
      </c>
      <c r="G618" s="43"/>
      <c r="H618" s="43"/>
      <c r="I618" s="43"/>
      <c r="J618" s="43"/>
      <c r="K618" s="43"/>
      <c r="L618" s="43"/>
      <c r="M618" s="43"/>
      <c r="N618" s="43"/>
    </row>
    <row r="619" ht="12.75" customHeight="1">
      <c r="A619" s="48" t="s">
        <v>74</v>
      </c>
      <c r="B619" s="48" t="s">
        <v>25</v>
      </c>
      <c r="C619" s="48" t="s">
        <v>75</v>
      </c>
      <c r="D619" s="48" t="s">
        <v>54</v>
      </c>
      <c r="E619" s="48"/>
      <c r="F619" s="48">
        <v>0.0</v>
      </c>
      <c r="G619" s="43"/>
      <c r="H619" s="43"/>
      <c r="I619" s="43"/>
      <c r="J619" s="43"/>
      <c r="K619" s="43"/>
      <c r="L619" s="43"/>
      <c r="M619" s="43"/>
      <c r="N619" s="43"/>
    </row>
    <row r="620" ht="12.75" customHeight="1">
      <c r="A620" s="48" t="s">
        <v>74</v>
      </c>
      <c r="B620" s="48" t="s">
        <v>25</v>
      </c>
      <c r="C620" s="48" t="s">
        <v>75</v>
      </c>
      <c r="D620" s="48" t="s">
        <v>49</v>
      </c>
      <c r="E620" s="48"/>
      <c r="F620" s="48">
        <v>451.5</v>
      </c>
      <c r="G620" s="43"/>
      <c r="H620" s="43"/>
      <c r="I620" s="43"/>
      <c r="J620" s="43"/>
      <c r="K620" s="43"/>
      <c r="L620" s="43"/>
      <c r="M620" s="43"/>
      <c r="N620" s="43"/>
    </row>
    <row r="621" ht="12.75" customHeight="1">
      <c r="A621" s="48" t="s">
        <v>74</v>
      </c>
      <c r="B621" s="48" t="s">
        <v>25</v>
      </c>
      <c r="C621" s="48" t="s">
        <v>75</v>
      </c>
      <c r="D621" s="48" t="s">
        <v>50</v>
      </c>
      <c r="E621" s="48"/>
      <c r="F621" s="48">
        <v>610.6</v>
      </c>
      <c r="G621" s="43"/>
      <c r="H621" s="43"/>
      <c r="I621" s="43"/>
      <c r="J621" s="43"/>
      <c r="K621" s="43"/>
      <c r="L621" s="43"/>
      <c r="M621" s="43"/>
      <c r="N621" s="43"/>
    </row>
    <row r="622" ht="12.75" customHeight="1">
      <c r="A622" s="48" t="s">
        <v>74</v>
      </c>
      <c r="B622" s="48" t="s">
        <v>25</v>
      </c>
      <c r="C622" s="48" t="s">
        <v>75</v>
      </c>
      <c r="D622" s="48" t="s">
        <v>50</v>
      </c>
      <c r="E622" s="48"/>
      <c r="F622" s="48">
        <v>4936.4</v>
      </c>
      <c r="G622" s="43"/>
      <c r="H622" s="43"/>
      <c r="I622" s="43"/>
      <c r="J622" s="43"/>
      <c r="K622" s="43"/>
      <c r="L622" s="43"/>
      <c r="M622" s="43"/>
      <c r="N622" s="43"/>
    </row>
    <row r="623" ht="12.75" customHeight="1">
      <c r="A623" s="48" t="s">
        <v>74</v>
      </c>
      <c r="B623" s="48" t="s">
        <v>25</v>
      </c>
      <c r="C623" s="48" t="s">
        <v>75</v>
      </c>
      <c r="D623" s="48" t="s">
        <v>50</v>
      </c>
      <c r="E623" s="48"/>
      <c r="F623" s="48">
        <v>6622.0</v>
      </c>
      <c r="G623" s="43"/>
      <c r="H623" s="43"/>
      <c r="I623" s="43"/>
      <c r="J623" s="43"/>
      <c r="K623" s="43"/>
      <c r="L623" s="43"/>
      <c r="M623" s="43"/>
      <c r="N623" s="43"/>
    </row>
    <row r="624" ht="12.75" customHeight="1">
      <c r="A624" s="48" t="s">
        <v>74</v>
      </c>
      <c r="B624" s="48" t="s">
        <v>25</v>
      </c>
      <c r="C624" s="48" t="s">
        <v>75</v>
      </c>
      <c r="D624" s="48" t="s">
        <v>50</v>
      </c>
      <c r="E624" s="48"/>
      <c r="F624" s="48">
        <v>1023.4</v>
      </c>
      <c r="G624" s="43"/>
      <c r="H624" s="43"/>
      <c r="I624" s="43"/>
      <c r="J624" s="43"/>
      <c r="K624" s="43"/>
      <c r="L624" s="43"/>
      <c r="M624" s="43"/>
      <c r="N624" s="43"/>
    </row>
    <row r="625" ht="12.75" customHeight="1">
      <c r="A625" s="48" t="s">
        <v>74</v>
      </c>
      <c r="B625" s="48" t="s">
        <v>25</v>
      </c>
      <c r="C625" s="48" t="s">
        <v>75</v>
      </c>
      <c r="D625" s="48" t="s">
        <v>50</v>
      </c>
      <c r="E625" s="48"/>
      <c r="F625" s="48">
        <v>4768.7</v>
      </c>
      <c r="G625" s="43"/>
      <c r="H625" s="43"/>
      <c r="I625" s="43"/>
      <c r="J625" s="43"/>
      <c r="K625" s="43"/>
      <c r="L625" s="43"/>
      <c r="M625" s="43"/>
      <c r="N625" s="43"/>
    </row>
    <row r="626" ht="12.75" customHeight="1">
      <c r="A626" s="48" t="s">
        <v>74</v>
      </c>
      <c r="B626" s="48" t="s">
        <v>25</v>
      </c>
      <c r="C626" s="48" t="s">
        <v>75</v>
      </c>
      <c r="D626" s="48" t="s">
        <v>50</v>
      </c>
      <c r="E626" s="48"/>
      <c r="F626" s="48">
        <v>5719.0</v>
      </c>
      <c r="G626" s="43"/>
      <c r="H626" s="43"/>
      <c r="I626" s="43"/>
      <c r="J626" s="43"/>
      <c r="K626" s="43"/>
      <c r="L626" s="43"/>
      <c r="M626" s="43"/>
      <c r="N626" s="43"/>
    </row>
    <row r="627" ht="12.75" customHeight="1">
      <c r="A627" s="48" t="s">
        <v>74</v>
      </c>
      <c r="B627" s="48" t="s">
        <v>25</v>
      </c>
      <c r="C627" s="48" t="s">
        <v>75</v>
      </c>
      <c r="D627" s="48" t="s">
        <v>50</v>
      </c>
      <c r="E627" s="48"/>
      <c r="F627" s="48">
        <v>5994.2</v>
      </c>
      <c r="G627" s="43"/>
      <c r="H627" s="43"/>
      <c r="I627" s="43"/>
      <c r="J627" s="43"/>
      <c r="K627" s="43"/>
      <c r="L627" s="43"/>
      <c r="M627" s="43"/>
      <c r="N627" s="43"/>
    </row>
    <row r="628" ht="12.75" customHeight="1">
      <c r="A628" s="48" t="s">
        <v>74</v>
      </c>
      <c r="B628" s="48" t="s">
        <v>25</v>
      </c>
      <c r="C628" s="48" t="s">
        <v>75</v>
      </c>
      <c r="D628" s="48" t="s">
        <v>50</v>
      </c>
      <c r="E628" s="48"/>
      <c r="F628" s="48">
        <v>4618.2</v>
      </c>
      <c r="G628" s="43"/>
      <c r="H628" s="43"/>
      <c r="I628" s="43"/>
      <c r="J628" s="43"/>
      <c r="K628" s="43"/>
      <c r="L628" s="43"/>
      <c r="M628" s="43"/>
      <c r="N628" s="43"/>
    </row>
    <row r="629" ht="12.75" customHeight="1">
      <c r="A629" s="48" t="s">
        <v>74</v>
      </c>
      <c r="B629" s="48" t="s">
        <v>25</v>
      </c>
      <c r="C629" s="48" t="s">
        <v>75</v>
      </c>
      <c r="D629" s="48" t="s">
        <v>50</v>
      </c>
      <c r="E629" s="48"/>
      <c r="F629" s="48">
        <v>1049.2</v>
      </c>
      <c r="G629" s="43"/>
      <c r="H629" s="43"/>
      <c r="I629" s="43"/>
      <c r="J629" s="43"/>
      <c r="K629" s="43"/>
      <c r="L629" s="43"/>
      <c r="M629" s="43"/>
      <c r="N629" s="43"/>
    </row>
    <row r="630" ht="12.75" customHeight="1">
      <c r="A630" s="48" t="s">
        <v>74</v>
      </c>
      <c r="B630" s="48" t="s">
        <v>25</v>
      </c>
      <c r="C630" s="48" t="s">
        <v>75</v>
      </c>
      <c r="D630" s="48" t="s">
        <v>50</v>
      </c>
      <c r="E630" s="48"/>
      <c r="F630" s="48">
        <v>4712.8</v>
      </c>
      <c r="G630" s="43"/>
      <c r="H630" s="43"/>
      <c r="I630" s="43"/>
      <c r="J630" s="43"/>
      <c r="K630" s="43"/>
      <c r="L630" s="43"/>
      <c r="M630" s="43"/>
      <c r="N630" s="43"/>
    </row>
    <row r="631" ht="12.75" customHeight="1">
      <c r="A631" s="48" t="s">
        <v>74</v>
      </c>
      <c r="B631" s="48" t="s">
        <v>25</v>
      </c>
      <c r="C631" s="48" t="s">
        <v>75</v>
      </c>
      <c r="D631" s="48" t="s">
        <v>50</v>
      </c>
      <c r="E631" s="48"/>
      <c r="F631" s="48">
        <v>4132.3</v>
      </c>
      <c r="G631" s="43"/>
      <c r="H631" s="43"/>
      <c r="I631" s="43"/>
      <c r="J631" s="43"/>
      <c r="K631" s="43"/>
      <c r="L631" s="43"/>
      <c r="M631" s="43"/>
      <c r="N631" s="43"/>
    </row>
    <row r="632" ht="12.75" customHeight="1">
      <c r="A632" s="48" t="s">
        <v>74</v>
      </c>
      <c r="B632" s="48" t="s">
        <v>25</v>
      </c>
      <c r="C632" s="48" t="s">
        <v>75</v>
      </c>
      <c r="D632" s="48" t="s">
        <v>50</v>
      </c>
      <c r="E632" s="48"/>
      <c r="F632" s="48">
        <v>74875.9</v>
      </c>
      <c r="G632" s="43"/>
      <c r="H632" s="43"/>
      <c r="I632" s="43"/>
      <c r="J632" s="43"/>
      <c r="K632" s="43"/>
      <c r="L632" s="43"/>
      <c r="M632" s="43"/>
      <c r="N632" s="43"/>
    </row>
    <row r="633" ht="12.75" customHeight="1">
      <c r="A633" s="48" t="s">
        <v>74</v>
      </c>
      <c r="B633" s="48" t="s">
        <v>25</v>
      </c>
      <c r="C633" s="48" t="s">
        <v>75</v>
      </c>
      <c r="D633" s="48" t="s">
        <v>50</v>
      </c>
      <c r="E633" s="48"/>
      <c r="F633" s="48">
        <v>1612.5</v>
      </c>
      <c r="G633" s="43"/>
      <c r="H633" s="43"/>
      <c r="I633" s="43"/>
      <c r="J633" s="43"/>
      <c r="K633" s="43"/>
      <c r="L633" s="43"/>
      <c r="M633" s="43"/>
      <c r="N633" s="43"/>
    </row>
    <row r="634" ht="12.75" customHeight="1">
      <c r="A634" s="48" t="s">
        <v>74</v>
      </c>
      <c r="B634" s="48" t="s">
        <v>25</v>
      </c>
      <c r="C634" s="48" t="s">
        <v>75</v>
      </c>
      <c r="D634" s="48" t="s">
        <v>50</v>
      </c>
      <c r="E634" s="48"/>
      <c r="F634" s="48">
        <v>4394.599999999999</v>
      </c>
      <c r="G634" s="43"/>
      <c r="H634" s="43"/>
      <c r="I634" s="43"/>
      <c r="J634" s="43"/>
      <c r="K634" s="43"/>
      <c r="L634" s="43"/>
      <c r="M634" s="43"/>
      <c r="N634" s="43"/>
    </row>
    <row r="635" ht="12.75" customHeight="1">
      <c r="A635" s="48" t="s">
        <v>74</v>
      </c>
      <c r="B635" s="48" t="s">
        <v>25</v>
      </c>
      <c r="C635" s="48" t="s">
        <v>75</v>
      </c>
      <c r="D635" s="48" t="s">
        <v>50</v>
      </c>
      <c r="E635" s="48"/>
      <c r="F635" s="48">
        <v>915.9</v>
      </c>
      <c r="G635" s="43"/>
      <c r="H635" s="43"/>
      <c r="I635" s="43"/>
      <c r="J635" s="43"/>
      <c r="K635" s="43"/>
      <c r="L635" s="43"/>
      <c r="M635" s="43"/>
      <c r="N635" s="43"/>
    </row>
    <row r="636" ht="12.75" customHeight="1">
      <c r="A636" s="48" t="s">
        <v>74</v>
      </c>
      <c r="B636" s="48" t="s">
        <v>25</v>
      </c>
      <c r="C636" s="48" t="s">
        <v>75</v>
      </c>
      <c r="D636" s="48" t="s">
        <v>47</v>
      </c>
      <c r="E636" s="48"/>
      <c r="F636" s="48">
        <v>184.9</v>
      </c>
      <c r="G636" s="43"/>
      <c r="H636" s="43"/>
      <c r="I636" s="43"/>
      <c r="J636" s="43"/>
      <c r="K636" s="43"/>
      <c r="L636" s="43"/>
      <c r="M636" s="43"/>
      <c r="N636" s="43"/>
    </row>
    <row r="637" ht="12.75" customHeight="1">
      <c r="A637" s="48" t="s">
        <v>74</v>
      </c>
      <c r="B637" s="48" t="s">
        <v>25</v>
      </c>
      <c r="C637" s="48" t="s">
        <v>75</v>
      </c>
      <c r="D637" s="48" t="s">
        <v>47</v>
      </c>
      <c r="E637" s="48"/>
      <c r="F637" s="48">
        <v>5633.0</v>
      </c>
      <c r="G637" s="43"/>
      <c r="H637" s="43"/>
      <c r="I637" s="43"/>
      <c r="J637" s="43"/>
      <c r="K637" s="43"/>
      <c r="L637" s="43"/>
      <c r="M637" s="43"/>
      <c r="N637" s="43"/>
    </row>
    <row r="638" ht="12.75" customHeight="1">
      <c r="A638" s="48" t="s">
        <v>74</v>
      </c>
      <c r="B638" s="48" t="s">
        <v>25</v>
      </c>
      <c r="C638" s="48" t="s">
        <v>75</v>
      </c>
      <c r="D638" s="48" t="s">
        <v>47</v>
      </c>
      <c r="E638" s="48"/>
      <c r="F638" s="48">
        <v>2558.5</v>
      </c>
      <c r="G638" s="43"/>
      <c r="H638" s="43"/>
      <c r="I638" s="43"/>
      <c r="J638" s="43"/>
      <c r="K638" s="43"/>
      <c r="L638" s="43"/>
      <c r="M638" s="43"/>
      <c r="N638" s="43"/>
    </row>
    <row r="639" ht="12.75" customHeight="1">
      <c r="A639" s="48" t="s">
        <v>74</v>
      </c>
      <c r="B639" s="48" t="s">
        <v>25</v>
      </c>
      <c r="C639" s="48" t="s">
        <v>75</v>
      </c>
      <c r="D639" s="48" t="s">
        <v>47</v>
      </c>
      <c r="E639" s="48"/>
      <c r="F639" s="48">
        <v>8217.3</v>
      </c>
      <c r="G639" s="43"/>
      <c r="H639" s="43"/>
      <c r="I639" s="43"/>
      <c r="J639" s="43"/>
      <c r="K639" s="43"/>
      <c r="L639" s="43"/>
      <c r="M639" s="43"/>
      <c r="N639" s="43"/>
    </row>
    <row r="640" ht="12.75" customHeight="1">
      <c r="A640" s="48" t="s">
        <v>74</v>
      </c>
      <c r="B640" s="48" t="s">
        <v>25</v>
      </c>
      <c r="C640" s="48" t="s">
        <v>75</v>
      </c>
      <c r="D640" s="48" t="s">
        <v>47</v>
      </c>
      <c r="E640" s="48"/>
      <c r="F640" s="48">
        <v>37758.299999999996</v>
      </c>
      <c r="G640" s="43"/>
      <c r="H640" s="43"/>
      <c r="I640" s="43"/>
      <c r="J640" s="43"/>
      <c r="K640" s="43"/>
      <c r="L640" s="43"/>
      <c r="M640" s="43"/>
      <c r="N640" s="43"/>
    </row>
    <row r="641" ht="12.75" customHeight="1">
      <c r="A641" s="48" t="s">
        <v>74</v>
      </c>
      <c r="B641" s="48" t="s">
        <v>25</v>
      </c>
      <c r="C641" s="48" t="s">
        <v>75</v>
      </c>
      <c r="D641" s="48" t="s">
        <v>47</v>
      </c>
      <c r="E641" s="48"/>
      <c r="F641" s="48">
        <v>9636.3</v>
      </c>
      <c r="G641" s="43"/>
      <c r="H641" s="43"/>
      <c r="I641" s="43"/>
      <c r="J641" s="43"/>
      <c r="K641" s="43"/>
      <c r="L641" s="43"/>
      <c r="M641" s="43"/>
      <c r="N641" s="43"/>
    </row>
    <row r="642" ht="12.75" customHeight="1">
      <c r="A642" s="48" t="s">
        <v>74</v>
      </c>
      <c r="B642" s="48" t="s">
        <v>25</v>
      </c>
      <c r="C642" s="48" t="s">
        <v>76</v>
      </c>
      <c r="D642" s="48" t="s">
        <v>52</v>
      </c>
      <c r="E642" s="48"/>
      <c r="F642" s="48">
        <v>131967.0</v>
      </c>
      <c r="G642" s="43"/>
      <c r="H642" s="43"/>
      <c r="I642" s="43"/>
      <c r="J642" s="43"/>
      <c r="K642" s="43"/>
      <c r="L642" s="43"/>
      <c r="M642" s="43"/>
      <c r="N642" s="43"/>
    </row>
    <row r="643" ht="12.75" customHeight="1">
      <c r="A643" s="48" t="s">
        <v>74</v>
      </c>
      <c r="B643" s="48" t="s">
        <v>25</v>
      </c>
      <c r="C643" s="48" t="s">
        <v>76</v>
      </c>
      <c r="D643" s="48" t="s">
        <v>53</v>
      </c>
      <c r="E643" s="48"/>
      <c r="F643" s="48">
        <v>-9253.6</v>
      </c>
      <c r="G643" s="43"/>
      <c r="H643" s="43"/>
      <c r="I643" s="43"/>
      <c r="J643" s="43"/>
      <c r="K643" s="43"/>
      <c r="L643" s="43"/>
      <c r="M643" s="43"/>
      <c r="N643" s="43"/>
    </row>
    <row r="644" ht="12.75" customHeight="1">
      <c r="A644" s="48" t="s">
        <v>74</v>
      </c>
      <c r="B644" s="48" t="s">
        <v>25</v>
      </c>
      <c r="C644" s="48" t="s">
        <v>76</v>
      </c>
      <c r="D644" s="48" t="s">
        <v>8</v>
      </c>
      <c r="E644" s="48"/>
      <c r="F644" s="48">
        <v>14749.0</v>
      </c>
      <c r="G644" s="43"/>
      <c r="H644" s="43"/>
      <c r="I644" s="43"/>
      <c r="J644" s="43"/>
      <c r="K644" s="43"/>
      <c r="L644" s="43"/>
      <c r="M644" s="43"/>
      <c r="N644" s="43"/>
    </row>
    <row r="645" ht="12.75" customHeight="1">
      <c r="A645" s="48" t="s">
        <v>74</v>
      </c>
      <c r="B645" s="48" t="s">
        <v>25</v>
      </c>
      <c r="C645" s="48" t="s">
        <v>76</v>
      </c>
      <c r="D645" s="48" t="s">
        <v>8</v>
      </c>
      <c r="E645" s="48"/>
      <c r="F645" s="48">
        <v>17995.5</v>
      </c>
      <c r="G645" s="43"/>
      <c r="H645" s="43"/>
      <c r="I645" s="43"/>
      <c r="J645" s="43"/>
      <c r="K645" s="43"/>
      <c r="L645" s="43"/>
      <c r="M645" s="43"/>
      <c r="N645" s="43"/>
    </row>
    <row r="646" ht="12.75" customHeight="1">
      <c r="A646" s="48" t="s">
        <v>74</v>
      </c>
      <c r="B646" s="48" t="s">
        <v>25</v>
      </c>
      <c r="C646" s="48" t="s">
        <v>76</v>
      </c>
      <c r="D646" s="48" t="s">
        <v>54</v>
      </c>
      <c r="E646" s="48"/>
      <c r="F646" s="48">
        <v>18533.0</v>
      </c>
      <c r="G646" s="43"/>
      <c r="H646" s="43"/>
      <c r="I646" s="43"/>
      <c r="J646" s="43"/>
      <c r="K646" s="43"/>
      <c r="L646" s="43"/>
      <c r="M646" s="43"/>
      <c r="N646" s="43"/>
    </row>
    <row r="647" ht="12.75" customHeight="1">
      <c r="A647" s="48" t="s">
        <v>74</v>
      </c>
      <c r="B647" s="48" t="s">
        <v>25</v>
      </c>
      <c r="C647" s="48" t="s">
        <v>76</v>
      </c>
      <c r="D647" s="48" t="s">
        <v>50</v>
      </c>
      <c r="E647" s="48"/>
      <c r="F647" s="48">
        <v>0.0</v>
      </c>
      <c r="G647" s="43"/>
      <c r="H647" s="43"/>
      <c r="I647" s="43"/>
      <c r="J647" s="43"/>
      <c r="K647" s="43"/>
      <c r="L647" s="43"/>
      <c r="M647" s="43"/>
      <c r="N647" s="43"/>
    </row>
    <row r="648" ht="12.75" customHeight="1">
      <c r="A648" s="48" t="s">
        <v>74</v>
      </c>
      <c r="B648" s="48" t="s">
        <v>25</v>
      </c>
      <c r="C648" s="48" t="s">
        <v>76</v>
      </c>
      <c r="D648" s="48" t="s">
        <v>50</v>
      </c>
      <c r="E648" s="48"/>
      <c r="F648" s="48">
        <v>3108.9</v>
      </c>
      <c r="G648" s="43"/>
      <c r="H648" s="43"/>
      <c r="I648" s="43"/>
      <c r="J648" s="43"/>
      <c r="K648" s="43"/>
      <c r="L648" s="43"/>
      <c r="M648" s="43"/>
      <c r="N648" s="43"/>
    </row>
    <row r="649" ht="12.75" customHeight="1">
      <c r="A649" s="48" t="s">
        <v>74</v>
      </c>
      <c r="B649" s="48" t="s">
        <v>25</v>
      </c>
      <c r="C649" s="48" t="s">
        <v>76</v>
      </c>
      <c r="D649" s="48" t="s">
        <v>50</v>
      </c>
      <c r="E649" s="48"/>
      <c r="F649" s="48">
        <v>-2257.5</v>
      </c>
      <c r="G649" s="43"/>
      <c r="H649" s="43"/>
      <c r="I649" s="43"/>
      <c r="J649" s="43"/>
      <c r="K649" s="43"/>
      <c r="L649" s="43"/>
      <c r="M649" s="43"/>
      <c r="N649" s="43"/>
    </row>
    <row r="650" ht="12.75" customHeight="1">
      <c r="A650" s="48" t="s">
        <v>74</v>
      </c>
      <c r="B650" s="48" t="s">
        <v>25</v>
      </c>
      <c r="C650" s="48" t="s">
        <v>76</v>
      </c>
      <c r="D650" s="48" t="s">
        <v>50</v>
      </c>
      <c r="E650" s="48"/>
      <c r="F650" s="48">
        <v>5396.5</v>
      </c>
      <c r="G650" s="43"/>
      <c r="H650" s="43"/>
      <c r="I650" s="43"/>
      <c r="J650" s="43"/>
      <c r="K650" s="43"/>
      <c r="L650" s="43"/>
      <c r="M650" s="43"/>
      <c r="N650" s="43"/>
    </row>
    <row r="651" ht="12.75" customHeight="1">
      <c r="A651" s="48" t="s">
        <v>74</v>
      </c>
      <c r="B651" s="48" t="s">
        <v>25</v>
      </c>
      <c r="C651" s="48" t="s">
        <v>76</v>
      </c>
      <c r="D651" s="48" t="s">
        <v>50</v>
      </c>
      <c r="E651" s="48"/>
      <c r="F651" s="48">
        <v>10001.8</v>
      </c>
      <c r="G651" s="43"/>
      <c r="H651" s="43"/>
      <c r="I651" s="43"/>
      <c r="J651" s="43"/>
      <c r="K651" s="43"/>
      <c r="L651" s="43"/>
      <c r="M651" s="43"/>
      <c r="N651" s="43"/>
    </row>
    <row r="652" ht="12.75" customHeight="1">
      <c r="A652" s="48" t="s">
        <v>74</v>
      </c>
      <c r="B652" s="48" t="s">
        <v>25</v>
      </c>
      <c r="C652" s="48" t="s">
        <v>76</v>
      </c>
      <c r="D652" s="48" t="s">
        <v>50</v>
      </c>
      <c r="E652" s="48"/>
      <c r="F652" s="48">
        <v>0.0</v>
      </c>
      <c r="G652" s="43"/>
      <c r="H652" s="43"/>
      <c r="I652" s="43"/>
      <c r="J652" s="43"/>
      <c r="K652" s="43"/>
      <c r="L652" s="43"/>
      <c r="M652" s="43"/>
      <c r="N652" s="43"/>
    </row>
    <row r="653" ht="12.75" customHeight="1">
      <c r="A653" s="48" t="s">
        <v>74</v>
      </c>
      <c r="B653" s="48" t="s">
        <v>25</v>
      </c>
      <c r="C653" s="48" t="s">
        <v>76</v>
      </c>
      <c r="D653" s="48" t="s">
        <v>47</v>
      </c>
      <c r="E653" s="48"/>
      <c r="F653" s="48">
        <v>5564.2</v>
      </c>
      <c r="G653" s="43"/>
      <c r="H653" s="43"/>
      <c r="I653" s="43"/>
      <c r="J653" s="43"/>
      <c r="K653" s="43"/>
      <c r="L653" s="43"/>
      <c r="M653" s="43"/>
      <c r="N653" s="43"/>
    </row>
    <row r="654" ht="12.75" customHeight="1">
      <c r="A654" s="48" t="s">
        <v>74</v>
      </c>
      <c r="B654" s="48" t="s">
        <v>25</v>
      </c>
      <c r="C654" s="48" t="s">
        <v>76</v>
      </c>
      <c r="D654" s="48" t="s">
        <v>47</v>
      </c>
      <c r="E654" s="48"/>
      <c r="F654" s="48">
        <v>5762.0</v>
      </c>
      <c r="G654" s="43"/>
      <c r="H654" s="43"/>
      <c r="I654" s="43"/>
      <c r="J654" s="43"/>
      <c r="K654" s="43"/>
      <c r="L654" s="43"/>
      <c r="M654" s="43"/>
      <c r="N654" s="43"/>
    </row>
    <row r="655" ht="12.75" customHeight="1">
      <c r="A655" s="48" t="s">
        <v>74</v>
      </c>
      <c r="B655" s="48" t="s">
        <v>25</v>
      </c>
      <c r="C655" s="48" t="s">
        <v>76</v>
      </c>
      <c r="D655" s="48" t="s">
        <v>47</v>
      </c>
      <c r="E655" s="48"/>
      <c r="F655" s="48">
        <v>2227.4</v>
      </c>
      <c r="G655" s="43"/>
      <c r="H655" s="43"/>
      <c r="I655" s="43"/>
      <c r="J655" s="43"/>
      <c r="K655" s="43"/>
      <c r="L655" s="43"/>
      <c r="M655" s="43"/>
      <c r="N655" s="43"/>
    </row>
    <row r="656" ht="12.75" customHeight="1">
      <c r="A656" s="48" t="s">
        <v>74</v>
      </c>
      <c r="B656" s="48" t="s">
        <v>25</v>
      </c>
      <c r="C656" s="48" t="s">
        <v>76</v>
      </c>
      <c r="D656" s="48" t="s">
        <v>47</v>
      </c>
      <c r="E656" s="48"/>
      <c r="F656" s="48">
        <v>3745.2999999999997</v>
      </c>
      <c r="G656" s="43"/>
      <c r="H656" s="43"/>
      <c r="I656" s="43"/>
      <c r="J656" s="43"/>
      <c r="K656" s="43"/>
      <c r="L656" s="43"/>
      <c r="M656" s="43"/>
      <c r="N656" s="43"/>
    </row>
    <row r="657" ht="12.75" customHeight="1">
      <c r="A657" s="48" t="s">
        <v>74</v>
      </c>
      <c r="B657" s="48" t="s">
        <v>25</v>
      </c>
      <c r="C657" s="48" t="s">
        <v>76</v>
      </c>
      <c r="D657" s="48" t="s">
        <v>47</v>
      </c>
      <c r="E657" s="48"/>
      <c r="F657" s="48">
        <v>1612.5</v>
      </c>
      <c r="G657" s="43"/>
      <c r="H657" s="43"/>
      <c r="I657" s="43"/>
      <c r="J657" s="43"/>
      <c r="K657" s="43"/>
      <c r="L657" s="43"/>
      <c r="M657" s="43"/>
      <c r="N657" s="43"/>
    </row>
    <row r="658" ht="12.75" customHeight="1">
      <c r="A658" s="48" t="s">
        <v>74</v>
      </c>
      <c r="B658" s="48" t="s">
        <v>25</v>
      </c>
      <c r="C658" s="48" t="s">
        <v>76</v>
      </c>
      <c r="D658" s="48" t="s">
        <v>47</v>
      </c>
      <c r="E658" s="48"/>
      <c r="F658" s="48">
        <v>0.0</v>
      </c>
      <c r="G658" s="43"/>
      <c r="H658" s="43"/>
      <c r="I658" s="43"/>
      <c r="J658" s="43"/>
      <c r="K658" s="43"/>
      <c r="L658" s="43"/>
      <c r="M658" s="43"/>
      <c r="N658" s="43"/>
    </row>
    <row r="659" ht="12.75" customHeight="1">
      <c r="A659" s="48" t="s">
        <v>74</v>
      </c>
      <c r="B659" s="48" t="s">
        <v>25</v>
      </c>
      <c r="C659" s="48" t="s">
        <v>7</v>
      </c>
      <c r="D659" s="48" t="s">
        <v>52</v>
      </c>
      <c r="E659" s="48"/>
      <c r="F659" s="48">
        <v>81153.9</v>
      </c>
      <c r="G659" s="43"/>
      <c r="H659" s="43"/>
      <c r="I659" s="43"/>
      <c r="J659" s="43"/>
      <c r="K659" s="43"/>
      <c r="L659" s="43"/>
      <c r="M659" s="43"/>
      <c r="N659" s="43"/>
    </row>
    <row r="660" ht="12.75" customHeight="1">
      <c r="A660" s="48" t="s">
        <v>74</v>
      </c>
      <c r="B660" s="48" t="s">
        <v>25</v>
      </c>
      <c r="C660" s="48" t="s">
        <v>7</v>
      </c>
      <c r="D660" s="48" t="s">
        <v>53</v>
      </c>
      <c r="E660" s="48"/>
      <c r="F660" s="48">
        <v>-5908.2</v>
      </c>
      <c r="G660" s="43"/>
      <c r="H660" s="43"/>
      <c r="I660" s="43"/>
      <c r="J660" s="43"/>
      <c r="K660" s="43"/>
      <c r="L660" s="43"/>
      <c r="M660" s="43"/>
      <c r="N660" s="43"/>
    </row>
    <row r="661" ht="12.75" customHeight="1">
      <c r="A661" s="48" t="s">
        <v>74</v>
      </c>
      <c r="B661" s="48" t="s">
        <v>25</v>
      </c>
      <c r="C661" s="48" t="s">
        <v>7</v>
      </c>
      <c r="D661" s="48" t="s">
        <v>8</v>
      </c>
      <c r="E661" s="48"/>
      <c r="F661" s="48">
        <v>885.8</v>
      </c>
      <c r="G661" s="43"/>
      <c r="H661" s="43"/>
      <c r="I661" s="43"/>
      <c r="J661" s="43"/>
      <c r="K661" s="43"/>
      <c r="L661" s="43"/>
      <c r="M661" s="43"/>
      <c r="N661" s="43"/>
    </row>
    <row r="662" ht="12.75" customHeight="1">
      <c r="A662" s="48" t="s">
        <v>74</v>
      </c>
      <c r="B662" s="48" t="s">
        <v>25</v>
      </c>
      <c r="C662" s="48" t="s">
        <v>7</v>
      </c>
      <c r="D662" s="48" t="s">
        <v>54</v>
      </c>
      <c r="E662" s="48"/>
      <c r="F662" s="48">
        <v>0.0</v>
      </c>
      <c r="G662" s="43"/>
      <c r="H662" s="43"/>
      <c r="I662" s="43"/>
      <c r="J662" s="43"/>
      <c r="K662" s="43"/>
      <c r="L662" s="43"/>
      <c r="M662" s="43"/>
      <c r="N662" s="43"/>
    </row>
    <row r="663" ht="12.75" customHeight="1">
      <c r="A663" s="48" t="s">
        <v>74</v>
      </c>
      <c r="B663" s="48" t="s">
        <v>25</v>
      </c>
      <c r="C663" s="48" t="s">
        <v>7</v>
      </c>
      <c r="D663" s="48" t="s">
        <v>54</v>
      </c>
      <c r="E663" s="48"/>
      <c r="F663" s="48">
        <v>18533.0</v>
      </c>
      <c r="G663" s="43"/>
      <c r="H663" s="43"/>
      <c r="I663" s="43"/>
      <c r="J663" s="43"/>
      <c r="K663" s="43"/>
      <c r="L663" s="43"/>
      <c r="M663" s="43"/>
      <c r="N663" s="43"/>
    </row>
    <row r="664" ht="12.75" customHeight="1">
      <c r="A664" s="48" t="s">
        <v>74</v>
      </c>
      <c r="B664" s="48" t="s">
        <v>25</v>
      </c>
      <c r="C664" s="48" t="s">
        <v>7</v>
      </c>
      <c r="D664" s="48" t="s">
        <v>49</v>
      </c>
      <c r="E664" s="48"/>
      <c r="F664" s="48">
        <v>5482.5</v>
      </c>
      <c r="G664" s="43"/>
      <c r="H664" s="43"/>
      <c r="I664" s="43"/>
      <c r="J664" s="43"/>
      <c r="K664" s="43"/>
      <c r="L664" s="43"/>
      <c r="M664" s="43"/>
      <c r="N664" s="43"/>
    </row>
    <row r="665" ht="12.75" customHeight="1">
      <c r="A665" s="48" t="s">
        <v>74</v>
      </c>
      <c r="B665" s="48" t="s">
        <v>25</v>
      </c>
      <c r="C665" s="48" t="s">
        <v>7</v>
      </c>
      <c r="D665" s="48" t="s">
        <v>50</v>
      </c>
      <c r="E665" s="48"/>
      <c r="F665" s="48">
        <v>-1621.1</v>
      </c>
      <c r="G665" s="43"/>
      <c r="H665" s="43"/>
      <c r="I665" s="43"/>
      <c r="J665" s="43"/>
      <c r="K665" s="43"/>
      <c r="L665" s="43"/>
      <c r="M665" s="43"/>
      <c r="N665" s="43"/>
    </row>
    <row r="666" ht="12.75" customHeight="1">
      <c r="A666" s="48" t="s">
        <v>74</v>
      </c>
      <c r="B666" s="48" t="s">
        <v>25</v>
      </c>
      <c r="C666" s="48" t="s">
        <v>7</v>
      </c>
      <c r="D666" s="48" t="s">
        <v>50</v>
      </c>
      <c r="E666" s="48"/>
      <c r="F666" s="48">
        <v>10001.8</v>
      </c>
      <c r="G666" s="43"/>
      <c r="H666" s="43"/>
      <c r="I666" s="43"/>
      <c r="J666" s="43"/>
      <c r="K666" s="43"/>
      <c r="L666" s="43"/>
      <c r="M666" s="43"/>
      <c r="N666" s="43"/>
    </row>
    <row r="667" ht="12.75" customHeight="1">
      <c r="A667" s="48" t="s">
        <v>74</v>
      </c>
      <c r="B667" s="48" t="s">
        <v>25</v>
      </c>
      <c r="C667" s="48" t="s">
        <v>7</v>
      </c>
      <c r="D667" s="48" t="s">
        <v>50</v>
      </c>
      <c r="E667" s="48"/>
      <c r="F667" s="48">
        <v>7886.2</v>
      </c>
      <c r="G667" s="43"/>
      <c r="H667" s="43"/>
      <c r="I667" s="43"/>
      <c r="J667" s="43"/>
      <c r="K667" s="43"/>
      <c r="L667" s="43"/>
      <c r="M667" s="43"/>
      <c r="N667" s="43"/>
    </row>
    <row r="668" ht="12.75" customHeight="1">
      <c r="A668" s="48" t="s">
        <v>74</v>
      </c>
      <c r="B668" s="48" t="s">
        <v>25</v>
      </c>
      <c r="C668" s="48" t="s">
        <v>7</v>
      </c>
      <c r="D668" s="48" t="s">
        <v>50</v>
      </c>
      <c r="E668" s="48"/>
      <c r="F668" s="48">
        <v>0.0</v>
      </c>
      <c r="G668" s="43"/>
      <c r="H668" s="43"/>
      <c r="I668" s="43"/>
      <c r="J668" s="43"/>
      <c r="K668" s="43"/>
      <c r="L668" s="43"/>
      <c r="M668" s="43"/>
      <c r="N668" s="43"/>
    </row>
    <row r="669" ht="12.75" customHeight="1">
      <c r="A669" s="48" t="s">
        <v>74</v>
      </c>
      <c r="B669" s="48" t="s">
        <v>25</v>
      </c>
      <c r="C669" s="48" t="s">
        <v>7</v>
      </c>
      <c r="D669" s="48" t="s">
        <v>47</v>
      </c>
      <c r="E669" s="48"/>
      <c r="F669" s="48">
        <v>5727.599999999999</v>
      </c>
      <c r="G669" s="43"/>
      <c r="H669" s="43"/>
      <c r="I669" s="43"/>
      <c r="J669" s="43"/>
      <c r="K669" s="43"/>
      <c r="L669" s="43"/>
      <c r="M669" s="43"/>
      <c r="N669" s="43"/>
    </row>
    <row r="670" ht="12.75" customHeight="1">
      <c r="A670" s="48" t="s">
        <v>74</v>
      </c>
      <c r="B670" s="48" t="s">
        <v>25</v>
      </c>
      <c r="C670" s="48" t="s">
        <v>7</v>
      </c>
      <c r="D670" s="48" t="s">
        <v>47</v>
      </c>
      <c r="E670" s="48"/>
      <c r="F670" s="48">
        <v>3981.7999999999997</v>
      </c>
      <c r="G670" s="43"/>
      <c r="H670" s="43"/>
      <c r="I670" s="43"/>
      <c r="J670" s="43"/>
      <c r="K670" s="43"/>
      <c r="L670" s="43"/>
      <c r="M670" s="43"/>
      <c r="N670" s="43"/>
    </row>
    <row r="671" ht="12.75" customHeight="1">
      <c r="A671" s="48" t="s">
        <v>74</v>
      </c>
      <c r="B671" s="48" t="s">
        <v>25</v>
      </c>
      <c r="C671" s="48" t="s">
        <v>7</v>
      </c>
      <c r="D671" s="48" t="s">
        <v>47</v>
      </c>
      <c r="E671" s="48"/>
      <c r="F671" s="48">
        <v>0.0</v>
      </c>
      <c r="G671" s="43"/>
      <c r="H671" s="43"/>
      <c r="I671" s="43"/>
      <c r="J671" s="43"/>
      <c r="K671" s="43"/>
      <c r="L671" s="43"/>
      <c r="M671" s="43"/>
      <c r="N671" s="43"/>
    </row>
    <row r="672" ht="12.75" customHeight="1">
      <c r="A672" s="48" t="s">
        <v>74</v>
      </c>
      <c r="B672" s="48" t="s">
        <v>27</v>
      </c>
      <c r="C672" s="48" t="s">
        <v>79</v>
      </c>
      <c r="D672" s="48" t="s">
        <v>52</v>
      </c>
      <c r="E672" s="48"/>
      <c r="F672" s="48">
        <v>61851.2</v>
      </c>
      <c r="G672" s="43"/>
      <c r="H672" s="43"/>
      <c r="I672" s="43"/>
      <c r="J672" s="43"/>
      <c r="K672" s="43"/>
      <c r="L672" s="43"/>
      <c r="M672" s="43"/>
      <c r="N672" s="43"/>
    </row>
    <row r="673" ht="12.75" customHeight="1">
      <c r="A673" s="48" t="s">
        <v>74</v>
      </c>
      <c r="B673" s="48" t="s">
        <v>27</v>
      </c>
      <c r="C673" s="48" t="s">
        <v>79</v>
      </c>
      <c r="D673" s="48" t="s">
        <v>53</v>
      </c>
      <c r="E673" s="48"/>
      <c r="F673" s="48">
        <v>-692.3</v>
      </c>
      <c r="G673" s="43"/>
      <c r="H673" s="43"/>
      <c r="I673" s="43"/>
      <c r="J673" s="43"/>
      <c r="K673" s="43"/>
      <c r="L673" s="43"/>
      <c r="M673" s="43"/>
      <c r="N673" s="43"/>
    </row>
    <row r="674" ht="12.75" customHeight="1">
      <c r="A674" s="48" t="s">
        <v>74</v>
      </c>
      <c r="B674" s="48" t="s">
        <v>27</v>
      </c>
      <c r="C674" s="48" t="s">
        <v>79</v>
      </c>
      <c r="D674" s="48" t="s">
        <v>8</v>
      </c>
      <c r="E674" s="48"/>
      <c r="F674" s="48">
        <v>756.8</v>
      </c>
      <c r="G674" s="43"/>
      <c r="H674" s="43"/>
      <c r="I674" s="43"/>
      <c r="J674" s="43"/>
      <c r="K674" s="43"/>
      <c r="L674" s="43"/>
      <c r="M674" s="43"/>
      <c r="N674" s="43"/>
    </row>
    <row r="675" ht="12.75" customHeight="1">
      <c r="A675" s="48" t="s">
        <v>74</v>
      </c>
      <c r="B675" s="48" t="s">
        <v>27</v>
      </c>
      <c r="C675" s="48" t="s">
        <v>79</v>
      </c>
      <c r="D675" s="48" t="s">
        <v>54</v>
      </c>
      <c r="E675" s="48"/>
      <c r="F675" s="48">
        <v>6437.099999999999</v>
      </c>
      <c r="G675" s="43"/>
      <c r="H675" s="43"/>
      <c r="I675" s="43"/>
      <c r="J675" s="43"/>
      <c r="K675" s="43"/>
      <c r="L675" s="43"/>
      <c r="M675" s="43"/>
      <c r="N675" s="43"/>
    </row>
    <row r="676" ht="12.75" customHeight="1">
      <c r="A676" s="48" t="s">
        <v>74</v>
      </c>
      <c r="B676" s="48" t="s">
        <v>27</v>
      </c>
      <c r="C676" s="48" t="s">
        <v>79</v>
      </c>
      <c r="D676" s="48" t="s">
        <v>50</v>
      </c>
      <c r="E676" s="48"/>
      <c r="F676" s="48">
        <v>-279.5</v>
      </c>
      <c r="G676" s="43"/>
      <c r="H676" s="43"/>
      <c r="I676" s="43"/>
      <c r="J676" s="43"/>
      <c r="K676" s="43"/>
      <c r="L676" s="43"/>
      <c r="M676" s="43"/>
      <c r="N676" s="43"/>
    </row>
    <row r="677" ht="12.75" customHeight="1">
      <c r="A677" s="48" t="s">
        <v>74</v>
      </c>
      <c r="B677" s="48" t="s">
        <v>27</v>
      </c>
      <c r="C677" s="48" t="s">
        <v>79</v>
      </c>
      <c r="D677" s="48" t="s">
        <v>50</v>
      </c>
      <c r="E677" s="48"/>
      <c r="F677" s="48">
        <v>3861.3999999999996</v>
      </c>
      <c r="G677" s="43"/>
      <c r="H677" s="43"/>
      <c r="I677" s="43"/>
      <c r="J677" s="43"/>
      <c r="K677" s="43"/>
      <c r="L677" s="43"/>
      <c r="M677" s="43"/>
      <c r="N677" s="43"/>
    </row>
    <row r="678" ht="12.75" customHeight="1">
      <c r="A678" s="48" t="s">
        <v>74</v>
      </c>
      <c r="B678" s="48" t="s">
        <v>27</v>
      </c>
      <c r="C678" s="48" t="s">
        <v>79</v>
      </c>
      <c r="D678" s="48" t="s">
        <v>47</v>
      </c>
      <c r="E678" s="48"/>
      <c r="F678" s="48">
        <v>0.0</v>
      </c>
      <c r="G678" s="43"/>
      <c r="H678" s="43"/>
      <c r="I678" s="43"/>
      <c r="J678" s="43"/>
      <c r="K678" s="43"/>
      <c r="L678" s="43"/>
      <c r="M678" s="43"/>
      <c r="N678" s="43"/>
    </row>
    <row r="679" ht="12.75" customHeight="1">
      <c r="A679" s="48" t="s">
        <v>74</v>
      </c>
      <c r="B679" s="48" t="s">
        <v>27</v>
      </c>
      <c r="C679" s="48" t="s">
        <v>79</v>
      </c>
      <c r="D679" s="48" t="s">
        <v>47</v>
      </c>
      <c r="E679" s="48"/>
      <c r="F679" s="48">
        <v>722.4</v>
      </c>
      <c r="G679" s="43"/>
      <c r="H679" s="43"/>
      <c r="I679" s="43"/>
      <c r="J679" s="43"/>
      <c r="K679" s="43"/>
      <c r="L679" s="43"/>
      <c r="M679" s="43"/>
      <c r="N679" s="43"/>
    </row>
    <row r="680" ht="12.75" customHeight="1">
      <c r="A680" s="48" t="s">
        <v>74</v>
      </c>
      <c r="B680" s="48" t="s">
        <v>27</v>
      </c>
      <c r="C680" s="48" t="s">
        <v>79</v>
      </c>
      <c r="D680" s="48" t="s">
        <v>47</v>
      </c>
      <c r="E680" s="48"/>
      <c r="F680" s="48">
        <v>468.7</v>
      </c>
      <c r="G680" s="43"/>
      <c r="H680" s="43"/>
      <c r="I680" s="43"/>
      <c r="J680" s="43"/>
      <c r="K680" s="43"/>
      <c r="L680" s="43"/>
      <c r="M680" s="43"/>
      <c r="N680" s="43"/>
    </row>
    <row r="681" ht="12.75" customHeight="1">
      <c r="A681" s="48" t="s">
        <v>74</v>
      </c>
      <c r="B681" s="48" t="s">
        <v>27</v>
      </c>
      <c r="C681" s="48" t="s">
        <v>78</v>
      </c>
      <c r="D681" s="48" t="s">
        <v>52</v>
      </c>
      <c r="E681" s="48"/>
      <c r="F681" s="48">
        <v>40652.2</v>
      </c>
      <c r="G681" s="43"/>
      <c r="H681" s="43"/>
      <c r="I681" s="43"/>
      <c r="J681" s="43"/>
      <c r="K681" s="43"/>
      <c r="L681" s="43"/>
      <c r="M681" s="43"/>
      <c r="N681" s="43"/>
    </row>
    <row r="682" ht="12.75" customHeight="1">
      <c r="A682" s="48" t="s">
        <v>74</v>
      </c>
      <c r="B682" s="48" t="s">
        <v>27</v>
      </c>
      <c r="C682" s="48" t="s">
        <v>78</v>
      </c>
      <c r="D682" s="48" t="s">
        <v>53</v>
      </c>
      <c r="E682" s="48"/>
      <c r="F682" s="48">
        <v>-3448.6</v>
      </c>
      <c r="G682" s="43"/>
      <c r="H682" s="43"/>
      <c r="I682" s="43"/>
      <c r="J682" s="43"/>
      <c r="K682" s="43"/>
      <c r="L682" s="43"/>
      <c r="M682" s="43"/>
      <c r="N682" s="43"/>
    </row>
    <row r="683" ht="12.75" customHeight="1">
      <c r="A683" s="48" t="s">
        <v>74</v>
      </c>
      <c r="B683" s="48" t="s">
        <v>27</v>
      </c>
      <c r="C683" s="48" t="s">
        <v>78</v>
      </c>
      <c r="D683" s="48" t="s">
        <v>8</v>
      </c>
      <c r="E683" s="48"/>
      <c r="F683" s="48">
        <v>2051.1</v>
      </c>
      <c r="G683" s="43"/>
      <c r="H683" s="43"/>
      <c r="I683" s="43"/>
      <c r="J683" s="43"/>
      <c r="K683" s="43"/>
      <c r="L683" s="43"/>
      <c r="M683" s="43"/>
      <c r="N683" s="43"/>
    </row>
    <row r="684" ht="12.75" customHeight="1">
      <c r="A684" s="48" t="s">
        <v>74</v>
      </c>
      <c r="B684" s="48" t="s">
        <v>27</v>
      </c>
      <c r="C684" s="48" t="s">
        <v>78</v>
      </c>
      <c r="D684" s="48" t="s">
        <v>50</v>
      </c>
      <c r="E684" s="48"/>
      <c r="F684" s="48">
        <v>-1401.8</v>
      </c>
      <c r="G684" s="43"/>
      <c r="H684" s="43"/>
      <c r="I684" s="43"/>
      <c r="J684" s="43"/>
      <c r="K684" s="43"/>
      <c r="L684" s="43"/>
      <c r="M684" s="43"/>
      <c r="N684" s="43"/>
    </row>
    <row r="685" ht="12.75" customHeight="1">
      <c r="A685" s="48" t="s">
        <v>74</v>
      </c>
      <c r="B685" s="48" t="s">
        <v>27</v>
      </c>
      <c r="C685" s="48" t="s">
        <v>78</v>
      </c>
      <c r="D685" s="48" t="s">
        <v>50</v>
      </c>
      <c r="E685" s="48"/>
      <c r="F685" s="48">
        <v>0.0</v>
      </c>
      <c r="G685" s="43"/>
      <c r="H685" s="43"/>
      <c r="I685" s="43"/>
      <c r="J685" s="43"/>
      <c r="K685" s="43"/>
      <c r="L685" s="43"/>
      <c r="M685" s="43"/>
      <c r="N685" s="43"/>
    </row>
    <row r="686" ht="12.75" customHeight="1">
      <c r="A686" s="48" t="s">
        <v>74</v>
      </c>
      <c r="B686" s="48" t="s">
        <v>27</v>
      </c>
      <c r="C686" s="48" t="s">
        <v>78</v>
      </c>
      <c r="D686" s="48" t="s">
        <v>47</v>
      </c>
      <c r="E686" s="48"/>
      <c r="F686" s="48">
        <v>4902.0</v>
      </c>
      <c r="G686" s="43"/>
      <c r="H686" s="43"/>
      <c r="I686" s="43"/>
      <c r="J686" s="43"/>
      <c r="K686" s="43"/>
      <c r="L686" s="43"/>
      <c r="M686" s="43"/>
      <c r="N686" s="43"/>
    </row>
    <row r="687" ht="12.75" customHeight="1">
      <c r="A687" s="48" t="s">
        <v>74</v>
      </c>
      <c r="B687" s="48" t="s">
        <v>27</v>
      </c>
      <c r="C687" s="48" t="s">
        <v>78</v>
      </c>
      <c r="D687" s="48" t="s">
        <v>47</v>
      </c>
      <c r="E687" s="48"/>
      <c r="F687" s="48">
        <v>3599.1</v>
      </c>
      <c r="G687" s="43"/>
      <c r="H687" s="43"/>
      <c r="I687" s="43"/>
      <c r="J687" s="43"/>
      <c r="K687" s="43"/>
      <c r="L687" s="43"/>
      <c r="M687" s="43"/>
      <c r="N687" s="43"/>
    </row>
    <row r="688" ht="12.75" customHeight="1">
      <c r="A688" s="48" t="s">
        <v>74</v>
      </c>
      <c r="B688" s="48" t="s">
        <v>27</v>
      </c>
      <c r="C688" s="48" t="s">
        <v>78</v>
      </c>
      <c r="D688" s="48" t="s">
        <v>47</v>
      </c>
      <c r="E688" s="48"/>
      <c r="F688" s="48">
        <v>2339.2</v>
      </c>
      <c r="G688" s="43"/>
      <c r="H688" s="43"/>
      <c r="I688" s="43"/>
      <c r="J688" s="43"/>
      <c r="K688" s="43"/>
      <c r="L688" s="43"/>
      <c r="M688" s="43"/>
      <c r="N688" s="43"/>
    </row>
    <row r="689" ht="12.75" customHeight="1">
      <c r="A689" s="48" t="s">
        <v>74</v>
      </c>
      <c r="B689" s="48" t="s">
        <v>27</v>
      </c>
      <c r="C689" s="48" t="s">
        <v>78</v>
      </c>
      <c r="D689" s="48" t="s">
        <v>47</v>
      </c>
      <c r="E689" s="48"/>
      <c r="F689" s="48">
        <v>5740.5</v>
      </c>
      <c r="G689" s="43"/>
      <c r="H689" s="43"/>
      <c r="I689" s="43"/>
      <c r="J689" s="43"/>
      <c r="K689" s="43"/>
      <c r="L689" s="43"/>
      <c r="M689" s="43"/>
      <c r="N689" s="43"/>
    </row>
    <row r="690" ht="12.75" customHeight="1">
      <c r="A690" s="48" t="s">
        <v>74</v>
      </c>
      <c r="B690" s="48" t="s">
        <v>27</v>
      </c>
      <c r="C690" s="48" t="s">
        <v>78</v>
      </c>
      <c r="D690" s="48" t="s">
        <v>47</v>
      </c>
      <c r="E690" s="48"/>
      <c r="F690" s="48">
        <v>0.0</v>
      </c>
      <c r="G690" s="43"/>
      <c r="H690" s="43"/>
      <c r="I690" s="43"/>
      <c r="J690" s="43"/>
      <c r="K690" s="43"/>
      <c r="L690" s="43"/>
      <c r="M690" s="43"/>
      <c r="N690" s="43"/>
    </row>
    <row r="691" ht="12.75" customHeight="1">
      <c r="A691" s="48" t="s">
        <v>74</v>
      </c>
      <c r="B691" s="48" t="s">
        <v>25</v>
      </c>
      <c r="C691" s="48" t="s">
        <v>75</v>
      </c>
      <c r="D691" s="48" t="s">
        <v>53</v>
      </c>
      <c r="E691" s="48"/>
      <c r="F691" s="48">
        <v>-4016.2</v>
      </c>
      <c r="G691" s="43"/>
      <c r="H691" s="43"/>
      <c r="I691" s="43"/>
      <c r="J691" s="43"/>
      <c r="K691" s="43"/>
      <c r="L691" s="43"/>
      <c r="M691" s="43"/>
      <c r="N691" s="43"/>
    </row>
    <row r="692" ht="12.75" customHeight="1">
      <c r="A692" s="48" t="s">
        <v>74</v>
      </c>
      <c r="B692" s="48" t="s">
        <v>25</v>
      </c>
      <c r="C692" s="48" t="s">
        <v>75</v>
      </c>
      <c r="D692" s="48" t="s">
        <v>53</v>
      </c>
      <c r="E692" s="48"/>
      <c r="F692" s="48">
        <v>0.0</v>
      </c>
      <c r="G692" s="43"/>
      <c r="H692" s="43"/>
      <c r="I692" s="43"/>
      <c r="J692" s="43"/>
      <c r="K692" s="43"/>
      <c r="L692" s="43"/>
      <c r="M692" s="43"/>
      <c r="N692" s="43"/>
    </row>
    <row r="693" ht="12.75" customHeight="1">
      <c r="A693" s="48" t="s">
        <v>74</v>
      </c>
      <c r="B693" s="48" t="s">
        <v>25</v>
      </c>
      <c r="C693" s="48" t="s">
        <v>75</v>
      </c>
      <c r="D693" s="48" t="s">
        <v>8</v>
      </c>
      <c r="E693" s="48"/>
      <c r="F693" s="48">
        <v>0.0</v>
      </c>
      <c r="G693" s="43"/>
      <c r="H693" s="43"/>
      <c r="I693" s="43"/>
      <c r="J693" s="43"/>
      <c r="K693" s="43"/>
      <c r="L693" s="43"/>
      <c r="M693" s="43"/>
      <c r="N693" s="43"/>
    </row>
    <row r="694" ht="12.75" customHeight="1">
      <c r="A694" s="48" t="s">
        <v>74</v>
      </c>
      <c r="B694" s="48" t="s">
        <v>25</v>
      </c>
      <c r="C694" s="48" t="s">
        <v>75</v>
      </c>
      <c r="D694" s="48" t="s">
        <v>8</v>
      </c>
      <c r="E694" s="48"/>
      <c r="F694" s="48">
        <v>0.0</v>
      </c>
      <c r="G694" s="43"/>
      <c r="H694" s="43"/>
      <c r="I694" s="43"/>
      <c r="J694" s="43"/>
      <c r="K694" s="43"/>
      <c r="L694" s="43"/>
      <c r="M694" s="43"/>
      <c r="N694" s="43"/>
    </row>
    <row r="695" ht="12.75" customHeight="1">
      <c r="A695" s="48" t="s">
        <v>74</v>
      </c>
      <c r="B695" s="48" t="s">
        <v>25</v>
      </c>
      <c r="C695" s="48" t="s">
        <v>75</v>
      </c>
      <c r="D695" s="48" t="s">
        <v>8</v>
      </c>
      <c r="E695" s="48"/>
      <c r="F695" s="48">
        <v>111305.5</v>
      </c>
      <c r="G695" s="43"/>
      <c r="H695" s="43"/>
      <c r="I695" s="43"/>
      <c r="J695" s="43"/>
      <c r="K695" s="43"/>
      <c r="L695" s="43"/>
      <c r="M695" s="43"/>
      <c r="N695" s="43"/>
    </row>
    <row r="696" ht="12.75" customHeight="1">
      <c r="A696" s="48" t="s">
        <v>74</v>
      </c>
      <c r="B696" s="48" t="s">
        <v>25</v>
      </c>
      <c r="C696" s="48" t="s">
        <v>75</v>
      </c>
      <c r="D696" s="48" t="s">
        <v>8</v>
      </c>
      <c r="E696" s="48"/>
      <c r="F696" s="48">
        <v>0.0</v>
      </c>
      <c r="G696" s="43"/>
      <c r="H696" s="43"/>
      <c r="I696" s="43"/>
      <c r="J696" s="43"/>
      <c r="K696" s="43"/>
      <c r="L696" s="43"/>
      <c r="M696" s="43"/>
      <c r="N696" s="43"/>
    </row>
    <row r="697" ht="12.75" customHeight="1">
      <c r="A697" s="48" t="s">
        <v>74</v>
      </c>
      <c r="B697" s="48" t="s">
        <v>25</v>
      </c>
      <c r="C697" s="48" t="s">
        <v>75</v>
      </c>
      <c r="D697" s="48" t="s">
        <v>8</v>
      </c>
      <c r="E697" s="48"/>
      <c r="F697" s="48">
        <v>0.0</v>
      </c>
      <c r="G697" s="43"/>
      <c r="H697" s="43"/>
      <c r="I697" s="43"/>
      <c r="J697" s="43"/>
      <c r="K697" s="43"/>
      <c r="L697" s="43"/>
      <c r="M697" s="43"/>
      <c r="N697" s="43"/>
    </row>
    <row r="698" ht="12.75" customHeight="1">
      <c r="A698" s="48" t="s">
        <v>74</v>
      </c>
      <c r="B698" s="48" t="s">
        <v>25</v>
      </c>
      <c r="C698" s="48" t="s">
        <v>75</v>
      </c>
      <c r="D698" s="48" t="s">
        <v>8</v>
      </c>
      <c r="E698" s="48"/>
      <c r="F698" s="48">
        <v>0.0</v>
      </c>
      <c r="G698" s="43"/>
      <c r="H698" s="43"/>
      <c r="I698" s="43"/>
      <c r="J698" s="43"/>
      <c r="K698" s="43"/>
      <c r="L698" s="43"/>
      <c r="M698" s="43"/>
      <c r="N698" s="43"/>
    </row>
    <row r="699" ht="12.75" customHeight="1">
      <c r="A699" s="48" t="s">
        <v>74</v>
      </c>
      <c r="B699" s="48" t="s">
        <v>25</v>
      </c>
      <c r="C699" s="48" t="s">
        <v>75</v>
      </c>
      <c r="D699" s="48" t="s">
        <v>8</v>
      </c>
      <c r="E699" s="48"/>
      <c r="F699" s="48">
        <v>167.7</v>
      </c>
      <c r="G699" s="43"/>
      <c r="H699" s="43"/>
      <c r="I699" s="43"/>
      <c r="J699" s="43"/>
      <c r="K699" s="43"/>
      <c r="L699" s="43"/>
      <c r="M699" s="43"/>
      <c r="N699" s="43"/>
    </row>
    <row r="700" ht="12.75" customHeight="1">
      <c r="A700" s="48" t="s">
        <v>74</v>
      </c>
      <c r="B700" s="48" t="s">
        <v>25</v>
      </c>
      <c r="C700" s="48" t="s">
        <v>75</v>
      </c>
      <c r="D700" s="48" t="s">
        <v>8</v>
      </c>
      <c r="E700" s="48"/>
      <c r="F700" s="48">
        <v>280914.7</v>
      </c>
      <c r="G700" s="43"/>
      <c r="H700" s="43"/>
      <c r="I700" s="43"/>
      <c r="J700" s="43"/>
      <c r="K700" s="43"/>
      <c r="L700" s="43"/>
      <c r="M700" s="43"/>
      <c r="N700" s="43"/>
    </row>
    <row r="701" ht="12.75" customHeight="1">
      <c r="A701" s="48" t="s">
        <v>74</v>
      </c>
      <c r="B701" s="48" t="s">
        <v>25</v>
      </c>
      <c r="C701" s="48" t="s">
        <v>75</v>
      </c>
      <c r="D701" s="48" t="s">
        <v>8</v>
      </c>
      <c r="E701" s="48"/>
      <c r="F701" s="48">
        <v>0.0</v>
      </c>
      <c r="G701" s="43"/>
      <c r="H701" s="43"/>
      <c r="I701" s="43"/>
      <c r="J701" s="43"/>
      <c r="K701" s="43"/>
      <c r="L701" s="43"/>
      <c r="M701" s="43"/>
      <c r="N701" s="43"/>
    </row>
    <row r="702" ht="12.75" customHeight="1">
      <c r="A702" s="48" t="s">
        <v>74</v>
      </c>
      <c r="B702" s="48" t="s">
        <v>25</v>
      </c>
      <c r="C702" s="48" t="s">
        <v>75</v>
      </c>
      <c r="D702" s="48" t="s">
        <v>8</v>
      </c>
      <c r="E702" s="48"/>
      <c r="F702" s="48">
        <v>0.0</v>
      </c>
      <c r="G702" s="43"/>
      <c r="H702" s="43"/>
      <c r="I702" s="43"/>
      <c r="J702" s="43"/>
      <c r="K702" s="43"/>
      <c r="L702" s="43"/>
      <c r="M702" s="43"/>
      <c r="N702" s="43"/>
    </row>
    <row r="703" ht="12.75" customHeight="1">
      <c r="A703" s="48" t="s">
        <v>74</v>
      </c>
      <c r="B703" s="48" t="s">
        <v>25</v>
      </c>
      <c r="C703" s="48" t="s">
        <v>75</v>
      </c>
      <c r="D703" s="48" t="s">
        <v>8</v>
      </c>
      <c r="E703" s="48"/>
      <c r="F703" s="48">
        <v>0.0</v>
      </c>
      <c r="G703" s="43"/>
      <c r="H703" s="43"/>
      <c r="I703" s="43"/>
      <c r="J703" s="43"/>
      <c r="K703" s="43"/>
      <c r="L703" s="43"/>
      <c r="M703" s="43"/>
      <c r="N703" s="43"/>
    </row>
    <row r="704" ht="12.75" customHeight="1">
      <c r="A704" s="48" t="s">
        <v>74</v>
      </c>
      <c r="B704" s="48" t="s">
        <v>25</v>
      </c>
      <c r="C704" s="48" t="s">
        <v>75</v>
      </c>
      <c r="D704" s="48" t="s">
        <v>8</v>
      </c>
      <c r="E704" s="48"/>
      <c r="F704" s="48">
        <v>43937.4</v>
      </c>
      <c r="G704" s="43"/>
      <c r="H704" s="43"/>
      <c r="I704" s="43"/>
      <c r="J704" s="43"/>
      <c r="K704" s="43"/>
      <c r="L704" s="43"/>
      <c r="M704" s="43"/>
      <c r="N704" s="43"/>
    </row>
    <row r="705" ht="12.75" customHeight="1">
      <c r="A705" s="48" t="s">
        <v>74</v>
      </c>
      <c r="B705" s="48" t="s">
        <v>25</v>
      </c>
      <c r="C705" s="48" t="s">
        <v>75</v>
      </c>
      <c r="D705" s="48" t="s">
        <v>8</v>
      </c>
      <c r="E705" s="48"/>
      <c r="F705" s="48">
        <v>0.0</v>
      </c>
      <c r="G705" s="43"/>
      <c r="H705" s="43"/>
      <c r="I705" s="43"/>
      <c r="J705" s="43"/>
      <c r="K705" s="43"/>
      <c r="L705" s="43"/>
      <c r="M705" s="43"/>
      <c r="N705" s="43"/>
    </row>
    <row r="706" ht="12.75" customHeight="1">
      <c r="A706" s="48" t="s">
        <v>74</v>
      </c>
      <c r="B706" s="48" t="s">
        <v>25</v>
      </c>
      <c r="C706" s="48" t="s">
        <v>75</v>
      </c>
      <c r="D706" s="48" t="s">
        <v>8</v>
      </c>
      <c r="E706" s="48"/>
      <c r="F706" s="48">
        <v>0.0</v>
      </c>
      <c r="G706" s="43"/>
      <c r="H706" s="43"/>
      <c r="I706" s="43"/>
      <c r="J706" s="43"/>
      <c r="K706" s="43"/>
      <c r="L706" s="43"/>
      <c r="M706" s="43"/>
      <c r="N706" s="43"/>
    </row>
    <row r="707" ht="12.75" customHeight="1">
      <c r="A707" s="48" t="s">
        <v>74</v>
      </c>
      <c r="B707" s="48" t="s">
        <v>25</v>
      </c>
      <c r="C707" s="48" t="s">
        <v>75</v>
      </c>
      <c r="D707" s="48" t="s">
        <v>8</v>
      </c>
      <c r="E707" s="48"/>
      <c r="F707" s="48">
        <v>0.0</v>
      </c>
      <c r="G707" s="43"/>
      <c r="H707" s="43"/>
      <c r="I707" s="43"/>
      <c r="J707" s="43"/>
      <c r="K707" s="43"/>
      <c r="L707" s="43"/>
      <c r="M707" s="43"/>
      <c r="N707" s="43"/>
    </row>
    <row r="708" ht="12.75" customHeight="1">
      <c r="A708" s="48" t="s">
        <v>74</v>
      </c>
      <c r="B708" s="48" t="s">
        <v>25</v>
      </c>
      <c r="C708" s="48" t="s">
        <v>75</v>
      </c>
      <c r="D708" s="48" t="s">
        <v>8</v>
      </c>
      <c r="E708" s="48"/>
      <c r="F708" s="48">
        <v>0.0</v>
      </c>
      <c r="G708" s="43"/>
      <c r="H708" s="43"/>
      <c r="I708" s="43"/>
      <c r="J708" s="43"/>
      <c r="K708" s="43"/>
      <c r="L708" s="43"/>
      <c r="M708" s="43"/>
      <c r="N708" s="43"/>
    </row>
    <row r="709" ht="12.75" customHeight="1">
      <c r="A709" s="48" t="s">
        <v>74</v>
      </c>
      <c r="B709" s="48" t="s">
        <v>25</v>
      </c>
      <c r="C709" s="48" t="s">
        <v>75</v>
      </c>
      <c r="D709" s="48" t="s">
        <v>8</v>
      </c>
      <c r="E709" s="48"/>
      <c r="F709" s="48">
        <v>0.0</v>
      </c>
      <c r="G709" s="43"/>
      <c r="H709" s="43"/>
      <c r="I709" s="43"/>
      <c r="J709" s="43"/>
      <c r="K709" s="43"/>
      <c r="L709" s="43"/>
      <c r="M709" s="43"/>
      <c r="N709" s="43"/>
    </row>
    <row r="710" ht="12.75" customHeight="1">
      <c r="A710" s="48" t="s">
        <v>74</v>
      </c>
      <c r="B710" s="48" t="s">
        <v>25</v>
      </c>
      <c r="C710" s="48" t="s">
        <v>75</v>
      </c>
      <c r="D710" s="48" t="s">
        <v>8</v>
      </c>
      <c r="E710" s="48"/>
      <c r="F710" s="48">
        <v>15368.199999999999</v>
      </c>
      <c r="G710" s="43"/>
      <c r="H710" s="43"/>
      <c r="I710" s="43"/>
      <c r="J710" s="43"/>
      <c r="K710" s="43"/>
      <c r="L710" s="43"/>
      <c r="M710" s="43"/>
      <c r="N710" s="43"/>
    </row>
    <row r="711" ht="12.75" customHeight="1">
      <c r="A711" s="48" t="s">
        <v>74</v>
      </c>
      <c r="B711" s="48" t="s">
        <v>25</v>
      </c>
      <c r="C711" s="48" t="s">
        <v>75</v>
      </c>
      <c r="D711" s="48" t="s">
        <v>8</v>
      </c>
      <c r="E711" s="48"/>
      <c r="F711" s="48">
        <v>0.0</v>
      </c>
      <c r="G711" s="43"/>
      <c r="H711" s="43"/>
      <c r="I711" s="43"/>
      <c r="J711" s="43"/>
      <c r="K711" s="43"/>
      <c r="L711" s="43"/>
      <c r="M711" s="43"/>
      <c r="N711" s="43"/>
    </row>
    <row r="712" ht="12.75" customHeight="1">
      <c r="A712" s="48" t="s">
        <v>74</v>
      </c>
      <c r="B712" s="48" t="s">
        <v>25</v>
      </c>
      <c r="C712" s="48" t="s">
        <v>75</v>
      </c>
      <c r="D712" s="48" t="s">
        <v>8</v>
      </c>
      <c r="E712" s="48"/>
      <c r="F712" s="48">
        <v>0.0</v>
      </c>
      <c r="G712" s="43"/>
      <c r="H712" s="43"/>
      <c r="I712" s="43"/>
      <c r="J712" s="43"/>
      <c r="K712" s="43"/>
      <c r="L712" s="43"/>
      <c r="M712" s="43"/>
      <c r="N712" s="43"/>
    </row>
    <row r="713" ht="12.75" customHeight="1">
      <c r="A713" s="48" t="s">
        <v>74</v>
      </c>
      <c r="B713" s="48" t="s">
        <v>25</v>
      </c>
      <c r="C713" s="48" t="s">
        <v>75</v>
      </c>
      <c r="D713" s="48" t="s">
        <v>8</v>
      </c>
      <c r="E713" s="48"/>
      <c r="F713" s="48">
        <v>0.0</v>
      </c>
      <c r="G713" s="43"/>
      <c r="H713" s="43"/>
      <c r="I713" s="43"/>
      <c r="J713" s="43"/>
      <c r="K713" s="43"/>
      <c r="L713" s="43"/>
      <c r="M713" s="43"/>
      <c r="N713" s="43"/>
    </row>
    <row r="714" ht="12.75" customHeight="1">
      <c r="A714" s="48" t="s">
        <v>74</v>
      </c>
      <c r="B714" s="48" t="s">
        <v>25</v>
      </c>
      <c r="C714" s="48" t="s">
        <v>75</v>
      </c>
      <c r="D714" s="48" t="s">
        <v>8</v>
      </c>
      <c r="E714" s="48"/>
      <c r="F714" s="48">
        <v>96259.8</v>
      </c>
      <c r="G714" s="43"/>
      <c r="H714" s="43"/>
      <c r="I714" s="43"/>
      <c r="J714" s="43"/>
      <c r="K714" s="43"/>
      <c r="L714" s="43"/>
      <c r="M714" s="43"/>
      <c r="N714" s="43"/>
    </row>
    <row r="715" ht="12.75" customHeight="1">
      <c r="A715" s="48" t="s">
        <v>74</v>
      </c>
      <c r="B715" s="48" t="s">
        <v>25</v>
      </c>
      <c r="C715" s="48" t="s">
        <v>75</v>
      </c>
      <c r="D715" s="48" t="s">
        <v>8</v>
      </c>
      <c r="E715" s="48"/>
      <c r="F715" s="48">
        <v>0.0</v>
      </c>
      <c r="G715" s="43"/>
      <c r="H715" s="43"/>
      <c r="I715" s="43"/>
      <c r="J715" s="43"/>
      <c r="K715" s="43"/>
      <c r="L715" s="43"/>
      <c r="M715" s="43"/>
      <c r="N715" s="43"/>
    </row>
    <row r="716" ht="12.75" customHeight="1">
      <c r="A716" s="48" t="s">
        <v>74</v>
      </c>
      <c r="B716" s="48" t="s">
        <v>25</v>
      </c>
      <c r="C716" s="48" t="s">
        <v>75</v>
      </c>
      <c r="D716" s="48" t="s">
        <v>8</v>
      </c>
      <c r="E716" s="48"/>
      <c r="F716" s="48">
        <v>1156.7</v>
      </c>
      <c r="G716" s="43"/>
      <c r="H716" s="43"/>
      <c r="I716" s="43"/>
      <c r="J716" s="43"/>
      <c r="K716" s="43"/>
      <c r="L716" s="43"/>
      <c r="M716" s="43"/>
      <c r="N716" s="43"/>
    </row>
    <row r="717" ht="12.75" customHeight="1">
      <c r="A717" s="48" t="s">
        <v>74</v>
      </c>
      <c r="B717" s="48" t="s">
        <v>25</v>
      </c>
      <c r="C717" s="48" t="s">
        <v>75</v>
      </c>
      <c r="D717" s="48" t="s">
        <v>8</v>
      </c>
      <c r="E717" s="48"/>
      <c r="F717" s="48">
        <v>0.0</v>
      </c>
      <c r="G717" s="43"/>
      <c r="H717" s="43"/>
      <c r="I717" s="43"/>
      <c r="J717" s="43"/>
      <c r="K717" s="43"/>
      <c r="L717" s="43"/>
      <c r="M717" s="43"/>
      <c r="N717" s="43"/>
    </row>
    <row r="718" ht="12.75" customHeight="1">
      <c r="A718" s="48" t="s">
        <v>74</v>
      </c>
      <c r="B718" s="48" t="s">
        <v>25</v>
      </c>
      <c r="C718" s="48" t="s">
        <v>75</v>
      </c>
      <c r="D718" s="48" t="s">
        <v>8</v>
      </c>
      <c r="E718" s="48"/>
      <c r="F718" s="48">
        <v>24488.5</v>
      </c>
      <c r="G718" s="43"/>
      <c r="H718" s="43"/>
      <c r="I718" s="43"/>
      <c r="J718" s="43"/>
      <c r="K718" s="43"/>
      <c r="L718" s="43"/>
      <c r="M718" s="43"/>
      <c r="N718" s="43"/>
    </row>
    <row r="719" ht="12.75" customHeight="1">
      <c r="A719" s="48" t="s">
        <v>74</v>
      </c>
      <c r="B719" s="48" t="s">
        <v>25</v>
      </c>
      <c r="C719" s="48" t="s">
        <v>75</v>
      </c>
      <c r="D719" s="48" t="s">
        <v>8</v>
      </c>
      <c r="E719" s="48"/>
      <c r="F719" s="48">
        <v>65192.299999999996</v>
      </c>
      <c r="G719" s="43"/>
      <c r="H719" s="43"/>
      <c r="I719" s="43"/>
      <c r="J719" s="43"/>
      <c r="K719" s="43"/>
      <c r="L719" s="43"/>
      <c r="M719" s="43"/>
      <c r="N719" s="43"/>
    </row>
    <row r="720" ht="12.75" customHeight="1">
      <c r="A720" s="48" t="s">
        <v>74</v>
      </c>
      <c r="B720" s="48" t="s">
        <v>25</v>
      </c>
      <c r="C720" s="48" t="s">
        <v>75</v>
      </c>
      <c r="D720" s="48" t="s">
        <v>8</v>
      </c>
      <c r="E720" s="48"/>
      <c r="F720" s="48">
        <v>26010.7</v>
      </c>
      <c r="G720" s="43"/>
      <c r="H720" s="43"/>
      <c r="I720" s="43"/>
      <c r="J720" s="43"/>
      <c r="K720" s="43"/>
      <c r="L720" s="43"/>
      <c r="M720" s="43"/>
      <c r="N720" s="43"/>
    </row>
    <row r="721" ht="12.75" customHeight="1">
      <c r="A721" s="48" t="s">
        <v>74</v>
      </c>
      <c r="B721" s="48" t="s">
        <v>25</v>
      </c>
      <c r="C721" s="48" t="s">
        <v>75</v>
      </c>
      <c r="D721" s="48" t="s">
        <v>8</v>
      </c>
      <c r="E721" s="48"/>
      <c r="F721" s="48">
        <v>0.0</v>
      </c>
      <c r="G721" s="43"/>
      <c r="H721" s="43"/>
      <c r="I721" s="43"/>
      <c r="J721" s="43"/>
      <c r="K721" s="43"/>
      <c r="L721" s="43"/>
      <c r="M721" s="43"/>
      <c r="N721" s="43"/>
    </row>
    <row r="722" ht="12.75" customHeight="1">
      <c r="A722" s="48" t="s">
        <v>74</v>
      </c>
      <c r="B722" s="48" t="s">
        <v>25</v>
      </c>
      <c r="C722" s="48" t="s">
        <v>75</v>
      </c>
      <c r="D722" s="48" t="s">
        <v>8</v>
      </c>
      <c r="E722" s="48"/>
      <c r="F722" s="48">
        <v>2334.9</v>
      </c>
      <c r="G722" s="43"/>
      <c r="H722" s="43"/>
      <c r="I722" s="43"/>
      <c r="J722" s="43"/>
      <c r="K722" s="43"/>
      <c r="L722" s="43"/>
      <c r="M722" s="43"/>
      <c r="N722" s="43"/>
    </row>
    <row r="723" ht="12.75" customHeight="1">
      <c r="A723" s="48" t="s">
        <v>74</v>
      </c>
      <c r="B723" s="48" t="s">
        <v>25</v>
      </c>
      <c r="C723" s="48" t="s">
        <v>75</v>
      </c>
      <c r="D723" s="48" t="s">
        <v>8</v>
      </c>
      <c r="E723" s="48"/>
      <c r="F723" s="48">
        <v>32323.1</v>
      </c>
      <c r="G723" s="43"/>
      <c r="H723" s="43"/>
      <c r="I723" s="43"/>
      <c r="J723" s="43"/>
      <c r="K723" s="43"/>
      <c r="L723" s="43"/>
      <c r="M723" s="43"/>
      <c r="N723" s="43"/>
    </row>
    <row r="724" ht="12.75" customHeight="1">
      <c r="A724" s="48" t="s">
        <v>74</v>
      </c>
      <c r="B724" s="48" t="s">
        <v>25</v>
      </c>
      <c r="C724" s="48" t="s">
        <v>75</v>
      </c>
      <c r="D724" s="48" t="s">
        <v>54</v>
      </c>
      <c r="E724" s="48"/>
      <c r="F724" s="48">
        <v>19044.7</v>
      </c>
      <c r="G724" s="43"/>
      <c r="H724" s="43"/>
      <c r="I724" s="43"/>
      <c r="J724" s="43"/>
      <c r="K724" s="43"/>
      <c r="L724" s="43"/>
      <c r="M724" s="43"/>
      <c r="N724" s="43"/>
    </row>
    <row r="725" ht="12.75" customHeight="1">
      <c r="A725" s="48" t="s">
        <v>74</v>
      </c>
      <c r="B725" s="48" t="s">
        <v>25</v>
      </c>
      <c r="C725" s="48" t="s">
        <v>75</v>
      </c>
      <c r="D725" s="48" t="s">
        <v>54</v>
      </c>
      <c r="E725" s="48"/>
      <c r="F725" s="48">
        <v>0.0</v>
      </c>
      <c r="G725" s="43"/>
      <c r="H725" s="43"/>
      <c r="I725" s="43"/>
      <c r="J725" s="43"/>
      <c r="K725" s="43"/>
      <c r="L725" s="43"/>
      <c r="M725" s="43"/>
      <c r="N725" s="43"/>
    </row>
    <row r="726" ht="12.75" customHeight="1">
      <c r="A726" s="48" t="s">
        <v>74</v>
      </c>
      <c r="B726" s="48" t="s">
        <v>25</v>
      </c>
      <c r="C726" s="48" t="s">
        <v>75</v>
      </c>
      <c r="D726" s="48" t="s">
        <v>50</v>
      </c>
      <c r="E726" s="48"/>
      <c r="F726" s="48">
        <v>6579.0</v>
      </c>
      <c r="G726" s="43"/>
      <c r="H726" s="43"/>
      <c r="I726" s="43"/>
      <c r="J726" s="43"/>
      <c r="K726" s="43"/>
      <c r="L726" s="43"/>
      <c r="M726" s="43"/>
      <c r="N726" s="43"/>
    </row>
    <row r="727" ht="12.75" customHeight="1">
      <c r="A727" s="48" t="s">
        <v>74</v>
      </c>
      <c r="B727" s="48" t="s">
        <v>25</v>
      </c>
      <c r="C727" s="48" t="s">
        <v>75</v>
      </c>
      <c r="D727" s="48" t="s">
        <v>50</v>
      </c>
      <c r="E727" s="48"/>
      <c r="F727" s="48">
        <v>-5839.4</v>
      </c>
      <c r="G727" s="43"/>
      <c r="H727" s="43"/>
      <c r="I727" s="43"/>
      <c r="J727" s="43"/>
      <c r="K727" s="43"/>
      <c r="L727" s="43"/>
      <c r="M727" s="43"/>
      <c r="N727" s="43"/>
    </row>
    <row r="728" ht="12.75" customHeight="1">
      <c r="A728" s="48" t="s">
        <v>74</v>
      </c>
      <c r="B728" s="48" t="s">
        <v>25</v>
      </c>
      <c r="C728" s="48" t="s">
        <v>75</v>
      </c>
      <c r="D728" s="48" t="s">
        <v>50</v>
      </c>
      <c r="E728" s="48"/>
      <c r="F728" s="48">
        <v>451.5</v>
      </c>
      <c r="G728" s="43"/>
      <c r="H728" s="43"/>
      <c r="I728" s="43"/>
      <c r="J728" s="43"/>
      <c r="K728" s="43"/>
      <c r="L728" s="43"/>
      <c r="M728" s="43"/>
      <c r="N728" s="43"/>
    </row>
    <row r="729" ht="12.75" customHeight="1">
      <c r="A729" s="48" t="s">
        <v>74</v>
      </c>
      <c r="B729" s="48" t="s">
        <v>25</v>
      </c>
      <c r="C729" s="48" t="s">
        <v>75</v>
      </c>
      <c r="D729" s="48" t="s">
        <v>50</v>
      </c>
      <c r="E729" s="48"/>
      <c r="F729" s="48">
        <v>-8148.5</v>
      </c>
      <c r="G729" s="43"/>
      <c r="H729" s="43"/>
      <c r="I729" s="43"/>
      <c r="J729" s="43"/>
      <c r="K729" s="43"/>
      <c r="L729" s="43"/>
      <c r="M729" s="43"/>
      <c r="N729" s="43"/>
    </row>
    <row r="730" ht="12.75" customHeight="1">
      <c r="A730" s="48" t="s">
        <v>74</v>
      </c>
      <c r="B730" s="48" t="s">
        <v>25</v>
      </c>
      <c r="C730" s="48" t="s">
        <v>75</v>
      </c>
      <c r="D730" s="48" t="s">
        <v>50</v>
      </c>
      <c r="E730" s="48"/>
      <c r="F730" s="48">
        <v>0.0</v>
      </c>
      <c r="G730" s="43"/>
      <c r="H730" s="43"/>
      <c r="I730" s="43"/>
      <c r="J730" s="43"/>
      <c r="K730" s="43"/>
      <c r="L730" s="43"/>
      <c r="M730" s="43"/>
      <c r="N730" s="43"/>
    </row>
    <row r="731" ht="12.75" customHeight="1">
      <c r="A731" s="48" t="s">
        <v>74</v>
      </c>
      <c r="B731" s="48" t="s">
        <v>25</v>
      </c>
      <c r="C731" s="48" t="s">
        <v>75</v>
      </c>
      <c r="D731" s="48" t="s">
        <v>50</v>
      </c>
      <c r="E731" s="48"/>
      <c r="F731" s="48">
        <v>-6944.5</v>
      </c>
      <c r="G731" s="43"/>
      <c r="H731" s="43"/>
      <c r="I731" s="43"/>
      <c r="J731" s="43"/>
      <c r="K731" s="43"/>
      <c r="L731" s="43"/>
      <c r="M731" s="43"/>
      <c r="N731" s="43"/>
    </row>
    <row r="732" ht="12.75" customHeight="1">
      <c r="A732" s="48" t="s">
        <v>74</v>
      </c>
      <c r="B732" s="48" t="s">
        <v>25</v>
      </c>
      <c r="C732" s="48" t="s">
        <v>75</v>
      </c>
      <c r="D732" s="48" t="s">
        <v>50</v>
      </c>
      <c r="E732" s="48"/>
      <c r="F732" s="48">
        <v>0.0</v>
      </c>
      <c r="G732" s="43"/>
      <c r="H732" s="43"/>
      <c r="I732" s="43"/>
      <c r="J732" s="43"/>
      <c r="K732" s="43"/>
      <c r="L732" s="43"/>
      <c r="M732" s="43"/>
      <c r="N732" s="43"/>
    </row>
    <row r="733" ht="12.75" customHeight="1">
      <c r="A733" s="48" t="s">
        <v>74</v>
      </c>
      <c r="B733" s="48" t="s">
        <v>25</v>
      </c>
      <c r="C733" s="48" t="s">
        <v>75</v>
      </c>
      <c r="D733" s="48" t="s">
        <v>50</v>
      </c>
      <c r="E733" s="48"/>
      <c r="F733" s="48">
        <v>6015.7</v>
      </c>
      <c r="G733" s="43"/>
      <c r="H733" s="43"/>
      <c r="I733" s="43"/>
      <c r="J733" s="43"/>
      <c r="K733" s="43"/>
      <c r="L733" s="43"/>
      <c r="M733" s="43"/>
      <c r="N733" s="43"/>
    </row>
    <row r="734" ht="12.75" customHeight="1">
      <c r="A734" s="48" t="s">
        <v>74</v>
      </c>
      <c r="B734" s="48" t="s">
        <v>25</v>
      </c>
      <c r="C734" s="48" t="s">
        <v>75</v>
      </c>
      <c r="D734" s="48" t="s">
        <v>50</v>
      </c>
      <c r="E734" s="48"/>
      <c r="F734" s="48">
        <v>6953.099999999999</v>
      </c>
      <c r="G734" s="43"/>
      <c r="H734" s="43"/>
      <c r="I734" s="43"/>
      <c r="J734" s="43"/>
      <c r="K734" s="43"/>
      <c r="L734" s="43"/>
      <c r="M734" s="43"/>
      <c r="N734" s="43"/>
    </row>
    <row r="735" ht="12.75" customHeight="1">
      <c r="A735" s="48" t="s">
        <v>74</v>
      </c>
      <c r="B735" s="48" t="s">
        <v>25</v>
      </c>
      <c r="C735" s="48" t="s">
        <v>75</v>
      </c>
      <c r="D735" s="48" t="s">
        <v>50</v>
      </c>
      <c r="E735" s="48"/>
      <c r="F735" s="48">
        <v>-5241.7</v>
      </c>
      <c r="G735" s="43"/>
      <c r="H735" s="43"/>
      <c r="I735" s="43"/>
      <c r="J735" s="43"/>
      <c r="K735" s="43"/>
      <c r="L735" s="43"/>
      <c r="M735" s="43"/>
      <c r="N735" s="43"/>
    </row>
    <row r="736" ht="12.75" customHeight="1">
      <c r="A736" s="48" t="s">
        <v>74</v>
      </c>
      <c r="B736" s="48" t="s">
        <v>25</v>
      </c>
      <c r="C736" s="48" t="s">
        <v>75</v>
      </c>
      <c r="D736" s="48" t="s">
        <v>50</v>
      </c>
      <c r="E736" s="48"/>
      <c r="F736" s="48">
        <v>11162.8</v>
      </c>
      <c r="G736" s="43"/>
      <c r="H736" s="43"/>
      <c r="I736" s="43"/>
      <c r="J736" s="43"/>
      <c r="K736" s="43"/>
      <c r="L736" s="43"/>
      <c r="M736" s="43"/>
      <c r="N736" s="43"/>
    </row>
    <row r="737" ht="12.75" customHeight="1">
      <c r="A737" s="48" t="s">
        <v>74</v>
      </c>
      <c r="B737" s="48" t="s">
        <v>25</v>
      </c>
      <c r="C737" s="48" t="s">
        <v>75</v>
      </c>
      <c r="D737" s="48" t="s">
        <v>50</v>
      </c>
      <c r="E737" s="48"/>
      <c r="F737" s="48">
        <v>6738.099999999999</v>
      </c>
      <c r="G737" s="43"/>
      <c r="H737" s="43"/>
      <c r="I737" s="43"/>
      <c r="J737" s="43"/>
      <c r="K737" s="43"/>
      <c r="L737" s="43"/>
      <c r="M737" s="43"/>
      <c r="N737" s="43"/>
    </row>
    <row r="738" ht="12.75" customHeight="1">
      <c r="A738" s="48" t="s">
        <v>74</v>
      </c>
      <c r="B738" s="48" t="s">
        <v>25</v>
      </c>
      <c r="C738" s="48" t="s">
        <v>75</v>
      </c>
      <c r="D738" s="48" t="s">
        <v>50</v>
      </c>
      <c r="E738" s="48"/>
      <c r="F738" s="48">
        <v>-5185.8</v>
      </c>
      <c r="G738" s="43"/>
      <c r="H738" s="43"/>
      <c r="I738" s="43"/>
      <c r="J738" s="43"/>
      <c r="K738" s="43"/>
      <c r="L738" s="43"/>
      <c r="M738" s="43"/>
      <c r="N738" s="43"/>
    </row>
    <row r="739" ht="12.75" customHeight="1">
      <c r="A739" s="48" t="s">
        <v>74</v>
      </c>
      <c r="B739" s="48" t="s">
        <v>25</v>
      </c>
      <c r="C739" s="48" t="s">
        <v>75</v>
      </c>
      <c r="D739" s="48" t="s">
        <v>50</v>
      </c>
      <c r="E739" s="48"/>
      <c r="F739" s="48">
        <v>0.0</v>
      </c>
      <c r="G739" s="43"/>
      <c r="H739" s="43"/>
      <c r="I739" s="43"/>
      <c r="J739" s="43"/>
      <c r="K739" s="43"/>
      <c r="L739" s="43"/>
      <c r="M739" s="43"/>
      <c r="N739" s="43"/>
    </row>
    <row r="740" ht="12.75" customHeight="1">
      <c r="A740" s="48" t="s">
        <v>74</v>
      </c>
      <c r="B740" s="48" t="s">
        <v>25</v>
      </c>
      <c r="C740" s="48" t="s">
        <v>75</v>
      </c>
      <c r="D740" s="48" t="s">
        <v>47</v>
      </c>
      <c r="E740" s="48"/>
      <c r="F740" s="48">
        <v>0.0</v>
      </c>
      <c r="G740" s="43"/>
      <c r="H740" s="43"/>
      <c r="I740" s="43"/>
      <c r="J740" s="43"/>
      <c r="K740" s="43"/>
      <c r="L740" s="43"/>
      <c r="M740" s="43"/>
      <c r="N740" s="43"/>
    </row>
    <row r="741" ht="12.75" customHeight="1">
      <c r="A741" s="48" t="s">
        <v>74</v>
      </c>
      <c r="B741" s="48" t="s">
        <v>25</v>
      </c>
      <c r="C741" s="48" t="s">
        <v>76</v>
      </c>
      <c r="D741" s="48" t="s">
        <v>53</v>
      </c>
      <c r="E741" s="48"/>
      <c r="F741" s="48">
        <v>-27451.199999999997</v>
      </c>
      <c r="G741" s="43"/>
      <c r="H741" s="43"/>
      <c r="I741" s="43"/>
      <c r="J741" s="43"/>
      <c r="K741" s="43"/>
      <c r="L741" s="43"/>
      <c r="M741" s="43"/>
      <c r="N741" s="43"/>
    </row>
    <row r="742" ht="12.75" customHeight="1">
      <c r="A742" s="48" t="s">
        <v>74</v>
      </c>
      <c r="B742" s="48" t="s">
        <v>25</v>
      </c>
      <c r="C742" s="48" t="s">
        <v>76</v>
      </c>
      <c r="D742" s="48" t="s">
        <v>53</v>
      </c>
      <c r="E742" s="48"/>
      <c r="F742" s="48">
        <v>0.0</v>
      </c>
      <c r="G742" s="43"/>
      <c r="H742" s="43"/>
      <c r="I742" s="43"/>
      <c r="J742" s="43"/>
      <c r="K742" s="43"/>
      <c r="L742" s="43"/>
      <c r="M742" s="43"/>
      <c r="N742" s="43"/>
    </row>
    <row r="743" ht="12.75" customHeight="1">
      <c r="A743" s="48" t="s">
        <v>74</v>
      </c>
      <c r="B743" s="48" t="s">
        <v>25</v>
      </c>
      <c r="C743" s="48" t="s">
        <v>76</v>
      </c>
      <c r="D743" s="48" t="s">
        <v>58</v>
      </c>
      <c r="E743" s="48"/>
      <c r="F743" s="48">
        <v>99097.8</v>
      </c>
      <c r="G743" s="43"/>
      <c r="H743" s="43"/>
      <c r="I743" s="43"/>
      <c r="J743" s="43"/>
      <c r="K743" s="43"/>
      <c r="L743" s="43"/>
      <c r="M743" s="43"/>
      <c r="N743" s="43"/>
    </row>
    <row r="744" ht="12.75" customHeight="1">
      <c r="A744" s="48" t="s">
        <v>74</v>
      </c>
      <c r="B744" s="48" t="s">
        <v>25</v>
      </c>
      <c r="C744" s="48" t="s">
        <v>76</v>
      </c>
      <c r="D744" s="48" t="s">
        <v>54</v>
      </c>
      <c r="E744" s="48"/>
      <c r="F744" s="48">
        <v>25150.7</v>
      </c>
      <c r="G744" s="43"/>
      <c r="H744" s="43"/>
      <c r="I744" s="43"/>
      <c r="J744" s="43"/>
      <c r="K744" s="43"/>
      <c r="L744" s="43"/>
      <c r="M744" s="43"/>
      <c r="N744" s="43"/>
    </row>
    <row r="745" ht="12.75" customHeight="1">
      <c r="A745" s="48" t="s">
        <v>74</v>
      </c>
      <c r="B745" s="48" t="s">
        <v>25</v>
      </c>
      <c r="C745" s="48" t="s">
        <v>76</v>
      </c>
      <c r="D745" s="48" t="s">
        <v>50</v>
      </c>
      <c r="E745" s="48"/>
      <c r="F745" s="48">
        <v>8819.3</v>
      </c>
      <c r="G745" s="43"/>
      <c r="H745" s="43"/>
      <c r="I745" s="43"/>
      <c r="J745" s="43"/>
      <c r="K745" s="43"/>
      <c r="L745" s="43"/>
      <c r="M745" s="43"/>
      <c r="N745" s="43"/>
    </row>
    <row r="746" ht="12.75" customHeight="1">
      <c r="A746" s="48" t="s">
        <v>74</v>
      </c>
      <c r="B746" s="48" t="s">
        <v>25</v>
      </c>
      <c r="C746" s="48" t="s">
        <v>76</v>
      </c>
      <c r="D746" s="48" t="s">
        <v>50</v>
      </c>
      <c r="E746" s="48"/>
      <c r="F746" s="48">
        <v>10440.4</v>
      </c>
      <c r="G746" s="43"/>
      <c r="H746" s="43"/>
      <c r="I746" s="43"/>
      <c r="J746" s="43"/>
      <c r="K746" s="43"/>
      <c r="L746" s="43"/>
      <c r="M746" s="43"/>
      <c r="N746" s="43"/>
    </row>
    <row r="747" ht="12.75" customHeight="1">
      <c r="A747" s="48" t="s">
        <v>74</v>
      </c>
      <c r="B747" s="48" t="s">
        <v>25</v>
      </c>
      <c r="C747" s="48" t="s">
        <v>76</v>
      </c>
      <c r="D747" s="48" t="s">
        <v>50</v>
      </c>
      <c r="E747" s="48"/>
      <c r="F747" s="48">
        <v>10092.1</v>
      </c>
      <c r="G747" s="43"/>
      <c r="H747" s="43"/>
      <c r="I747" s="43"/>
      <c r="J747" s="43"/>
      <c r="K747" s="43"/>
      <c r="L747" s="43"/>
      <c r="M747" s="43"/>
      <c r="N747" s="43"/>
    </row>
    <row r="748" ht="12.75" customHeight="1">
      <c r="A748" s="48" t="s">
        <v>74</v>
      </c>
      <c r="B748" s="48" t="s">
        <v>25</v>
      </c>
      <c r="C748" s="48" t="s">
        <v>76</v>
      </c>
      <c r="D748" s="48" t="s">
        <v>50</v>
      </c>
      <c r="E748" s="48"/>
      <c r="F748" s="48">
        <v>3147.6</v>
      </c>
      <c r="G748" s="43"/>
      <c r="H748" s="43"/>
      <c r="I748" s="43"/>
      <c r="J748" s="43"/>
      <c r="K748" s="43"/>
      <c r="L748" s="43"/>
      <c r="M748" s="43"/>
      <c r="N748" s="43"/>
    </row>
    <row r="749" ht="12.75" customHeight="1">
      <c r="A749" s="48" t="s">
        <v>74</v>
      </c>
      <c r="B749" s="48" t="s">
        <v>25</v>
      </c>
      <c r="C749" s="48" t="s">
        <v>76</v>
      </c>
      <c r="D749" s="48" t="s">
        <v>50</v>
      </c>
      <c r="E749" s="48"/>
      <c r="F749" s="48">
        <v>1376.0</v>
      </c>
      <c r="G749" s="43"/>
      <c r="H749" s="43"/>
      <c r="I749" s="43"/>
      <c r="J749" s="43"/>
      <c r="K749" s="43"/>
      <c r="L749" s="43"/>
      <c r="M749" s="43"/>
      <c r="N749" s="43"/>
    </row>
    <row r="750" ht="12.75" customHeight="1">
      <c r="A750" s="48" t="s">
        <v>74</v>
      </c>
      <c r="B750" s="48" t="s">
        <v>25</v>
      </c>
      <c r="C750" s="48" t="s">
        <v>76</v>
      </c>
      <c r="D750" s="48" t="s">
        <v>50</v>
      </c>
      <c r="E750" s="48"/>
      <c r="F750" s="48">
        <v>14478.099999999999</v>
      </c>
      <c r="G750" s="43"/>
      <c r="H750" s="43"/>
      <c r="I750" s="43"/>
      <c r="J750" s="43"/>
      <c r="K750" s="43"/>
      <c r="L750" s="43"/>
      <c r="M750" s="43"/>
      <c r="N750" s="43"/>
    </row>
    <row r="751" ht="12.75" customHeight="1">
      <c r="A751" s="48" t="s">
        <v>74</v>
      </c>
      <c r="B751" s="48" t="s">
        <v>25</v>
      </c>
      <c r="C751" s="48" t="s">
        <v>76</v>
      </c>
      <c r="D751" s="48" t="s">
        <v>50</v>
      </c>
      <c r="E751" s="48"/>
      <c r="F751" s="48">
        <v>21.5</v>
      </c>
      <c r="G751" s="43"/>
      <c r="H751" s="43"/>
      <c r="I751" s="43"/>
      <c r="J751" s="43"/>
      <c r="K751" s="43"/>
      <c r="L751" s="43"/>
      <c r="M751" s="43"/>
      <c r="N751" s="43"/>
    </row>
    <row r="752" ht="12.75" customHeight="1">
      <c r="A752" s="48" t="s">
        <v>74</v>
      </c>
      <c r="B752" s="48" t="s">
        <v>25</v>
      </c>
      <c r="C752" s="48" t="s">
        <v>76</v>
      </c>
      <c r="D752" s="48" t="s">
        <v>50</v>
      </c>
      <c r="E752" s="48"/>
      <c r="F752" s="48">
        <v>1462.0</v>
      </c>
      <c r="G752" s="43"/>
      <c r="H752" s="43"/>
      <c r="I752" s="43"/>
      <c r="J752" s="43"/>
      <c r="K752" s="43"/>
      <c r="L752" s="43"/>
      <c r="M752" s="43"/>
      <c r="N752" s="43"/>
    </row>
    <row r="753" ht="12.75" customHeight="1">
      <c r="A753" s="48" t="s">
        <v>74</v>
      </c>
      <c r="B753" s="48" t="s">
        <v>25</v>
      </c>
      <c r="C753" s="48" t="s">
        <v>76</v>
      </c>
      <c r="D753" s="48" t="s">
        <v>50</v>
      </c>
      <c r="E753" s="48"/>
      <c r="F753" s="48">
        <v>6080.2</v>
      </c>
      <c r="G753" s="43"/>
      <c r="H753" s="43"/>
      <c r="I753" s="43"/>
      <c r="J753" s="43"/>
      <c r="K753" s="43"/>
      <c r="L753" s="43"/>
      <c r="M753" s="43"/>
      <c r="N753" s="43"/>
    </row>
    <row r="754" ht="12.75" customHeight="1">
      <c r="A754" s="48" t="s">
        <v>74</v>
      </c>
      <c r="B754" s="48" t="s">
        <v>25</v>
      </c>
      <c r="C754" s="48" t="s">
        <v>76</v>
      </c>
      <c r="D754" s="48" t="s">
        <v>50</v>
      </c>
      <c r="E754" s="48"/>
      <c r="F754" s="48">
        <v>0.0</v>
      </c>
      <c r="G754" s="43"/>
      <c r="H754" s="43"/>
      <c r="I754" s="43"/>
      <c r="J754" s="43"/>
      <c r="K754" s="43"/>
      <c r="L754" s="43"/>
      <c r="M754" s="43"/>
      <c r="N754" s="43"/>
    </row>
    <row r="755" ht="12.75" customHeight="1">
      <c r="A755" s="48" t="s">
        <v>74</v>
      </c>
      <c r="B755" s="48" t="s">
        <v>25</v>
      </c>
      <c r="C755" s="48" t="s">
        <v>76</v>
      </c>
      <c r="D755" s="48" t="s">
        <v>50</v>
      </c>
      <c r="E755" s="48"/>
      <c r="F755" s="48">
        <v>18894.2</v>
      </c>
      <c r="G755" s="43"/>
      <c r="H755" s="43"/>
      <c r="I755" s="43"/>
      <c r="J755" s="43"/>
      <c r="K755" s="43"/>
      <c r="L755" s="43"/>
      <c r="M755" s="43"/>
      <c r="N755" s="43"/>
    </row>
    <row r="756" ht="12.75" customHeight="1">
      <c r="A756" s="48" t="s">
        <v>74</v>
      </c>
      <c r="B756" s="48" t="s">
        <v>25</v>
      </c>
      <c r="C756" s="48" t="s">
        <v>76</v>
      </c>
      <c r="D756" s="48" t="s">
        <v>50</v>
      </c>
      <c r="E756" s="48"/>
      <c r="F756" s="48">
        <v>0.0</v>
      </c>
      <c r="G756" s="43"/>
      <c r="H756" s="43"/>
      <c r="I756" s="43"/>
      <c r="J756" s="43"/>
      <c r="K756" s="43"/>
      <c r="L756" s="43"/>
      <c r="M756" s="43"/>
      <c r="N756" s="43"/>
    </row>
    <row r="757" ht="12.75" customHeight="1">
      <c r="A757" s="48" t="s">
        <v>74</v>
      </c>
      <c r="B757" s="48" t="s">
        <v>25</v>
      </c>
      <c r="C757" s="48" t="s">
        <v>76</v>
      </c>
      <c r="D757" s="48" t="s">
        <v>50</v>
      </c>
      <c r="E757" s="48"/>
      <c r="F757" s="48">
        <v>0.0</v>
      </c>
      <c r="G757" s="43"/>
      <c r="H757" s="43"/>
      <c r="I757" s="43"/>
      <c r="J757" s="43"/>
      <c r="K757" s="43"/>
      <c r="L757" s="43"/>
      <c r="M757" s="43"/>
      <c r="N757" s="43"/>
    </row>
    <row r="758" ht="12.75" customHeight="1">
      <c r="A758" s="48" t="s">
        <v>74</v>
      </c>
      <c r="B758" s="48" t="s">
        <v>25</v>
      </c>
      <c r="C758" s="48" t="s">
        <v>76</v>
      </c>
      <c r="D758" s="48" t="s">
        <v>47</v>
      </c>
      <c r="E758" s="48"/>
      <c r="F758" s="48">
        <v>1638.3</v>
      </c>
      <c r="G758" s="43"/>
      <c r="H758" s="43"/>
      <c r="I758" s="43"/>
      <c r="J758" s="43"/>
      <c r="K758" s="43"/>
      <c r="L758" s="43"/>
      <c r="M758" s="43"/>
      <c r="N758" s="43"/>
    </row>
    <row r="759" ht="12.75" customHeight="1">
      <c r="A759" s="48" t="s">
        <v>74</v>
      </c>
      <c r="B759" s="48" t="s">
        <v>25</v>
      </c>
      <c r="C759" s="48" t="s">
        <v>76</v>
      </c>
      <c r="D759" s="48" t="s">
        <v>47</v>
      </c>
      <c r="E759" s="48"/>
      <c r="F759" s="48">
        <v>576.1999999999999</v>
      </c>
      <c r="G759" s="43"/>
      <c r="H759" s="43"/>
      <c r="I759" s="43"/>
      <c r="J759" s="43"/>
      <c r="K759" s="43"/>
      <c r="L759" s="43"/>
      <c r="M759" s="43"/>
      <c r="N759" s="43"/>
    </row>
    <row r="760" ht="12.75" customHeight="1">
      <c r="A760" s="48" t="s">
        <v>74</v>
      </c>
      <c r="B760" s="48" t="s">
        <v>25</v>
      </c>
      <c r="C760" s="48" t="s">
        <v>76</v>
      </c>
      <c r="D760" s="48" t="s">
        <v>47</v>
      </c>
      <c r="E760" s="48"/>
      <c r="F760" s="48">
        <v>2081.2</v>
      </c>
      <c r="G760" s="43"/>
      <c r="H760" s="43"/>
      <c r="I760" s="43"/>
      <c r="J760" s="43"/>
      <c r="K760" s="43"/>
      <c r="L760" s="43"/>
      <c r="M760" s="43"/>
      <c r="N760" s="43"/>
    </row>
    <row r="761" ht="12.75" customHeight="1">
      <c r="A761" s="48" t="s">
        <v>74</v>
      </c>
      <c r="B761" s="48" t="s">
        <v>25</v>
      </c>
      <c r="C761" s="48" t="s">
        <v>76</v>
      </c>
      <c r="D761" s="48" t="s">
        <v>47</v>
      </c>
      <c r="E761" s="48"/>
      <c r="F761" s="48">
        <v>743.9</v>
      </c>
      <c r="G761" s="43"/>
      <c r="H761" s="43"/>
      <c r="I761" s="43"/>
      <c r="J761" s="43"/>
      <c r="K761" s="43"/>
      <c r="L761" s="43"/>
      <c r="M761" s="43"/>
      <c r="N761" s="43"/>
    </row>
    <row r="762" ht="12.75" customHeight="1">
      <c r="A762" s="48" t="s">
        <v>74</v>
      </c>
      <c r="B762" s="48" t="s">
        <v>25</v>
      </c>
      <c r="C762" s="48" t="s">
        <v>76</v>
      </c>
      <c r="D762" s="48" t="s">
        <v>47</v>
      </c>
      <c r="E762" s="48"/>
      <c r="F762" s="48">
        <v>1139.5</v>
      </c>
      <c r="G762" s="43"/>
      <c r="H762" s="43"/>
      <c r="I762" s="43"/>
      <c r="J762" s="43"/>
      <c r="K762" s="43"/>
      <c r="L762" s="43"/>
      <c r="M762" s="43"/>
      <c r="N762" s="43"/>
    </row>
    <row r="763" ht="12.75" customHeight="1">
      <c r="A763" s="48" t="s">
        <v>74</v>
      </c>
      <c r="B763" s="48" t="s">
        <v>25</v>
      </c>
      <c r="C763" s="48" t="s">
        <v>76</v>
      </c>
      <c r="D763" s="48" t="s">
        <v>47</v>
      </c>
      <c r="E763" s="48"/>
      <c r="F763" s="48">
        <v>104158.9</v>
      </c>
      <c r="G763" s="43"/>
      <c r="H763" s="43"/>
      <c r="I763" s="43"/>
      <c r="J763" s="43"/>
      <c r="K763" s="43"/>
      <c r="L763" s="43"/>
      <c r="M763" s="43"/>
      <c r="N763" s="43"/>
    </row>
    <row r="764" ht="12.75" customHeight="1">
      <c r="A764" s="48" t="s">
        <v>74</v>
      </c>
      <c r="B764" s="48" t="s">
        <v>25</v>
      </c>
      <c r="C764" s="48" t="s">
        <v>7</v>
      </c>
      <c r="D764" s="48" t="s">
        <v>52</v>
      </c>
      <c r="E764" s="48"/>
      <c r="F764" s="48">
        <v>1935.0</v>
      </c>
      <c r="G764" s="43"/>
      <c r="H764" s="43"/>
      <c r="I764" s="43"/>
      <c r="J764" s="43"/>
      <c r="K764" s="43"/>
      <c r="L764" s="43"/>
      <c r="M764" s="43"/>
      <c r="N764" s="43"/>
    </row>
    <row r="765" ht="12.75" customHeight="1">
      <c r="A765" s="48" t="s">
        <v>74</v>
      </c>
      <c r="B765" s="48" t="s">
        <v>25</v>
      </c>
      <c r="C765" s="48" t="s">
        <v>7</v>
      </c>
      <c r="D765" s="48" t="s">
        <v>53</v>
      </c>
      <c r="E765" s="48"/>
      <c r="F765" s="48">
        <v>-5504.0</v>
      </c>
      <c r="G765" s="43"/>
      <c r="H765" s="43"/>
      <c r="I765" s="43"/>
      <c r="J765" s="43"/>
      <c r="K765" s="43"/>
      <c r="L765" s="43"/>
      <c r="M765" s="43"/>
      <c r="N765" s="43"/>
    </row>
    <row r="766" ht="12.75" customHeight="1">
      <c r="A766" s="48" t="s">
        <v>74</v>
      </c>
      <c r="B766" s="48" t="s">
        <v>25</v>
      </c>
      <c r="C766" s="48" t="s">
        <v>7</v>
      </c>
      <c r="D766" s="48" t="s">
        <v>53</v>
      </c>
      <c r="E766" s="48"/>
      <c r="F766" s="48">
        <v>0.0</v>
      </c>
      <c r="G766" s="43"/>
      <c r="H766" s="43"/>
      <c r="I766" s="43"/>
      <c r="J766" s="43"/>
      <c r="K766" s="43"/>
      <c r="L766" s="43"/>
      <c r="M766" s="43"/>
      <c r="N766" s="43"/>
    </row>
    <row r="767" ht="12.75" customHeight="1">
      <c r="A767" s="48" t="s">
        <v>74</v>
      </c>
      <c r="B767" s="48" t="s">
        <v>25</v>
      </c>
      <c r="C767" s="48" t="s">
        <v>7</v>
      </c>
      <c r="D767" s="48" t="s">
        <v>58</v>
      </c>
      <c r="E767" s="48"/>
      <c r="F767" s="48">
        <v>269790.6</v>
      </c>
      <c r="G767" s="43"/>
      <c r="H767" s="43"/>
      <c r="I767" s="43"/>
      <c r="J767" s="43"/>
      <c r="K767" s="43"/>
      <c r="L767" s="43"/>
      <c r="M767" s="43"/>
      <c r="N767" s="43"/>
    </row>
    <row r="768" ht="12.75" customHeight="1">
      <c r="A768" s="48" t="s">
        <v>74</v>
      </c>
      <c r="B768" s="48" t="s">
        <v>25</v>
      </c>
      <c r="C768" s="48" t="s">
        <v>7</v>
      </c>
      <c r="D768" s="48" t="s">
        <v>54</v>
      </c>
      <c r="E768" s="48"/>
      <c r="F768" s="48">
        <v>24213.3</v>
      </c>
      <c r="G768" s="43"/>
      <c r="H768" s="43"/>
      <c r="I768" s="43"/>
      <c r="J768" s="43"/>
      <c r="K768" s="43"/>
      <c r="L768" s="43"/>
      <c r="M768" s="43"/>
      <c r="N768" s="43"/>
    </row>
    <row r="769" ht="12.75" customHeight="1">
      <c r="A769" s="48" t="s">
        <v>74</v>
      </c>
      <c r="B769" s="48" t="s">
        <v>25</v>
      </c>
      <c r="C769" s="48" t="s">
        <v>7</v>
      </c>
      <c r="D769" s="48" t="s">
        <v>54</v>
      </c>
      <c r="E769" s="48"/>
      <c r="F769" s="48">
        <v>133.29999999999998</v>
      </c>
      <c r="G769" s="43"/>
      <c r="H769" s="43"/>
      <c r="I769" s="43"/>
      <c r="J769" s="43"/>
      <c r="K769" s="43"/>
      <c r="L769" s="43"/>
      <c r="M769" s="43"/>
      <c r="N769" s="43"/>
    </row>
    <row r="770" ht="12.75" customHeight="1">
      <c r="A770" s="48" t="s">
        <v>74</v>
      </c>
      <c r="B770" s="48" t="s">
        <v>25</v>
      </c>
      <c r="C770" s="48" t="s">
        <v>7</v>
      </c>
      <c r="D770" s="48" t="s">
        <v>50</v>
      </c>
      <c r="E770" s="48"/>
      <c r="F770" s="48">
        <v>0.0</v>
      </c>
      <c r="G770" s="43"/>
      <c r="H770" s="43"/>
      <c r="I770" s="43"/>
      <c r="J770" s="43"/>
      <c r="K770" s="43"/>
      <c r="L770" s="43"/>
      <c r="M770" s="43"/>
      <c r="N770" s="43"/>
    </row>
    <row r="771" ht="12.75" customHeight="1">
      <c r="A771" s="48" t="s">
        <v>74</v>
      </c>
      <c r="B771" s="48" t="s">
        <v>25</v>
      </c>
      <c r="C771" s="48" t="s">
        <v>7</v>
      </c>
      <c r="D771" s="48" t="s">
        <v>50</v>
      </c>
      <c r="E771" s="48"/>
      <c r="F771" s="48">
        <v>5800.7</v>
      </c>
      <c r="G771" s="43"/>
      <c r="H771" s="43"/>
      <c r="I771" s="43"/>
      <c r="J771" s="43"/>
      <c r="K771" s="43"/>
      <c r="L771" s="43"/>
      <c r="M771" s="43"/>
      <c r="N771" s="43"/>
    </row>
    <row r="772" ht="12.75" customHeight="1">
      <c r="A772" s="48" t="s">
        <v>74</v>
      </c>
      <c r="B772" s="48" t="s">
        <v>25</v>
      </c>
      <c r="C772" s="48" t="s">
        <v>7</v>
      </c>
      <c r="D772" s="48" t="s">
        <v>50</v>
      </c>
      <c r="E772" s="48"/>
      <c r="F772" s="48">
        <v>5104.099999999999</v>
      </c>
      <c r="G772" s="43"/>
      <c r="H772" s="43"/>
      <c r="I772" s="43"/>
      <c r="J772" s="43"/>
      <c r="K772" s="43"/>
      <c r="L772" s="43"/>
      <c r="M772" s="43"/>
      <c r="N772" s="43"/>
    </row>
    <row r="773" ht="12.75" customHeight="1">
      <c r="A773" s="48" t="s">
        <v>74</v>
      </c>
      <c r="B773" s="48" t="s">
        <v>25</v>
      </c>
      <c r="C773" s="48" t="s">
        <v>7</v>
      </c>
      <c r="D773" s="48" t="s">
        <v>50</v>
      </c>
      <c r="E773" s="48"/>
      <c r="F773" s="48">
        <v>7258.4</v>
      </c>
      <c r="G773" s="43"/>
      <c r="H773" s="43"/>
      <c r="I773" s="43"/>
      <c r="J773" s="43"/>
      <c r="K773" s="43"/>
      <c r="L773" s="43"/>
      <c r="M773" s="43"/>
      <c r="N773" s="43"/>
    </row>
    <row r="774" ht="12.75" customHeight="1">
      <c r="A774" s="48" t="s">
        <v>74</v>
      </c>
      <c r="B774" s="48" t="s">
        <v>25</v>
      </c>
      <c r="C774" s="48" t="s">
        <v>7</v>
      </c>
      <c r="D774" s="48" t="s">
        <v>50</v>
      </c>
      <c r="E774" s="48"/>
      <c r="F774" s="48">
        <v>12642.0</v>
      </c>
      <c r="G774" s="43"/>
      <c r="H774" s="43"/>
      <c r="I774" s="43"/>
      <c r="J774" s="43"/>
      <c r="K774" s="43"/>
      <c r="L774" s="43"/>
      <c r="M774" s="43"/>
      <c r="N774" s="43"/>
    </row>
    <row r="775" ht="12.75" customHeight="1">
      <c r="A775" s="48" t="s">
        <v>74</v>
      </c>
      <c r="B775" s="48" t="s">
        <v>25</v>
      </c>
      <c r="C775" s="48" t="s">
        <v>7</v>
      </c>
      <c r="D775" s="48" t="s">
        <v>50</v>
      </c>
      <c r="E775" s="48"/>
      <c r="F775" s="48">
        <v>8036.7</v>
      </c>
      <c r="G775" s="43"/>
      <c r="H775" s="43"/>
      <c r="I775" s="43"/>
      <c r="J775" s="43"/>
      <c r="K775" s="43"/>
      <c r="L775" s="43"/>
      <c r="M775" s="43"/>
      <c r="N775" s="43"/>
    </row>
    <row r="776" ht="12.75" customHeight="1">
      <c r="A776" s="48" t="s">
        <v>74</v>
      </c>
      <c r="B776" s="48" t="s">
        <v>25</v>
      </c>
      <c r="C776" s="48" t="s">
        <v>7</v>
      </c>
      <c r="D776" s="48" t="s">
        <v>50</v>
      </c>
      <c r="E776" s="48"/>
      <c r="F776" s="48">
        <v>4992.3</v>
      </c>
      <c r="G776" s="43"/>
      <c r="H776" s="43"/>
      <c r="I776" s="43"/>
      <c r="J776" s="43"/>
      <c r="K776" s="43"/>
      <c r="L776" s="43"/>
      <c r="M776" s="43"/>
      <c r="N776" s="43"/>
    </row>
    <row r="777" ht="12.75" customHeight="1">
      <c r="A777" s="48" t="s">
        <v>74</v>
      </c>
      <c r="B777" s="48" t="s">
        <v>25</v>
      </c>
      <c r="C777" s="48" t="s">
        <v>7</v>
      </c>
      <c r="D777" s="48" t="s">
        <v>50</v>
      </c>
      <c r="E777" s="48"/>
      <c r="F777" s="48">
        <v>0.0</v>
      </c>
      <c r="G777" s="43"/>
      <c r="H777" s="43"/>
      <c r="I777" s="43"/>
      <c r="J777" s="43"/>
      <c r="K777" s="43"/>
      <c r="L777" s="43"/>
      <c r="M777" s="43"/>
      <c r="N777" s="43"/>
    </row>
    <row r="778" ht="12.75" customHeight="1">
      <c r="A778" s="48" t="s">
        <v>74</v>
      </c>
      <c r="B778" s="48" t="s">
        <v>25</v>
      </c>
      <c r="C778" s="48" t="s">
        <v>7</v>
      </c>
      <c r="D778" s="48" t="s">
        <v>47</v>
      </c>
      <c r="E778" s="48"/>
      <c r="F778" s="48">
        <v>0.0</v>
      </c>
      <c r="G778" s="43"/>
      <c r="H778" s="43"/>
      <c r="I778" s="43"/>
      <c r="J778" s="43"/>
      <c r="K778" s="43"/>
      <c r="L778" s="43"/>
      <c r="M778" s="43"/>
      <c r="N778" s="43"/>
    </row>
    <row r="779" ht="12.75" customHeight="1">
      <c r="A779" s="48" t="s">
        <v>74</v>
      </c>
      <c r="B779" s="48" t="s">
        <v>25</v>
      </c>
      <c r="C779" s="48" t="s">
        <v>7</v>
      </c>
      <c r="D779" s="48" t="s">
        <v>47</v>
      </c>
      <c r="E779" s="48"/>
      <c r="F779" s="48">
        <v>997.5999999999999</v>
      </c>
      <c r="G779" s="43"/>
      <c r="H779" s="43"/>
      <c r="I779" s="43"/>
      <c r="J779" s="43"/>
      <c r="K779" s="43"/>
      <c r="L779" s="43"/>
      <c r="M779" s="43"/>
      <c r="N779" s="43"/>
    </row>
    <row r="780" ht="12.75" customHeight="1">
      <c r="A780" s="48" t="s">
        <v>74</v>
      </c>
      <c r="B780" s="48" t="s">
        <v>25</v>
      </c>
      <c r="C780" s="48" t="s">
        <v>7</v>
      </c>
      <c r="D780" s="48" t="s">
        <v>47</v>
      </c>
      <c r="E780" s="48"/>
      <c r="F780" s="48">
        <v>1513.6</v>
      </c>
      <c r="G780" s="43"/>
      <c r="H780" s="43"/>
      <c r="I780" s="43"/>
      <c r="J780" s="43"/>
      <c r="K780" s="43"/>
      <c r="L780" s="43"/>
      <c r="M780" s="43"/>
      <c r="N780" s="43"/>
    </row>
    <row r="781" ht="12.75" customHeight="1">
      <c r="A781" s="48" t="s">
        <v>74</v>
      </c>
      <c r="B781" s="48" t="s">
        <v>27</v>
      </c>
      <c r="C781" s="48" t="s">
        <v>79</v>
      </c>
      <c r="D781" s="48" t="s">
        <v>52</v>
      </c>
      <c r="E781" s="48"/>
      <c r="F781" s="48">
        <v>3126.1</v>
      </c>
      <c r="G781" s="43"/>
      <c r="H781" s="43"/>
      <c r="I781" s="43"/>
      <c r="J781" s="43"/>
      <c r="K781" s="43"/>
      <c r="L781" s="43"/>
      <c r="M781" s="43"/>
      <c r="N781" s="43"/>
    </row>
    <row r="782" ht="12.75" customHeight="1">
      <c r="A782" s="48" t="s">
        <v>74</v>
      </c>
      <c r="B782" s="48" t="s">
        <v>27</v>
      </c>
      <c r="C782" s="48" t="s">
        <v>79</v>
      </c>
      <c r="D782" s="48" t="s">
        <v>53</v>
      </c>
      <c r="E782" s="48"/>
      <c r="F782" s="48">
        <v>1664.1</v>
      </c>
      <c r="G782" s="43"/>
      <c r="H782" s="43"/>
      <c r="I782" s="43"/>
      <c r="J782" s="43"/>
      <c r="K782" s="43"/>
      <c r="L782" s="43"/>
      <c r="M782" s="43"/>
      <c r="N782" s="43"/>
    </row>
    <row r="783" ht="12.75" customHeight="1">
      <c r="A783" s="48" t="s">
        <v>74</v>
      </c>
      <c r="B783" s="48" t="s">
        <v>27</v>
      </c>
      <c r="C783" s="48" t="s">
        <v>79</v>
      </c>
      <c r="D783" s="48" t="s">
        <v>53</v>
      </c>
      <c r="E783" s="48"/>
      <c r="F783" s="48">
        <v>0.0</v>
      </c>
      <c r="G783" s="43"/>
      <c r="H783" s="43"/>
      <c r="I783" s="43"/>
      <c r="J783" s="43"/>
      <c r="K783" s="43"/>
      <c r="L783" s="43"/>
      <c r="M783" s="43"/>
      <c r="N783" s="43"/>
    </row>
    <row r="784" ht="12.75" customHeight="1">
      <c r="A784" s="48" t="s">
        <v>74</v>
      </c>
      <c r="B784" s="48" t="s">
        <v>27</v>
      </c>
      <c r="C784" s="48" t="s">
        <v>79</v>
      </c>
      <c r="D784" s="48" t="s">
        <v>54</v>
      </c>
      <c r="E784" s="48"/>
      <c r="F784" s="48">
        <v>4037.7</v>
      </c>
      <c r="G784" s="43"/>
      <c r="H784" s="43"/>
      <c r="I784" s="43"/>
      <c r="J784" s="43"/>
      <c r="K784" s="43"/>
      <c r="L784" s="43"/>
      <c r="M784" s="43"/>
      <c r="N784" s="43"/>
    </row>
    <row r="785" ht="12.75" customHeight="1">
      <c r="A785" s="48" t="s">
        <v>74</v>
      </c>
      <c r="B785" s="48" t="s">
        <v>27</v>
      </c>
      <c r="C785" s="48" t="s">
        <v>79</v>
      </c>
      <c r="D785" s="48" t="s">
        <v>50</v>
      </c>
      <c r="E785" s="48"/>
      <c r="F785" s="48">
        <v>0.0</v>
      </c>
      <c r="G785" s="43"/>
      <c r="H785" s="43"/>
      <c r="I785" s="43"/>
      <c r="J785" s="43"/>
      <c r="K785" s="43"/>
      <c r="L785" s="43"/>
      <c r="M785" s="43"/>
      <c r="N785" s="43"/>
    </row>
    <row r="786" ht="12.75" customHeight="1">
      <c r="A786" s="48" t="s">
        <v>74</v>
      </c>
      <c r="B786" s="48" t="s">
        <v>27</v>
      </c>
      <c r="C786" s="48" t="s">
        <v>79</v>
      </c>
      <c r="D786" s="48" t="s">
        <v>50</v>
      </c>
      <c r="E786" s="48"/>
      <c r="F786" s="48">
        <v>5177.2</v>
      </c>
      <c r="G786" s="43"/>
      <c r="H786" s="43"/>
      <c r="I786" s="43"/>
      <c r="J786" s="43"/>
      <c r="K786" s="43"/>
      <c r="L786" s="43"/>
      <c r="M786" s="43"/>
      <c r="N786" s="43"/>
    </row>
    <row r="787" ht="12.75" customHeight="1">
      <c r="A787" s="48" t="s">
        <v>74</v>
      </c>
      <c r="B787" s="48" t="s">
        <v>27</v>
      </c>
      <c r="C787" s="48" t="s">
        <v>79</v>
      </c>
      <c r="D787" s="48" t="s">
        <v>50</v>
      </c>
      <c r="E787" s="48"/>
      <c r="F787" s="48">
        <v>2107.0</v>
      </c>
      <c r="G787" s="43"/>
      <c r="H787" s="43"/>
      <c r="I787" s="43"/>
      <c r="J787" s="43"/>
      <c r="K787" s="43"/>
      <c r="L787" s="43"/>
      <c r="M787" s="43"/>
      <c r="N787" s="43"/>
    </row>
    <row r="788" ht="12.75" customHeight="1">
      <c r="A788" s="48" t="s">
        <v>74</v>
      </c>
      <c r="B788" s="48" t="s">
        <v>27</v>
      </c>
      <c r="C788" s="48" t="s">
        <v>79</v>
      </c>
      <c r="D788" s="48" t="s">
        <v>50</v>
      </c>
      <c r="E788" s="48"/>
      <c r="F788" s="48">
        <v>0.0</v>
      </c>
      <c r="G788" s="43"/>
      <c r="H788" s="43"/>
      <c r="I788" s="43"/>
      <c r="J788" s="43"/>
      <c r="K788" s="43"/>
      <c r="L788" s="43"/>
      <c r="M788" s="43"/>
      <c r="N788" s="43"/>
    </row>
    <row r="789" ht="12.75" customHeight="1">
      <c r="A789" s="48" t="s">
        <v>74</v>
      </c>
      <c r="B789" s="48" t="s">
        <v>27</v>
      </c>
      <c r="C789" s="48" t="s">
        <v>79</v>
      </c>
      <c r="D789" s="48" t="s">
        <v>47</v>
      </c>
      <c r="E789" s="48"/>
      <c r="F789" s="48">
        <v>739.6</v>
      </c>
      <c r="G789" s="43"/>
      <c r="H789" s="43"/>
      <c r="I789" s="43"/>
      <c r="J789" s="43"/>
      <c r="K789" s="43"/>
      <c r="L789" s="43"/>
      <c r="M789" s="43"/>
      <c r="N789" s="43"/>
    </row>
    <row r="790" ht="12.75" customHeight="1">
      <c r="A790" s="48" t="s">
        <v>74</v>
      </c>
      <c r="B790" s="48" t="s">
        <v>27</v>
      </c>
      <c r="C790" s="48" t="s">
        <v>81</v>
      </c>
      <c r="D790" s="48" t="s">
        <v>53</v>
      </c>
      <c r="E790" s="48"/>
      <c r="F790" s="48">
        <v>-5383.599999999999</v>
      </c>
      <c r="G790" s="43"/>
      <c r="H790" s="43"/>
      <c r="I790" s="43"/>
      <c r="J790" s="43"/>
      <c r="K790" s="43"/>
      <c r="L790" s="43"/>
      <c r="M790" s="43"/>
      <c r="N790" s="43"/>
    </row>
    <row r="791" ht="12.75" customHeight="1">
      <c r="A791" s="48" t="s">
        <v>74</v>
      </c>
      <c r="B791" s="48" t="s">
        <v>27</v>
      </c>
      <c r="C791" s="48" t="s">
        <v>81</v>
      </c>
      <c r="D791" s="48" t="s">
        <v>54</v>
      </c>
      <c r="E791" s="48"/>
      <c r="F791" s="48">
        <v>3809.7999999999997</v>
      </c>
      <c r="G791" s="43"/>
      <c r="H791" s="43"/>
      <c r="I791" s="43"/>
      <c r="J791" s="43"/>
      <c r="K791" s="43"/>
      <c r="L791" s="43"/>
      <c r="M791" s="43"/>
      <c r="N791" s="43"/>
    </row>
    <row r="792" ht="12.75" customHeight="1">
      <c r="A792" s="48" t="s">
        <v>74</v>
      </c>
      <c r="B792" s="48" t="s">
        <v>27</v>
      </c>
      <c r="C792" s="48" t="s">
        <v>81</v>
      </c>
      <c r="D792" s="48" t="s">
        <v>50</v>
      </c>
      <c r="E792" s="48"/>
      <c r="F792" s="48">
        <v>915.9</v>
      </c>
      <c r="G792" s="43"/>
      <c r="H792" s="43"/>
      <c r="I792" s="43"/>
      <c r="J792" s="43"/>
      <c r="K792" s="43"/>
      <c r="L792" s="43"/>
      <c r="M792" s="43"/>
      <c r="N792" s="43"/>
    </row>
    <row r="793" ht="12.75" customHeight="1">
      <c r="A793" s="48" t="s">
        <v>74</v>
      </c>
      <c r="B793" s="48" t="s">
        <v>27</v>
      </c>
      <c r="C793" s="48" t="s">
        <v>81</v>
      </c>
      <c r="D793" s="48" t="s">
        <v>50</v>
      </c>
      <c r="E793" s="48"/>
      <c r="F793" s="48">
        <v>2107.0</v>
      </c>
      <c r="G793" s="43"/>
      <c r="H793" s="43"/>
      <c r="I793" s="43"/>
      <c r="J793" s="43"/>
      <c r="K793" s="43"/>
      <c r="L793" s="43"/>
      <c r="M793" s="43"/>
      <c r="N793" s="43"/>
    </row>
    <row r="794" ht="12.75" customHeight="1">
      <c r="A794" s="48" t="s">
        <v>74</v>
      </c>
      <c r="B794" s="48" t="s">
        <v>27</v>
      </c>
      <c r="C794" s="48" t="s">
        <v>78</v>
      </c>
      <c r="D794" s="48" t="s">
        <v>52</v>
      </c>
      <c r="E794" s="48"/>
      <c r="F794" s="48">
        <v>52038.6</v>
      </c>
      <c r="G794" s="43"/>
      <c r="H794" s="43"/>
      <c r="I794" s="43"/>
      <c r="J794" s="43"/>
      <c r="K794" s="43"/>
      <c r="L794" s="43"/>
      <c r="M794" s="43"/>
      <c r="N794" s="43"/>
    </row>
    <row r="795" ht="12.75" customHeight="1">
      <c r="A795" s="48" t="s">
        <v>74</v>
      </c>
      <c r="B795" s="48" t="s">
        <v>27</v>
      </c>
      <c r="C795" s="48" t="s">
        <v>78</v>
      </c>
      <c r="D795" s="48" t="s">
        <v>53</v>
      </c>
      <c r="E795" s="48"/>
      <c r="F795" s="48">
        <v>21684.899999999998</v>
      </c>
      <c r="G795" s="43"/>
      <c r="H795" s="43"/>
      <c r="I795" s="43"/>
      <c r="J795" s="43"/>
      <c r="K795" s="43"/>
      <c r="L795" s="43"/>
      <c r="M795" s="43"/>
      <c r="N795" s="43"/>
    </row>
    <row r="796" ht="12.75" customHeight="1">
      <c r="A796" s="48" t="s">
        <v>74</v>
      </c>
      <c r="B796" s="48" t="s">
        <v>27</v>
      </c>
      <c r="C796" s="48" t="s">
        <v>78</v>
      </c>
      <c r="D796" s="48" t="s">
        <v>53</v>
      </c>
      <c r="E796" s="48"/>
      <c r="F796" s="48">
        <v>0.0</v>
      </c>
      <c r="G796" s="43"/>
      <c r="H796" s="43"/>
      <c r="I796" s="43"/>
      <c r="J796" s="43"/>
      <c r="K796" s="43"/>
      <c r="L796" s="43"/>
      <c r="M796" s="43"/>
      <c r="N796" s="43"/>
    </row>
    <row r="797" ht="12.75" customHeight="1">
      <c r="A797" s="48" t="s">
        <v>74</v>
      </c>
      <c r="B797" s="48" t="s">
        <v>27</v>
      </c>
      <c r="C797" s="48" t="s">
        <v>78</v>
      </c>
      <c r="D797" s="48" t="s">
        <v>58</v>
      </c>
      <c r="E797" s="48"/>
      <c r="F797" s="48">
        <v>0.0</v>
      </c>
      <c r="G797" s="43"/>
      <c r="H797" s="43"/>
      <c r="I797" s="43"/>
      <c r="J797" s="43"/>
      <c r="K797" s="43"/>
      <c r="L797" s="43"/>
      <c r="M797" s="43"/>
      <c r="N797" s="43"/>
    </row>
    <row r="798" ht="12.75" customHeight="1">
      <c r="A798" s="48" t="s">
        <v>74</v>
      </c>
      <c r="B798" s="48" t="s">
        <v>27</v>
      </c>
      <c r="C798" s="48" t="s">
        <v>78</v>
      </c>
      <c r="D798" s="48" t="s">
        <v>58</v>
      </c>
      <c r="E798" s="48"/>
      <c r="F798" s="48">
        <v>165163.0</v>
      </c>
      <c r="G798" s="43"/>
      <c r="H798" s="43"/>
      <c r="I798" s="43"/>
      <c r="J798" s="43"/>
      <c r="K798" s="43"/>
      <c r="L798" s="43"/>
      <c r="M798" s="43"/>
      <c r="N798" s="43"/>
    </row>
    <row r="799" ht="12.75" customHeight="1">
      <c r="A799" s="48" t="s">
        <v>74</v>
      </c>
      <c r="B799" s="48" t="s">
        <v>27</v>
      </c>
      <c r="C799" s="48" t="s">
        <v>78</v>
      </c>
      <c r="D799" s="48" t="s">
        <v>58</v>
      </c>
      <c r="E799" s="48"/>
      <c r="F799" s="48">
        <v>95133.2</v>
      </c>
      <c r="G799" s="43"/>
      <c r="H799" s="43"/>
      <c r="I799" s="43"/>
      <c r="J799" s="43"/>
      <c r="K799" s="43"/>
      <c r="L799" s="43"/>
      <c r="M799" s="43"/>
      <c r="N799" s="43"/>
    </row>
    <row r="800" ht="12.75" customHeight="1">
      <c r="A800" s="48" t="s">
        <v>74</v>
      </c>
      <c r="B800" s="48" t="s">
        <v>27</v>
      </c>
      <c r="C800" s="48" t="s">
        <v>78</v>
      </c>
      <c r="D800" s="48" t="s">
        <v>54</v>
      </c>
      <c r="E800" s="48"/>
      <c r="F800" s="48">
        <v>0.0</v>
      </c>
      <c r="G800" s="43"/>
      <c r="H800" s="43"/>
      <c r="I800" s="43"/>
      <c r="J800" s="43"/>
      <c r="K800" s="43"/>
      <c r="L800" s="43"/>
      <c r="M800" s="43"/>
      <c r="N800" s="43"/>
    </row>
    <row r="801" ht="12.75" customHeight="1">
      <c r="A801" s="48" t="s">
        <v>74</v>
      </c>
      <c r="B801" s="48" t="s">
        <v>27</v>
      </c>
      <c r="C801" s="48" t="s">
        <v>78</v>
      </c>
      <c r="D801" s="48" t="s">
        <v>54</v>
      </c>
      <c r="E801" s="48"/>
      <c r="F801" s="48">
        <v>713.8</v>
      </c>
      <c r="G801" s="43"/>
      <c r="H801" s="43"/>
      <c r="I801" s="43"/>
      <c r="J801" s="43"/>
      <c r="K801" s="43"/>
      <c r="L801" s="43"/>
      <c r="M801" s="43"/>
      <c r="N801" s="43"/>
    </row>
    <row r="802" ht="12.75" customHeight="1">
      <c r="A802" s="48" t="s">
        <v>74</v>
      </c>
      <c r="B802" s="48" t="s">
        <v>27</v>
      </c>
      <c r="C802" s="48" t="s">
        <v>78</v>
      </c>
      <c r="D802" s="48" t="s">
        <v>54</v>
      </c>
      <c r="E802" s="48"/>
      <c r="F802" s="48">
        <v>50834.6</v>
      </c>
      <c r="G802" s="43"/>
      <c r="H802" s="43"/>
      <c r="I802" s="43"/>
      <c r="J802" s="43"/>
      <c r="K802" s="43"/>
      <c r="L802" s="43"/>
      <c r="M802" s="43"/>
      <c r="N802" s="43"/>
    </row>
    <row r="803" ht="12.75" customHeight="1">
      <c r="A803" s="48" t="s">
        <v>74</v>
      </c>
      <c r="B803" s="48" t="s">
        <v>27</v>
      </c>
      <c r="C803" s="48" t="s">
        <v>78</v>
      </c>
      <c r="D803" s="48" t="s">
        <v>50</v>
      </c>
      <c r="E803" s="48"/>
      <c r="F803" s="48">
        <v>0.0</v>
      </c>
      <c r="G803" s="43"/>
      <c r="H803" s="43"/>
      <c r="I803" s="43"/>
      <c r="J803" s="43"/>
      <c r="K803" s="43"/>
      <c r="L803" s="43"/>
      <c r="M803" s="43"/>
      <c r="N803" s="43"/>
    </row>
    <row r="804" ht="12.75" customHeight="1">
      <c r="A804" s="48" t="s">
        <v>74</v>
      </c>
      <c r="B804" s="48" t="s">
        <v>27</v>
      </c>
      <c r="C804" s="48" t="s">
        <v>78</v>
      </c>
      <c r="D804" s="48" t="s">
        <v>50</v>
      </c>
      <c r="E804" s="48"/>
      <c r="F804" s="48">
        <v>6342.5</v>
      </c>
      <c r="G804" s="43"/>
      <c r="H804" s="43"/>
      <c r="I804" s="43"/>
      <c r="J804" s="43"/>
      <c r="K804" s="43"/>
      <c r="L804" s="43"/>
      <c r="M804" s="43"/>
      <c r="N804" s="43"/>
    </row>
    <row r="805" ht="12.75" customHeight="1">
      <c r="A805" s="48" t="s">
        <v>74</v>
      </c>
      <c r="B805" s="48" t="s">
        <v>27</v>
      </c>
      <c r="C805" s="48" t="s">
        <v>78</v>
      </c>
      <c r="D805" s="48" t="s">
        <v>50</v>
      </c>
      <c r="E805" s="48"/>
      <c r="F805" s="48">
        <v>5908.2</v>
      </c>
      <c r="G805" s="43"/>
      <c r="H805" s="43"/>
      <c r="I805" s="43"/>
      <c r="J805" s="43"/>
      <c r="K805" s="43"/>
      <c r="L805" s="43"/>
      <c r="M805" s="43"/>
      <c r="N805" s="43"/>
    </row>
    <row r="806" ht="12.75" customHeight="1">
      <c r="A806" s="48" t="s">
        <v>74</v>
      </c>
      <c r="B806" s="48" t="s">
        <v>27</v>
      </c>
      <c r="C806" s="48" t="s">
        <v>78</v>
      </c>
      <c r="D806" s="48" t="s">
        <v>50</v>
      </c>
      <c r="E806" s="48"/>
      <c r="F806" s="48">
        <v>9735.199999999999</v>
      </c>
      <c r="G806" s="43"/>
      <c r="H806" s="43"/>
      <c r="I806" s="43"/>
      <c r="J806" s="43"/>
      <c r="K806" s="43"/>
      <c r="L806" s="43"/>
      <c r="M806" s="43"/>
      <c r="N806" s="43"/>
    </row>
    <row r="807" ht="12.75" customHeight="1">
      <c r="A807" s="48" t="s">
        <v>74</v>
      </c>
      <c r="B807" s="48" t="s">
        <v>27</v>
      </c>
      <c r="C807" s="48" t="s">
        <v>78</v>
      </c>
      <c r="D807" s="48" t="s">
        <v>50</v>
      </c>
      <c r="E807" s="48"/>
      <c r="F807" s="48">
        <v>7146.599999999999</v>
      </c>
      <c r="G807" s="43"/>
      <c r="H807" s="43"/>
      <c r="I807" s="43"/>
      <c r="J807" s="43"/>
      <c r="K807" s="43"/>
      <c r="L807" s="43"/>
      <c r="M807" s="43"/>
      <c r="N807" s="43"/>
    </row>
    <row r="808" ht="12.75" customHeight="1">
      <c r="A808" s="48" t="s">
        <v>74</v>
      </c>
      <c r="B808" s="48" t="s">
        <v>27</v>
      </c>
      <c r="C808" s="48" t="s">
        <v>78</v>
      </c>
      <c r="D808" s="48" t="s">
        <v>50</v>
      </c>
      <c r="E808" s="48"/>
      <c r="F808" s="48">
        <v>10229.699999999999</v>
      </c>
      <c r="G808" s="43"/>
      <c r="H808" s="43"/>
      <c r="I808" s="43"/>
      <c r="J808" s="43"/>
      <c r="K808" s="43"/>
      <c r="L808" s="43"/>
      <c r="M808" s="43"/>
      <c r="N808" s="43"/>
    </row>
    <row r="809" ht="12.75" customHeight="1">
      <c r="A809" s="48" t="s">
        <v>74</v>
      </c>
      <c r="B809" s="48" t="s">
        <v>27</v>
      </c>
      <c r="C809" s="48" t="s">
        <v>78</v>
      </c>
      <c r="D809" s="48" t="s">
        <v>50</v>
      </c>
      <c r="E809" s="48"/>
      <c r="F809" s="48">
        <v>8664.5</v>
      </c>
      <c r="G809" s="43"/>
      <c r="H809" s="43"/>
      <c r="I809" s="43"/>
      <c r="J809" s="43"/>
      <c r="K809" s="43"/>
      <c r="L809" s="43"/>
      <c r="M809" s="43"/>
      <c r="N809" s="43"/>
    </row>
    <row r="810" ht="12.75" customHeight="1">
      <c r="A810" s="48" t="s">
        <v>74</v>
      </c>
      <c r="B810" s="48" t="s">
        <v>27</v>
      </c>
      <c r="C810" s="48" t="s">
        <v>78</v>
      </c>
      <c r="D810" s="48" t="s">
        <v>50</v>
      </c>
      <c r="E810" s="48"/>
      <c r="F810" s="48">
        <v>2279.0</v>
      </c>
      <c r="G810" s="43"/>
      <c r="H810" s="43"/>
      <c r="I810" s="43"/>
      <c r="J810" s="43"/>
      <c r="K810" s="43"/>
      <c r="L810" s="43"/>
      <c r="M810" s="43"/>
      <c r="N810" s="43"/>
    </row>
    <row r="811" ht="12.75" customHeight="1">
      <c r="A811" s="48" t="s">
        <v>74</v>
      </c>
      <c r="B811" s="48" t="s">
        <v>27</v>
      </c>
      <c r="C811" s="48" t="s">
        <v>78</v>
      </c>
      <c r="D811" s="48" t="s">
        <v>50</v>
      </c>
      <c r="E811" s="48"/>
      <c r="F811" s="48">
        <v>6080.2</v>
      </c>
      <c r="G811" s="43"/>
      <c r="H811" s="43"/>
      <c r="I811" s="43"/>
      <c r="J811" s="43"/>
      <c r="K811" s="43"/>
      <c r="L811" s="43"/>
      <c r="M811" s="43"/>
      <c r="N811" s="43"/>
    </row>
    <row r="812" ht="12.75" customHeight="1">
      <c r="A812" s="48" t="s">
        <v>74</v>
      </c>
      <c r="B812" s="48" t="s">
        <v>27</v>
      </c>
      <c r="C812" s="48" t="s">
        <v>78</v>
      </c>
      <c r="D812" s="48" t="s">
        <v>50</v>
      </c>
      <c r="E812" s="48"/>
      <c r="F812" s="48">
        <v>8647.3</v>
      </c>
      <c r="G812" s="43"/>
      <c r="H812" s="43"/>
      <c r="I812" s="43"/>
      <c r="J812" s="43"/>
      <c r="K812" s="43"/>
      <c r="L812" s="43"/>
      <c r="M812" s="43"/>
      <c r="N812" s="43"/>
    </row>
    <row r="813" ht="12.75" customHeight="1">
      <c r="A813" s="48" t="s">
        <v>74</v>
      </c>
      <c r="B813" s="48" t="s">
        <v>27</v>
      </c>
      <c r="C813" s="48" t="s">
        <v>78</v>
      </c>
      <c r="D813" s="48" t="s">
        <v>50</v>
      </c>
      <c r="E813" s="48"/>
      <c r="F813" s="48">
        <v>0.0</v>
      </c>
      <c r="G813" s="43"/>
      <c r="H813" s="43"/>
      <c r="I813" s="43"/>
      <c r="J813" s="43"/>
      <c r="K813" s="43"/>
      <c r="L813" s="43"/>
      <c r="M813" s="43"/>
      <c r="N813" s="43"/>
    </row>
    <row r="814" ht="12.75" customHeight="1">
      <c r="A814" s="48" t="s">
        <v>74</v>
      </c>
      <c r="B814" s="48" t="s">
        <v>27</v>
      </c>
      <c r="C814" s="48" t="s">
        <v>78</v>
      </c>
      <c r="D814" s="48" t="s">
        <v>50</v>
      </c>
      <c r="E814" s="48"/>
      <c r="F814" s="48">
        <v>55513.0</v>
      </c>
      <c r="G814" s="43"/>
      <c r="H814" s="43"/>
      <c r="I814" s="43"/>
      <c r="J814" s="43"/>
      <c r="K814" s="43"/>
      <c r="L814" s="43"/>
      <c r="M814" s="43"/>
      <c r="N814" s="43"/>
    </row>
    <row r="815" ht="12.75" customHeight="1">
      <c r="A815" s="48" t="s">
        <v>74</v>
      </c>
      <c r="B815" s="48" t="s">
        <v>27</v>
      </c>
      <c r="C815" s="48" t="s">
        <v>78</v>
      </c>
      <c r="D815" s="48" t="s">
        <v>50</v>
      </c>
      <c r="E815" s="48"/>
      <c r="F815" s="48">
        <v>8432.3</v>
      </c>
      <c r="G815" s="43"/>
      <c r="H815" s="43"/>
      <c r="I815" s="43"/>
      <c r="J815" s="43"/>
      <c r="K815" s="43"/>
      <c r="L815" s="43"/>
      <c r="M815" s="43"/>
      <c r="N815" s="43"/>
    </row>
    <row r="816" ht="12.75" customHeight="1">
      <c r="A816" s="48" t="s">
        <v>74</v>
      </c>
      <c r="B816" s="48" t="s">
        <v>27</v>
      </c>
      <c r="C816" s="48" t="s">
        <v>78</v>
      </c>
      <c r="D816" s="48" t="s">
        <v>50</v>
      </c>
      <c r="E816" s="48"/>
      <c r="F816" s="48">
        <v>7439.0</v>
      </c>
      <c r="G816" s="43"/>
      <c r="H816" s="43"/>
      <c r="I816" s="43"/>
      <c r="J816" s="43"/>
      <c r="K816" s="43"/>
      <c r="L816" s="43"/>
      <c r="M816" s="43"/>
      <c r="N816" s="43"/>
    </row>
    <row r="817" ht="12.75" customHeight="1">
      <c r="A817" s="48" t="s">
        <v>74</v>
      </c>
      <c r="B817" s="48" t="s">
        <v>27</v>
      </c>
      <c r="C817" s="48" t="s">
        <v>78</v>
      </c>
      <c r="D817" s="48" t="s">
        <v>50</v>
      </c>
      <c r="E817" s="48"/>
      <c r="F817" s="48">
        <v>8608.6</v>
      </c>
      <c r="G817" s="43"/>
      <c r="H817" s="43"/>
      <c r="I817" s="43"/>
      <c r="J817" s="43"/>
      <c r="K817" s="43"/>
      <c r="L817" s="43"/>
      <c r="M817" s="43"/>
      <c r="N817" s="43"/>
    </row>
    <row r="818" ht="12.75" customHeight="1">
      <c r="A818" s="48" t="s">
        <v>74</v>
      </c>
      <c r="B818" s="48" t="s">
        <v>27</v>
      </c>
      <c r="C818" s="48" t="s">
        <v>78</v>
      </c>
      <c r="D818" s="48" t="s">
        <v>50</v>
      </c>
      <c r="E818" s="48"/>
      <c r="F818" s="48">
        <v>6716.599999999999</v>
      </c>
      <c r="G818" s="43"/>
      <c r="H818" s="43"/>
      <c r="I818" s="43"/>
      <c r="J818" s="43"/>
      <c r="K818" s="43"/>
      <c r="L818" s="43"/>
      <c r="M818" s="43"/>
      <c r="N818" s="43"/>
    </row>
    <row r="819" ht="12.75" customHeight="1">
      <c r="A819" s="48" t="s">
        <v>74</v>
      </c>
      <c r="B819" s="48" t="s">
        <v>27</v>
      </c>
      <c r="C819" s="48" t="s">
        <v>78</v>
      </c>
      <c r="D819" s="48" t="s">
        <v>50</v>
      </c>
      <c r="E819" s="48"/>
      <c r="F819" s="48">
        <v>17.2</v>
      </c>
      <c r="G819" s="43"/>
      <c r="H819" s="43"/>
      <c r="I819" s="43"/>
      <c r="J819" s="43"/>
      <c r="K819" s="43"/>
      <c r="L819" s="43"/>
      <c r="M819" s="43"/>
      <c r="N819" s="43"/>
    </row>
    <row r="820" ht="12.75" customHeight="1">
      <c r="A820" s="48" t="s">
        <v>74</v>
      </c>
      <c r="B820" s="48" t="s">
        <v>27</v>
      </c>
      <c r="C820" s="48" t="s">
        <v>78</v>
      </c>
      <c r="D820" s="48" t="s">
        <v>50</v>
      </c>
      <c r="E820" s="48"/>
      <c r="F820" s="48">
        <v>8741.9</v>
      </c>
      <c r="G820" s="43"/>
      <c r="H820" s="43"/>
      <c r="I820" s="43"/>
      <c r="J820" s="43"/>
      <c r="K820" s="43"/>
      <c r="L820" s="43"/>
      <c r="M820" s="43"/>
      <c r="N820" s="43"/>
    </row>
    <row r="821" ht="12.75" customHeight="1">
      <c r="A821" s="48" t="s">
        <v>74</v>
      </c>
      <c r="B821" s="48" t="s">
        <v>27</v>
      </c>
      <c r="C821" s="48" t="s">
        <v>78</v>
      </c>
      <c r="D821" s="48" t="s">
        <v>50</v>
      </c>
      <c r="E821" s="48"/>
      <c r="F821" s="48">
        <v>0.0</v>
      </c>
      <c r="G821" s="43"/>
      <c r="H821" s="43"/>
      <c r="I821" s="43"/>
      <c r="J821" s="43"/>
      <c r="K821" s="43"/>
      <c r="L821" s="43"/>
      <c r="M821" s="43"/>
      <c r="N821" s="43"/>
    </row>
    <row r="822" ht="12.75" customHeight="1">
      <c r="A822" s="48" t="s">
        <v>74</v>
      </c>
      <c r="B822" s="48" t="s">
        <v>27</v>
      </c>
      <c r="C822" s="48" t="s">
        <v>78</v>
      </c>
      <c r="D822" s="48" t="s">
        <v>47</v>
      </c>
      <c r="E822" s="48"/>
      <c r="F822" s="48">
        <v>13123.6</v>
      </c>
      <c r="G822" s="43"/>
      <c r="H822" s="43"/>
      <c r="I822" s="43"/>
      <c r="J822" s="43"/>
      <c r="K822" s="43"/>
      <c r="L822" s="43"/>
      <c r="M822" s="43"/>
      <c r="N822" s="43"/>
    </row>
    <row r="823" ht="12.75" customHeight="1">
      <c r="A823" s="48" t="s">
        <v>74</v>
      </c>
      <c r="B823" s="48" t="s">
        <v>27</v>
      </c>
      <c r="C823" s="48" t="s">
        <v>78</v>
      </c>
      <c r="D823" s="48" t="s">
        <v>47</v>
      </c>
      <c r="E823" s="48"/>
      <c r="F823" s="48">
        <v>12.899999999999999</v>
      </c>
      <c r="G823" s="43"/>
      <c r="H823" s="43"/>
      <c r="I823" s="43"/>
      <c r="J823" s="43"/>
      <c r="K823" s="43"/>
      <c r="L823" s="43"/>
      <c r="M823" s="43"/>
      <c r="N823" s="43"/>
    </row>
    <row r="824" ht="12.75" customHeight="1">
      <c r="A824" s="48" t="s">
        <v>74</v>
      </c>
      <c r="B824" s="48" t="s">
        <v>27</v>
      </c>
      <c r="C824" s="48" t="s">
        <v>78</v>
      </c>
      <c r="D824" s="48" t="s">
        <v>47</v>
      </c>
      <c r="E824" s="48"/>
      <c r="F824" s="48">
        <v>1139.5</v>
      </c>
      <c r="G824" s="43"/>
      <c r="H824" s="43"/>
      <c r="I824" s="43"/>
      <c r="J824" s="43"/>
      <c r="K824" s="43"/>
      <c r="L824" s="43"/>
      <c r="M824" s="43"/>
      <c r="N824" s="43"/>
    </row>
    <row r="825" ht="12.75" customHeight="1">
      <c r="A825" s="48" t="s">
        <v>74</v>
      </c>
      <c r="B825" s="48" t="s">
        <v>27</v>
      </c>
      <c r="C825" s="48" t="s">
        <v>78</v>
      </c>
      <c r="D825" s="48" t="s">
        <v>47</v>
      </c>
      <c r="E825" s="48"/>
      <c r="F825" s="48">
        <v>46465.799999999996</v>
      </c>
      <c r="G825" s="43"/>
      <c r="H825" s="43"/>
      <c r="I825" s="43"/>
      <c r="J825" s="43"/>
      <c r="K825" s="43"/>
      <c r="L825" s="43"/>
      <c r="M825" s="43"/>
      <c r="N825" s="43"/>
    </row>
    <row r="826" ht="12.75" customHeight="1">
      <c r="A826" s="48" t="s">
        <v>74</v>
      </c>
      <c r="B826" s="48" t="s">
        <v>27</v>
      </c>
      <c r="C826" s="48" t="s">
        <v>78</v>
      </c>
      <c r="D826" s="48" t="s">
        <v>47</v>
      </c>
      <c r="E826" s="48"/>
      <c r="F826" s="48">
        <v>2068.2999999999997</v>
      </c>
      <c r="G826" s="43"/>
      <c r="H826" s="43"/>
      <c r="I826" s="43"/>
      <c r="J826" s="43"/>
      <c r="K826" s="43"/>
      <c r="L826" s="43"/>
      <c r="M826" s="43"/>
      <c r="N826" s="43"/>
    </row>
    <row r="827" ht="12.75" customHeight="1">
      <c r="A827" s="48" t="s">
        <v>74</v>
      </c>
      <c r="B827" s="48" t="s">
        <v>25</v>
      </c>
      <c r="C827" s="48" t="s">
        <v>75</v>
      </c>
      <c r="D827" s="48" t="s">
        <v>8</v>
      </c>
      <c r="E827" s="48"/>
      <c r="F827" s="48">
        <v>19350.0</v>
      </c>
      <c r="G827" s="43"/>
      <c r="H827" s="43"/>
      <c r="I827" s="43"/>
      <c r="J827" s="43"/>
      <c r="K827" s="43"/>
      <c r="L827" s="43"/>
      <c r="M827" s="43"/>
      <c r="N827" s="43"/>
    </row>
    <row r="828" ht="12.75" customHeight="1">
      <c r="A828" s="48" t="s">
        <v>74</v>
      </c>
      <c r="B828" s="48" t="s">
        <v>25</v>
      </c>
      <c r="C828" s="48" t="s">
        <v>75</v>
      </c>
      <c r="D828" s="48" t="s">
        <v>8</v>
      </c>
      <c r="E828" s="48"/>
      <c r="F828" s="48">
        <v>195336.1</v>
      </c>
      <c r="G828" s="43"/>
      <c r="H828" s="43"/>
      <c r="I828" s="43"/>
      <c r="J828" s="43"/>
      <c r="K828" s="43"/>
      <c r="L828" s="43"/>
      <c r="M828" s="43"/>
      <c r="N828" s="43"/>
    </row>
    <row r="829" ht="12.75" customHeight="1">
      <c r="A829" s="48" t="s">
        <v>74</v>
      </c>
      <c r="B829" s="48" t="s">
        <v>25</v>
      </c>
      <c r="C829" s="48" t="s">
        <v>75</v>
      </c>
      <c r="D829" s="48" t="s">
        <v>8</v>
      </c>
      <c r="E829" s="48"/>
      <c r="F829" s="48">
        <v>593.4</v>
      </c>
      <c r="G829" s="43"/>
      <c r="H829" s="43"/>
      <c r="I829" s="43"/>
      <c r="J829" s="43"/>
      <c r="K829" s="43"/>
      <c r="L829" s="43"/>
      <c r="M829" s="43"/>
      <c r="N829" s="43"/>
    </row>
    <row r="830" ht="12.75" customHeight="1">
      <c r="A830" s="48" t="s">
        <v>74</v>
      </c>
      <c r="B830" s="48" t="s">
        <v>25</v>
      </c>
      <c r="C830" s="48" t="s">
        <v>75</v>
      </c>
      <c r="D830" s="48" t="s">
        <v>8</v>
      </c>
      <c r="E830" s="48"/>
      <c r="F830" s="48">
        <v>3650.7</v>
      </c>
      <c r="G830" s="43"/>
      <c r="H830" s="43"/>
      <c r="I830" s="43"/>
      <c r="J830" s="43"/>
      <c r="K830" s="43"/>
      <c r="L830" s="43"/>
      <c r="M830" s="43"/>
      <c r="N830" s="43"/>
    </row>
    <row r="831" ht="12.75" customHeight="1">
      <c r="A831" s="48" t="s">
        <v>74</v>
      </c>
      <c r="B831" s="48" t="s">
        <v>25</v>
      </c>
      <c r="C831" s="48" t="s">
        <v>75</v>
      </c>
      <c r="D831" s="48" t="s">
        <v>8</v>
      </c>
      <c r="E831" s="48"/>
      <c r="F831" s="48">
        <v>1281.3999999999999</v>
      </c>
      <c r="G831" s="43"/>
      <c r="H831" s="43"/>
      <c r="I831" s="43"/>
      <c r="J831" s="43"/>
      <c r="K831" s="43"/>
      <c r="L831" s="43"/>
      <c r="M831" s="43"/>
      <c r="N831" s="43"/>
    </row>
    <row r="832" ht="12.75" customHeight="1">
      <c r="A832" s="48" t="s">
        <v>74</v>
      </c>
      <c r="B832" s="48" t="s">
        <v>25</v>
      </c>
      <c r="C832" s="48" t="s">
        <v>75</v>
      </c>
      <c r="D832" s="48" t="s">
        <v>8</v>
      </c>
      <c r="E832" s="48"/>
      <c r="F832" s="48">
        <v>215.0</v>
      </c>
      <c r="G832" s="43"/>
      <c r="H832" s="43"/>
      <c r="I832" s="43"/>
      <c r="J832" s="43"/>
      <c r="K832" s="43"/>
      <c r="L832" s="43"/>
      <c r="M832" s="43"/>
      <c r="N832" s="43"/>
    </row>
    <row r="833" ht="12.75" customHeight="1">
      <c r="A833" s="48" t="s">
        <v>74</v>
      </c>
      <c r="B833" s="48" t="s">
        <v>25</v>
      </c>
      <c r="C833" s="48" t="s">
        <v>75</v>
      </c>
      <c r="D833" s="48" t="s">
        <v>50</v>
      </c>
      <c r="E833" s="48"/>
      <c r="F833" s="48">
        <v>6303.8</v>
      </c>
      <c r="G833" s="43"/>
      <c r="H833" s="43"/>
      <c r="I833" s="43"/>
      <c r="J833" s="43"/>
      <c r="K833" s="43"/>
      <c r="L833" s="43"/>
      <c r="M833" s="43"/>
      <c r="N833" s="43"/>
    </row>
    <row r="834" ht="12.75" customHeight="1">
      <c r="A834" s="48" t="s">
        <v>74</v>
      </c>
      <c r="B834" s="48" t="s">
        <v>25</v>
      </c>
      <c r="C834" s="48" t="s">
        <v>75</v>
      </c>
      <c r="D834" s="48" t="s">
        <v>50</v>
      </c>
      <c r="E834" s="48"/>
      <c r="F834" s="48">
        <v>0.0</v>
      </c>
      <c r="G834" s="43"/>
      <c r="H834" s="43"/>
      <c r="I834" s="43"/>
      <c r="J834" s="43"/>
      <c r="K834" s="43"/>
      <c r="L834" s="43"/>
      <c r="M834" s="43"/>
      <c r="N834" s="43"/>
    </row>
    <row r="835" ht="12.75" customHeight="1">
      <c r="A835" s="48" t="s">
        <v>74</v>
      </c>
      <c r="B835" s="48" t="s">
        <v>25</v>
      </c>
      <c r="C835" s="48" t="s">
        <v>76</v>
      </c>
      <c r="D835" s="48" t="s">
        <v>47</v>
      </c>
      <c r="E835" s="48"/>
      <c r="F835" s="48">
        <v>258.0</v>
      </c>
      <c r="G835" s="43"/>
      <c r="H835" s="43"/>
      <c r="I835" s="43"/>
      <c r="J835" s="43"/>
      <c r="K835" s="43"/>
      <c r="L835" s="43"/>
      <c r="M835" s="43"/>
      <c r="N835" s="43"/>
    </row>
    <row r="836" ht="12.75" customHeight="1">
      <c r="A836" s="48" t="s">
        <v>74</v>
      </c>
      <c r="B836" s="48" t="s">
        <v>27</v>
      </c>
      <c r="C836" s="48" t="s">
        <v>78</v>
      </c>
      <c r="D836" s="48" t="s">
        <v>58</v>
      </c>
      <c r="E836" s="48"/>
      <c r="F836" s="48">
        <v>12900.0</v>
      </c>
      <c r="G836" s="43"/>
      <c r="H836" s="43"/>
      <c r="I836" s="43"/>
      <c r="J836" s="43"/>
      <c r="K836" s="43"/>
      <c r="L836" s="43"/>
      <c r="M836" s="43"/>
      <c r="N836" s="43"/>
    </row>
    <row r="837" ht="12.75" customHeight="1">
      <c r="A837" s="48" t="s">
        <v>74</v>
      </c>
      <c r="B837" s="48" t="s">
        <v>27</v>
      </c>
      <c r="C837" s="48" t="s">
        <v>78</v>
      </c>
      <c r="D837" s="48" t="s">
        <v>54</v>
      </c>
      <c r="E837" s="48"/>
      <c r="F837" s="48">
        <v>81571.0</v>
      </c>
      <c r="G837" s="43"/>
      <c r="H837" s="43"/>
      <c r="I837" s="43"/>
      <c r="J837" s="43"/>
      <c r="K837" s="43"/>
      <c r="L837" s="43"/>
      <c r="M837" s="43"/>
      <c r="N837" s="43"/>
    </row>
    <row r="838" ht="12.75" customHeight="1">
      <c r="A838" s="48" t="s">
        <v>74</v>
      </c>
      <c r="B838" s="48" t="s">
        <v>27</v>
      </c>
      <c r="C838" s="48" t="s">
        <v>78</v>
      </c>
      <c r="D838" s="48" t="s">
        <v>49</v>
      </c>
      <c r="E838" s="48"/>
      <c r="F838" s="48">
        <v>2184.4</v>
      </c>
      <c r="G838" s="43"/>
      <c r="H838" s="43"/>
      <c r="I838" s="43"/>
      <c r="J838" s="43"/>
      <c r="K838" s="43"/>
      <c r="L838" s="43"/>
      <c r="M838" s="43"/>
      <c r="N838" s="43"/>
    </row>
    <row r="839" ht="12.75" customHeight="1">
      <c r="A839" s="48" t="s">
        <v>74</v>
      </c>
      <c r="B839" s="48" t="s">
        <v>27</v>
      </c>
      <c r="C839" s="48" t="s">
        <v>78</v>
      </c>
      <c r="D839" s="48" t="s">
        <v>50</v>
      </c>
      <c r="E839" s="48"/>
      <c r="F839" s="48">
        <v>8393.6</v>
      </c>
      <c r="G839" s="43"/>
      <c r="H839" s="43"/>
      <c r="I839" s="43"/>
      <c r="J839" s="43"/>
      <c r="K839" s="43"/>
      <c r="L839" s="43"/>
      <c r="M839" s="43"/>
      <c r="N839" s="43"/>
    </row>
    <row r="840" ht="12.75" customHeight="1">
      <c r="A840" s="48" t="s">
        <v>74</v>
      </c>
      <c r="B840" s="48" t="s">
        <v>27</v>
      </c>
      <c r="C840" s="48" t="s">
        <v>78</v>
      </c>
      <c r="D840" s="48" t="s">
        <v>50</v>
      </c>
      <c r="E840" s="48"/>
      <c r="F840" s="48">
        <v>7688.4</v>
      </c>
      <c r="G840" s="43"/>
      <c r="H840" s="43"/>
      <c r="I840" s="43"/>
      <c r="J840" s="43"/>
      <c r="K840" s="43"/>
      <c r="L840" s="43"/>
      <c r="M840" s="43"/>
      <c r="N840" s="43"/>
    </row>
    <row r="841" ht="12.75" customHeight="1">
      <c r="A841" s="48" t="s">
        <v>74</v>
      </c>
      <c r="B841" s="48" t="s">
        <v>27</v>
      </c>
      <c r="C841" s="48" t="s">
        <v>78</v>
      </c>
      <c r="D841" s="48" t="s">
        <v>50</v>
      </c>
      <c r="E841" s="48"/>
      <c r="F841" s="48">
        <v>13755.699999999999</v>
      </c>
      <c r="G841" s="43"/>
      <c r="H841" s="43"/>
      <c r="I841" s="43"/>
      <c r="J841" s="43"/>
      <c r="K841" s="43"/>
      <c r="L841" s="43"/>
      <c r="M841" s="43"/>
      <c r="N841" s="43"/>
    </row>
    <row r="842" ht="12.75" customHeight="1">
      <c r="A842" s="48" t="s">
        <v>74</v>
      </c>
      <c r="B842" s="48" t="s">
        <v>27</v>
      </c>
      <c r="C842" s="48" t="s">
        <v>78</v>
      </c>
      <c r="D842" s="48" t="s">
        <v>50</v>
      </c>
      <c r="E842" s="48"/>
      <c r="F842" s="48">
        <v>10371.6</v>
      </c>
      <c r="G842" s="43"/>
      <c r="H842" s="43"/>
      <c r="I842" s="43"/>
      <c r="J842" s="43"/>
      <c r="K842" s="43"/>
      <c r="L842" s="43"/>
      <c r="M842" s="43"/>
      <c r="N842" s="43"/>
    </row>
    <row r="843" ht="12.75" customHeight="1">
      <c r="A843" s="48" t="s">
        <v>74</v>
      </c>
      <c r="B843" s="48" t="s">
        <v>27</v>
      </c>
      <c r="C843" s="48" t="s">
        <v>78</v>
      </c>
      <c r="D843" s="48" t="s">
        <v>50</v>
      </c>
      <c r="E843" s="48"/>
      <c r="F843" s="48">
        <v>2515.5</v>
      </c>
      <c r="G843" s="43"/>
      <c r="H843" s="43"/>
      <c r="I843" s="43"/>
      <c r="J843" s="43"/>
      <c r="K843" s="43"/>
      <c r="L843" s="43"/>
      <c r="M843" s="43"/>
      <c r="N843" s="43"/>
    </row>
    <row r="844" ht="12.75" customHeight="1">
      <c r="A844" s="48" t="s">
        <v>74</v>
      </c>
      <c r="B844" s="48" t="s">
        <v>27</v>
      </c>
      <c r="C844" s="48" t="s">
        <v>78</v>
      </c>
      <c r="D844" s="48" t="s">
        <v>50</v>
      </c>
      <c r="E844" s="48"/>
      <c r="F844" s="48">
        <v>0.0</v>
      </c>
      <c r="G844" s="43"/>
      <c r="H844" s="43"/>
      <c r="I844" s="43"/>
      <c r="J844" s="43"/>
      <c r="K844" s="43"/>
      <c r="L844" s="43"/>
      <c r="M844" s="43"/>
      <c r="N844" s="43"/>
    </row>
    <row r="845" ht="12.75" customHeight="1">
      <c r="A845" s="48" t="s">
        <v>74</v>
      </c>
      <c r="B845" s="48" t="s">
        <v>27</v>
      </c>
      <c r="C845" s="48" t="s">
        <v>78</v>
      </c>
      <c r="D845" s="48" t="s">
        <v>50</v>
      </c>
      <c r="E845" s="48"/>
      <c r="F845" s="48">
        <v>-158162.6</v>
      </c>
      <c r="G845" s="43"/>
      <c r="H845" s="43"/>
      <c r="I845" s="43"/>
      <c r="J845" s="43"/>
      <c r="K845" s="43"/>
      <c r="L845" s="43"/>
      <c r="M845" s="43"/>
      <c r="N845" s="43"/>
    </row>
    <row r="846" ht="12.75" customHeight="1">
      <c r="A846" s="48" t="s">
        <v>74</v>
      </c>
      <c r="B846" s="48" t="s">
        <v>27</v>
      </c>
      <c r="C846" s="48" t="s">
        <v>78</v>
      </c>
      <c r="D846" s="48" t="s">
        <v>50</v>
      </c>
      <c r="E846" s="48"/>
      <c r="F846" s="48">
        <v>6200.599999999999</v>
      </c>
      <c r="G846" s="43"/>
      <c r="H846" s="43"/>
      <c r="I846" s="43"/>
      <c r="J846" s="43"/>
      <c r="K846" s="43"/>
      <c r="L846" s="43"/>
      <c r="M846" s="43"/>
      <c r="N846" s="43"/>
    </row>
    <row r="847" ht="12.75" customHeight="1">
      <c r="A847" s="48" t="s">
        <v>74</v>
      </c>
      <c r="B847" s="48" t="s">
        <v>27</v>
      </c>
      <c r="C847" s="48" t="s">
        <v>78</v>
      </c>
      <c r="D847" s="48" t="s">
        <v>47</v>
      </c>
      <c r="E847" s="48"/>
      <c r="F847" s="48">
        <v>516.0</v>
      </c>
      <c r="G847" s="43"/>
      <c r="H847" s="43"/>
      <c r="I847" s="43"/>
      <c r="J847" s="43"/>
      <c r="K847" s="43"/>
      <c r="L847" s="43"/>
      <c r="M847" s="43"/>
      <c r="N847" s="43"/>
    </row>
    <row r="848" ht="12.75" customHeight="1">
      <c r="A848" s="48" t="s">
        <v>74</v>
      </c>
      <c r="B848" s="48" t="s">
        <v>27</v>
      </c>
      <c r="C848" s="48" t="s">
        <v>78</v>
      </c>
      <c r="D848" s="48" t="s">
        <v>47</v>
      </c>
      <c r="E848" s="48"/>
      <c r="F848" s="48">
        <v>6785.4</v>
      </c>
      <c r="G848" s="43"/>
      <c r="H848" s="43"/>
      <c r="I848" s="43"/>
      <c r="J848" s="43"/>
      <c r="K848" s="43"/>
      <c r="L848" s="43"/>
      <c r="M848" s="43"/>
      <c r="N848" s="43"/>
    </row>
    <row r="849" ht="12.75" customHeight="1">
      <c r="A849" s="48" t="s">
        <v>74</v>
      </c>
      <c r="B849" s="48" t="s">
        <v>27</v>
      </c>
      <c r="C849" s="48" t="s">
        <v>78</v>
      </c>
      <c r="D849" s="48" t="s">
        <v>47</v>
      </c>
      <c r="E849" s="48"/>
      <c r="F849" s="48">
        <v>42789.299999999996</v>
      </c>
      <c r="G849" s="43"/>
      <c r="H849" s="43"/>
      <c r="I849" s="43"/>
      <c r="J849" s="43"/>
      <c r="K849" s="43"/>
      <c r="L849" s="43"/>
      <c r="M849" s="43"/>
      <c r="N849" s="43"/>
    </row>
    <row r="850" ht="12.75" customHeight="1">
      <c r="A850" s="48" t="s">
        <v>74</v>
      </c>
      <c r="B850" s="48" t="s">
        <v>27</v>
      </c>
      <c r="C850" s="48" t="s">
        <v>78</v>
      </c>
      <c r="D850" s="48" t="s">
        <v>47</v>
      </c>
      <c r="E850" s="48"/>
      <c r="F850" s="48">
        <v>645.0</v>
      </c>
      <c r="G850" s="43"/>
      <c r="H850" s="43"/>
      <c r="I850" s="43"/>
      <c r="J850" s="43"/>
      <c r="K850" s="43"/>
      <c r="L850" s="43"/>
      <c r="M850" s="43"/>
      <c r="N850" s="43"/>
    </row>
    <row r="851" ht="12.75" customHeight="1">
      <c r="A851" s="48" t="s">
        <v>74</v>
      </c>
      <c r="B851" s="48" t="s">
        <v>27</v>
      </c>
      <c r="C851" s="48" t="s">
        <v>78</v>
      </c>
      <c r="D851" s="48" t="s">
        <v>47</v>
      </c>
      <c r="E851" s="48"/>
      <c r="F851" s="48">
        <v>3835.6</v>
      </c>
      <c r="G851" s="43"/>
      <c r="H851" s="43"/>
      <c r="I851" s="43"/>
      <c r="J851" s="43"/>
      <c r="K851" s="43"/>
      <c r="L851" s="43"/>
      <c r="M851" s="43"/>
      <c r="N851" s="43"/>
    </row>
    <row r="852" ht="12.7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</row>
    <row r="853" ht="12.7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</row>
    <row r="854" ht="12.7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</row>
    <row r="855" ht="12.7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</row>
    <row r="856" ht="12.7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</row>
    <row r="857" ht="12.7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</row>
    <row r="858" ht="12.7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</row>
    <row r="859" ht="12.7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</row>
    <row r="860" ht="12.7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</row>
    <row r="861" ht="12.7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</row>
    <row r="862" ht="12.7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</row>
    <row r="863" ht="12.7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</row>
    <row r="864" ht="12.7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</row>
    <row r="865" ht="12.7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</row>
    <row r="866" ht="12.7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</row>
    <row r="867" ht="12.7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</row>
    <row r="868" ht="12.7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</row>
    <row r="869" ht="12.7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</row>
    <row r="870" ht="12.7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</row>
    <row r="871" ht="12.7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</row>
    <row r="872" ht="12.7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</row>
    <row r="873" ht="12.7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</row>
    <row r="874" ht="12.7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</row>
    <row r="875" ht="12.7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</row>
    <row r="876" ht="12.7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</row>
    <row r="877" ht="12.7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</row>
    <row r="878" ht="12.7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</row>
    <row r="879" ht="12.7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</row>
    <row r="880" ht="12.7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</row>
    <row r="881" ht="12.7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</row>
    <row r="882" ht="12.7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</row>
    <row r="883" ht="12.7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</row>
    <row r="884" ht="12.7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</row>
    <row r="885" ht="12.7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</row>
    <row r="886" ht="12.7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</row>
    <row r="887" ht="12.7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</row>
    <row r="888" ht="12.7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</row>
    <row r="889" ht="12.7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</row>
    <row r="890" ht="12.7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</row>
    <row r="891" ht="12.7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</row>
    <row r="892" ht="12.7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</row>
    <row r="893" ht="12.7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</row>
    <row r="894" ht="12.7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</row>
    <row r="895" ht="12.7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</row>
    <row r="896" ht="12.7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</row>
    <row r="897" ht="12.7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</row>
    <row r="898" ht="12.7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</row>
    <row r="899" ht="12.7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</row>
    <row r="900" ht="12.7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</row>
    <row r="901" ht="12.7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</row>
    <row r="902" ht="12.7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</row>
    <row r="903" ht="12.7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</row>
    <row r="904" ht="12.7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</row>
    <row r="905" ht="12.7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</row>
    <row r="906" ht="12.7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</row>
    <row r="907" ht="12.7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</row>
    <row r="908" ht="12.7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</row>
    <row r="909" ht="12.7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</row>
    <row r="910" ht="12.7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</row>
    <row r="911" ht="12.7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</row>
    <row r="912" ht="12.75" customHeight="1">
      <c r="A912" s="48"/>
      <c r="B912" s="48"/>
      <c r="C912" s="48"/>
      <c r="D912" s="48"/>
      <c r="E912" s="48"/>
      <c r="F912" s="48"/>
      <c r="G912" s="43"/>
      <c r="H912" s="43"/>
      <c r="I912" s="43"/>
      <c r="J912" s="43"/>
      <c r="K912" s="43"/>
      <c r="L912" s="43"/>
      <c r="M912" s="43"/>
      <c r="N912" s="43"/>
    </row>
    <row r="913" ht="12.75" customHeight="1">
      <c r="A913" s="48"/>
      <c r="B913" s="48"/>
      <c r="C913" s="48"/>
      <c r="D913" s="48"/>
      <c r="E913" s="48"/>
      <c r="F913" s="48"/>
      <c r="G913" s="43"/>
      <c r="H913" s="43"/>
      <c r="I913" s="43"/>
      <c r="J913" s="43"/>
      <c r="K913" s="43"/>
      <c r="L913" s="43"/>
      <c r="M913" s="43"/>
      <c r="N913" s="43"/>
    </row>
    <row r="914" ht="12.7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</row>
    <row r="915" ht="12.7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</row>
    <row r="916" ht="12.7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</row>
    <row r="917" ht="12.7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</row>
    <row r="918" ht="12.7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</row>
    <row r="919" ht="12.7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</row>
    <row r="920" ht="12.7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</row>
    <row r="921" ht="12.7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</row>
    <row r="922" ht="12.7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</row>
    <row r="923" ht="12.7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</row>
    <row r="924" ht="12.7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</row>
    <row r="925" ht="12.7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</row>
    <row r="926" ht="12.7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</row>
    <row r="927" ht="12.7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</row>
    <row r="928" ht="12.7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</row>
    <row r="929" ht="12.7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</row>
    <row r="930" ht="12.7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</row>
    <row r="931" ht="12.7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</row>
    <row r="932" ht="12.7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</row>
    <row r="933" ht="12.7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</row>
    <row r="934" ht="12.7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</row>
    <row r="935" ht="12.7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</row>
    <row r="936" ht="12.7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</row>
    <row r="937" ht="12.7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</row>
    <row r="938" ht="12.7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</row>
    <row r="939" ht="12.7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</row>
    <row r="940" ht="12.7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</row>
    <row r="941" ht="12.7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</row>
    <row r="942" ht="12.7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</row>
    <row r="943" ht="12.7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</row>
    <row r="944" ht="12.7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</row>
    <row r="945" ht="12.7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</row>
    <row r="946" ht="12.7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</row>
    <row r="947" ht="12.7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</row>
    <row r="948" ht="12.7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</row>
    <row r="949" ht="12.7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</row>
    <row r="950" ht="12.7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</row>
    <row r="951" ht="12.7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</row>
    <row r="952" ht="12.7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</row>
    <row r="953" ht="12.7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</row>
    <row r="954" ht="12.7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</row>
    <row r="955" ht="12.7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</row>
    <row r="956" ht="12.7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</row>
    <row r="957" ht="12.7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</row>
    <row r="958" ht="12.7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</row>
    <row r="959" ht="12.7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</row>
    <row r="960" ht="12.7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</row>
    <row r="961" ht="12.7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</row>
    <row r="962" ht="12.7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</row>
    <row r="963" ht="12.7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</row>
    <row r="964" ht="12.7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</row>
    <row r="965" ht="12.7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</row>
    <row r="966" ht="12.7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</row>
    <row r="967" ht="12.7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</row>
    <row r="968" ht="12.7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</row>
    <row r="969" ht="12.7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</row>
    <row r="970" ht="12.7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</row>
    <row r="971" ht="12.7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</row>
    <row r="972" ht="12.7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</row>
    <row r="973" ht="12.7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</row>
    <row r="974" ht="12.7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</row>
    <row r="975" ht="12.7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</row>
    <row r="976" ht="12.7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</row>
    <row r="977" ht="12.7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</row>
    <row r="978" ht="12.7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</row>
    <row r="979" ht="12.7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</row>
    <row r="980" ht="12.7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</row>
    <row r="981" ht="12.7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</row>
    <row r="982" ht="12.7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</row>
    <row r="983" ht="12.7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</row>
    <row r="984" ht="12.7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</row>
    <row r="985" ht="12.7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</row>
    <row r="986" ht="12.7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</row>
    <row r="987" ht="12.7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</row>
    <row r="988" ht="12.7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</row>
    <row r="989" ht="12.7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</row>
    <row r="990" ht="12.7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</row>
    <row r="991" ht="12.7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</row>
    <row r="992" ht="12.7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</row>
    <row r="993" ht="12.7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</row>
    <row r="994" ht="12.7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</row>
    <row r="995" ht="12.7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</row>
    <row r="996" ht="12.7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</row>
    <row r="997" ht="12.7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</row>
    <row r="998" ht="12.7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</row>
    <row r="999" ht="12.7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</row>
    <row r="1000" ht="12.7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</row>
  </sheetData>
  <printOptions/>
  <pageMargins bottom="0.5" footer="0.0" header="0.0" left="0.5" right="0.5" top="0.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66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86"/>
    <col customWidth="1" min="2" max="2" width="22.0"/>
    <col customWidth="1" min="3" max="3" width="20.43"/>
    <col customWidth="1" min="4" max="5" width="17.29"/>
    <col customWidth="1" min="6" max="6" width="26.43"/>
    <col customWidth="1" min="7" max="7" width="9.43"/>
    <col customWidth="1" min="8" max="16" width="8.86"/>
  </cols>
  <sheetData>
    <row r="1" ht="12.0" customHeight="1">
      <c r="A1" s="49"/>
      <c r="B1" s="49"/>
      <c r="C1" s="49"/>
      <c r="D1" s="49"/>
      <c r="E1" s="49"/>
      <c r="F1" s="49"/>
      <c r="G1" s="43"/>
      <c r="H1" s="51"/>
      <c r="I1" s="49"/>
      <c r="J1" s="49"/>
      <c r="K1" s="49"/>
      <c r="L1" s="49"/>
      <c r="M1" s="49"/>
      <c r="N1" s="49"/>
      <c r="O1" s="49"/>
      <c r="P1" s="49"/>
    </row>
    <row r="2" ht="12.75" customHeight="1">
      <c r="A2" s="41" t="s">
        <v>38</v>
      </c>
      <c r="B2" s="52"/>
      <c r="C2" s="52"/>
      <c r="D2" s="52"/>
      <c r="E2" s="52"/>
      <c r="F2" s="52"/>
      <c r="G2" s="53"/>
      <c r="H2" s="49"/>
      <c r="I2" s="49"/>
      <c r="J2" s="49"/>
      <c r="K2" s="49"/>
      <c r="L2" s="49"/>
      <c r="M2" s="49"/>
      <c r="N2" s="49"/>
      <c r="O2" s="49"/>
      <c r="P2" s="49"/>
    </row>
    <row r="3" ht="37.5" customHeight="1">
      <c r="A3" s="54" t="s">
        <v>82</v>
      </c>
      <c r="B3" s="54" t="s">
        <v>0</v>
      </c>
      <c r="C3" s="54" t="s">
        <v>39</v>
      </c>
      <c r="D3" s="54" t="s">
        <v>40</v>
      </c>
      <c r="E3" s="54" t="s">
        <v>83</v>
      </c>
      <c r="F3" s="54" t="s">
        <v>84</v>
      </c>
      <c r="G3" s="55" t="s">
        <v>43</v>
      </c>
      <c r="H3" s="49"/>
      <c r="I3" s="49"/>
      <c r="J3" s="49"/>
      <c r="K3" s="49"/>
      <c r="L3" s="49"/>
      <c r="M3" s="49"/>
      <c r="N3" s="49"/>
      <c r="O3" s="49"/>
      <c r="P3" s="49"/>
    </row>
    <row r="4" ht="15.0" customHeight="1">
      <c r="A4" s="56" t="s">
        <v>85</v>
      </c>
      <c r="B4" s="56" t="s">
        <v>50</v>
      </c>
      <c r="C4" s="56" t="s">
        <v>74</v>
      </c>
      <c r="D4" s="56" t="s">
        <v>25</v>
      </c>
      <c r="E4" s="56" t="s">
        <v>75</v>
      </c>
      <c r="F4" s="56"/>
      <c r="G4" s="57">
        <v>15400.000000000002</v>
      </c>
      <c r="H4" s="49"/>
      <c r="I4" s="49"/>
      <c r="J4" s="49"/>
      <c r="K4" s="49"/>
      <c r="L4" s="49"/>
      <c r="M4" s="49"/>
      <c r="N4" s="49"/>
      <c r="O4" s="49"/>
      <c r="P4" s="49"/>
    </row>
    <row r="5" ht="15.0" customHeight="1">
      <c r="A5" s="56" t="s">
        <v>85</v>
      </c>
      <c r="B5" s="56" t="s">
        <v>50</v>
      </c>
      <c r="C5" s="56" t="s">
        <v>74</v>
      </c>
      <c r="D5" s="56" t="s">
        <v>25</v>
      </c>
      <c r="E5" s="56" t="s">
        <v>75</v>
      </c>
      <c r="F5" s="56"/>
      <c r="G5" s="57">
        <v>21560.0</v>
      </c>
      <c r="H5" s="49"/>
      <c r="I5" s="49"/>
      <c r="J5" s="49"/>
      <c r="K5" s="49"/>
      <c r="L5" s="49"/>
      <c r="M5" s="49"/>
      <c r="N5" s="49"/>
      <c r="O5" s="49"/>
      <c r="P5" s="49"/>
    </row>
    <row r="6" ht="15.0" customHeight="1">
      <c r="A6" s="56" t="s">
        <v>85</v>
      </c>
      <c r="B6" s="56" t="s">
        <v>50</v>
      </c>
      <c r="C6" s="56" t="s">
        <v>74</v>
      </c>
      <c r="D6" s="56" t="s">
        <v>25</v>
      </c>
      <c r="E6" s="56" t="s">
        <v>75</v>
      </c>
      <c r="F6" s="56"/>
      <c r="G6" s="57">
        <v>18480.0</v>
      </c>
      <c r="H6" s="49"/>
      <c r="I6" s="49"/>
      <c r="J6" s="49"/>
      <c r="K6" s="49"/>
      <c r="L6" s="49"/>
      <c r="M6" s="49"/>
      <c r="N6" s="49"/>
      <c r="O6" s="49"/>
      <c r="P6" s="49"/>
    </row>
    <row r="7" ht="15.0" customHeight="1">
      <c r="A7" s="56" t="s">
        <v>85</v>
      </c>
      <c r="B7" s="56" t="s">
        <v>50</v>
      </c>
      <c r="C7" s="56" t="s">
        <v>74</v>
      </c>
      <c r="D7" s="56" t="s">
        <v>25</v>
      </c>
      <c r="E7" s="56" t="s">
        <v>75</v>
      </c>
      <c r="F7" s="56"/>
      <c r="G7" s="57">
        <v>110000.00000000001</v>
      </c>
      <c r="H7" s="49"/>
      <c r="I7" s="49"/>
      <c r="J7" s="49"/>
      <c r="K7" s="49"/>
      <c r="L7" s="49"/>
      <c r="M7" s="49"/>
      <c r="N7" s="49"/>
      <c r="O7" s="49"/>
      <c r="P7" s="49"/>
    </row>
    <row r="8" ht="15.0" customHeight="1">
      <c r="A8" s="56" t="s">
        <v>85</v>
      </c>
      <c r="B8" s="56" t="s">
        <v>50</v>
      </c>
      <c r="C8" s="56" t="s">
        <v>74</v>
      </c>
      <c r="D8" s="56" t="s">
        <v>25</v>
      </c>
      <c r="E8" s="56" t="s">
        <v>75</v>
      </c>
      <c r="F8" s="56"/>
      <c r="G8" s="57">
        <v>13921.6</v>
      </c>
      <c r="H8" s="49"/>
      <c r="I8" s="49"/>
      <c r="J8" s="49"/>
      <c r="K8" s="49"/>
      <c r="L8" s="49"/>
      <c r="M8" s="49"/>
      <c r="N8" s="49"/>
      <c r="O8" s="49"/>
      <c r="P8" s="49"/>
    </row>
    <row r="9" ht="15.0" customHeight="1">
      <c r="A9" s="56" t="s">
        <v>85</v>
      </c>
      <c r="B9" s="56" t="s">
        <v>50</v>
      </c>
      <c r="C9" s="56" t="s">
        <v>74</v>
      </c>
      <c r="D9" s="56" t="s">
        <v>25</v>
      </c>
      <c r="E9" s="56" t="s">
        <v>75</v>
      </c>
      <c r="F9" s="56"/>
      <c r="G9" s="57">
        <v>46750.00000000001</v>
      </c>
      <c r="H9" s="49"/>
      <c r="I9" s="49"/>
      <c r="J9" s="49"/>
      <c r="K9" s="49"/>
      <c r="L9" s="49"/>
      <c r="M9" s="49"/>
      <c r="N9" s="49"/>
      <c r="O9" s="49"/>
      <c r="P9" s="49"/>
    </row>
    <row r="10" ht="15.0" customHeight="1">
      <c r="A10" s="56" t="s">
        <v>85</v>
      </c>
      <c r="B10" s="56" t="s">
        <v>50</v>
      </c>
      <c r="C10" s="56" t="s">
        <v>74</v>
      </c>
      <c r="D10" s="56" t="s">
        <v>25</v>
      </c>
      <c r="E10" s="56" t="s">
        <v>75</v>
      </c>
      <c r="F10" s="56"/>
      <c r="G10" s="57">
        <v>14000.800000000001</v>
      </c>
      <c r="H10" s="49"/>
      <c r="I10" s="49"/>
      <c r="J10" s="49"/>
      <c r="K10" s="49"/>
      <c r="L10" s="49"/>
      <c r="M10" s="49"/>
      <c r="N10" s="49"/>
      <c r="O10" s="49"/>
      <c r="P10" s="49"/>
    </row>
    <row r="11" ht="15.0" customHeight="1">
      <c r="A11" s="56" t="s">
        <v>85</v>
      </c>
      <c r="B11" s="56" t="s">
        <v>50</v>
      </c>
      <c r="C11" s="56" t="s">
        <v>74</v>
      </c>
      <c r="D11" s="56" t="s">
        <v>25</v>
      </c>
      <c r="E11" s="56" t="s">
        <v>76</v>
      </c>
      <c r="F11" s="56"/>
      <c r="G11" s="57">
        <v>121000.00000000001</v>
      </c>
      <c r="H11" s="49"/>
      <c r="I11" s="49"/>
      <c r="J11" s="49"/>
      <c r="K11" s="49"/>
      <c r="L11" s="49"/>
      <c r="M11" s="49"/>
      <c r="N11" s="49"/>
      <c r="O11" s="49"/>
      <c r="P11" s="49"/>
    </row>
    <row r="12" ht="15.0" customHeight="1">
      <c r="A12" s="56" t="s">
        <v>85</v>
      </c>
      <c r="B12" s="56" t="s">
        <v>50</v>
      </c>
      <c r="C12" s="56" t="s">
        <v>74</v>
      </c>
      <c r="D12" s="56" t="s">
        <v>25</v>
      </c>
      <c r="E12" s="56" t="s">
        <v>76</v>
      </c>
      <c r="F12" s="56"/>
      <c r="G12" s="57">
        <v>93500.00000000001</v>
      </c>
      <c r="H12" s="49"/>
      <c r="I12" s="49"/>
      <c r="J12" s="49"/>
      <c r="K12" s="49"/>
      <c r="L12" s="49"/>
      <c r="M12" s="49"/>
      <c r="N12" s="49"/>
      <c r="O12" s="49"/>
      <c r="P12" s="49"/>
    </row>
    <row r="13" ht="15.0" customHeight="1">
      <c r="A13" s="56" t="s">
        <v>85</v>
      </c>
      <c r="B13" s="56" t="s">
        <v>50</v>
      </c>
      <c r="C13" s="56" t="s">
        <v>74</v>
      </c>
      <c r="D13" s="56" t="s">
        <v>25</v>
      </c>
      <c r="E13" s="56" t="s">
        <v>7</v>
      </c>
      <c r="F13" s="56"/>
      <c r="G13" s="57">
        <v>66193.6</v>
      </c>
      <c r="H13" s="49"/>
      <c r="I13" s="49"/>
      <c r="J13" s="49"/>
      <c r="K13" s="49"/>
      <c r="L13" s="49"/>
      <c r="M13" s="49"/>
      <c r="N13" s="49"/>
      <c r="O13" s="49"/>
      <c r="P13" s="49"/>
    </row>
    <row r="14" ht="15.0" customHeight="1">
      <c r="A14" s="56" t="s">
        <v>85</v>
      </c>
      <c r="B14" s="56" t="s">
        <v>50</v>
      </c>
      <c r="C14" s="56" t="s">
        <v>74</v>
      </c>
      <c r="D14" s="56" t="s">
        <v>25</v>
      </c>
      <c r="E14" s="56" t="s">
        <v>7</v>
      </c>
      <c r="F14" s="56"/>
      <c r="G14" s="57">
        <v>103950.00000000001</v>
      </c>
      <c r="H14" s="49"/>
      <c r="I14" s="49"/>
      <c r="J14" s="49"/>
      <c r="K14" s="49"/>
      <c r="L14" s="49"/>
      <c r="M14" s="49"/>
      <c r="N14" s="49"/>
      <c r="O14" s="49"/>
      <c r="P14" s="49"/>
    </row>
    <row r="15" ht="15.0" customHeight="1">
      <c r="A15" s="56" t="s">
        <v>85</v>
      </c>
      <c r="B15" s="56" t="s">
        <v>50</v>
      </c>
      <c r="C15" s="56" t="s">
        <v>74</v>
      </c>
      <c r="D15" s="56" t="s">
        <v>25</v>
      </c>
      <c r="E15" s="56" t="s">
        <v>7</v>
      </c>
      <c r="F15" s="56"/>
      <c r="G15" s="57">
        <v>88000.0</v>
      </c>
      <c r="H15" s="49"/>
      <c r="I15" s="49"/>
      <c r="J15" s="49"/>
      <c r="K15" s="49"/>
      <c r="L15" s="49"/>
      <c r="M15" s="49"/>
      <c r="N15" s="49"/>
      <c r="O15" s="49"/>
      <c r="P15" s="49"/>
    </row>
    <row r="16" ht="15.0" customHeight="1">
      <c r="A16" s="56" t="s">
        <v>85</v>
      </c>
      <c r="B16" s="56" t="s">
        <v>50</v>
      </c>
      <c r="C16" s="56" t="s">
        <v>74</v>
      </c>
      <c r="D16" s="56" t="s">
        <v>25</v>
      </c>
      <c r="E16" s="56" t="s">
        <v>7</v>
      </c>
      <c r="F16" s="56"/>
      <c r="G16" s="57">
        <v>47850.00000000001</v>
      </c>
      <c r="H16" s="49"/>
      <c r="I16" s="49"/>
      <c r="J16" s="49"/>
      <c r="K16" s="49"/>
      <c r="L16" s="49"/>
      <c r="M16" s="49"/>
      <c r="N16" s="49"/>
      <c r="O16" s="49"/>
      <c r="P16" s="49"/>
    </row>
    <row r="17" ht="15.0" customHeight="1">
      <c r="A17" s="56" t="s">
        <v>85</v>
      </c>
      <c r="B17" s="56" t="s">
        <v>50</v>
      </c>
      <c r="C17" s="56" t="s">
        <v>74</v>
      </c>
      <c r="D17" s="56" t="s">
        <v>25</v>
      </c>
      <c r="E17" s="56" t="s">
        <v>7</v>
      </c>
      <c r="F17" s="56"/>
      <c r="G17" s="57">
        <v>82500.0</v>
      </c>
      <c r="H17" s="49"/>
      <c r="I17" s="49"/>
      <c r="J17" s="49"/>
      <c r="K17" s="49"/>
      <c r="L17" s="49"/>
      <c r="M17" s="49"/>
      <c r="N17" s="49"/>
      <c r="O17" s="49"/>
      <c r="P17" s="49"/>
    </row>
    <row r="18" ht="15.0" customHeight="1">
      <c r="A18" s="56" t="s">
        <v>85</v>
      </c>
      <c r="B18" s="56" t="s">
        <v>50</v>
      </c>
      <c r="C18" s="56" t="s">
        <v>74</v>
      </c>
      <c r="D18" s="56" t="s">
        <v>27</v>
      </c>
      <c r="E18" s="56" t="s">
        <v>78</v>
      </c>
      <c r="F18" s="56"/>
      <c r="G18" s="57">
        <v>104500.00000000001</v>
      </c>
      <c r="H18" s="49"/>
      <c r="I18" s="49"/>
      <c r="J18" s="49"/>
      <c r="K18" s="49"/>
      <c r="L18" s="49"/>
      <c r="M18" s="49"/>
      <c r="N18" s="49"/>
      <c r="O18" s="49"/>
      <c r="P18" s="49"/>
    </row>
    <row r="19" ht="15.0" customHeight="1">
      <c r="A19" s="56" t="s">
        <v>85</v>
      </c>
      <c r="B19" s="56" t="s">
        <v>50</v>
      </c>
      <c r="C19" s="56" t="s">
        <v>74</v>
      </c>
      <c r="D19" s="56" t="s">
        <v>27</v>
      </c>
      <c r="E19" s="56" t="s">
        <v>78</v>
      </c>
      <c r="F19" s="56"/>
      <c r="G19" s="57">
        <v>119169.6</v>
      </c>
      <c r="H19" s="49"/>
      <c r="I19" s="49"/>
      <c r="J19" s="49"/>
      <c r="K19" s="49"/>
      <c r="L19" s="49"/>
      <c r="M19" s="49"/>
      <c r="N19" s="49"/>
      <c r="O19" s="49"/>
      <c r="P19" s="49"/>
    </row>
    <row r="20" ht="15.0" customHeight="1">
      <c r="A20" s="56" t="s">
        <v>85</v>
      </c>
      <c r="B20" s="56" t="s">
        <v>50</v>
      </c>
      <c r="C20" s="56" t="s">
        <v>74</v>
      </c>
      <c r="D20" s="56" t="s">
        <v>27</v>
      </c>
      <c r="E20" s="56" t="s">
        <v>78</v>
      </c>
      <c r="F20" s="56"/>
      <c r="G20" s="57">
        <v>111650.00000000001</v>
      </c>
      <c r="H20" s="49"/>
      <c r="I20" s="49"/>
      <c r="J20" s="49"/>
      <c r="K20" s="49"/>
      <c r="L20" s="49"/>
      <c r="M20" s="49"/>
      <c r="N20" s="49"/>
      <c r="O20" s="49"/>
      <c r="P20" s="49"/>
    </row>
    <row r="21" ht="15.0" customHeight="1">
      <c r="A21" s="56" t="s">
        <v>85</v>
      </c>
      <c r="B21" s="56" t="s">
        <v>50</v>
      </c>
      <c r="C21" s="56" t="s">
        <v>74</v>
      </c>
      <c r="D21" s="56" t="s">
        <v>27</v>
      </c>
      <c r="E21" s="56" t="s">
        <v>78</v>
      </c>
      <c r="F21" s="56"/>
      <c r="G21" s="57">
        <v>88000.0</v>
      </c>
      <c r="H21" s="49"/>
      <c r="I21" s="49"/>
      <c r="J21" s="49"/>
      <c r="K21" s="49"/>
      <c r="L21" s="49"/>
      <c r="M21" s="49"/>
      <c r="N21" s="49"/>
      <c r="O21" s="49"/>
      <c r="P21" s="49"/>
    </row>
    <row r="22" ht="15.0" customHeight="1">
      <c r="A22" s="56" t="s">
        <v>85</v>
      </c>
      <c r="B22" s="56" t="s">
        <v>50</v>
      </c>
      <c r="C22" s="56" t="s">
        <v>44</v>
      </c>
      <c r="D22" s="56" t="s">
        <v>28</v>
      </c>
      <c r="E22" s="56" t="s">
        <v>51</v>
      </c>
      <c r="F22" s="56"/>
      <c r="G22" s="57">
        <v>77000.0</v>
      </c>
      <c r="H22" s="49"/>
      <c r="I22" s="49"/>
      <c r="J22" s="49"/>
      <c r="K22" s="49"/>
      <c r="L22" s="49"/>
      <c r="M22" s="49"/>
      <c r="N22" s="49"/>
      <c r="O22" s="49"/>
      <c r="P22" s="49"/>
    </row>
    <row r="23" ht="15.0" customHeight="1">
      <c r="A23" s="56" t="s">
        <v>85</v>
      </c>
      <c r="B23" s="56" t="s">
        <v>50</v>
      </c>
      <c r="C23" s="56" t="s">
        <v>44</v>
      </c>
      <c r="D23" s="56" t="s">
        <v>29</v>
      </c>
      <c r="E23" s="56" t="s">
        <v>56</v>
      </c>
      <c r="F23" s="56"/>
      <c r="G23" s="57">
        <v>141627.2</v>
      </c>
      <c r="H23" s="49"/>
      <c r="I23" s="49"/>
      <c r="J23" s="49"/>
      <c r="K23" s="49"/>
      <c r="L23" s="49"/>
      <c r="M23" s="49"/>
      <c r="N23" s="49"/>
      <c r="O23" s="49"/>
      <c r="P23" s="49"/>
    </row>
    <row r="24" ht="15.0" customHeight="1">
      <c r="A24" s="56" t="s">
        <v>85</v>
      </c>
      <c r="B24" s="56" t="s">
        <v>50</v>
      </c>
      <c r="C24" s="56" t="s">
        <v>44</v>
      </c>
      <c r="D24" s="56" t="s">
        <v>29</v>
      </c>
      <c r="E24" s="56" t="s">
        <v>56</v>
      </c>
      <c r="F24" s="56"/>
      <c r="G24" s="57">
        <v>192500.00000000003</v>
      </c>
      <c r="H24" s="49"/>
      <c r="I24" s="49"/>
      <c r="J24" s="49"/>
      <c r="K24" s="49"/>
      <c r="L24" s="49"/>
      <c r="M24" s="49"/>
      <c r="N24" s="49"/>
      <c r="O24" s="49"/>
      <c r="P24" s="49"/>
    </row>
    <row r="25" ht="15.0" customHeight="1">
      <c r="A25" s="56" t="s">
        <v>85</v>
      </c>
      <c r="B25" s="56" t="s">
        <v>50</v>
      </c>
      <c r="C25" s="56" t="s">
        <v>44</v>
      </c>
      <c r="D25" s="56" t="s">
        <v>29</v>
      </c>
      <c r="E25" s="56" t="s">
        <v>56</v>
      </c>
      <c r="F25" s="56"/>
      <c r="G25" s="57">
        <v>101200.00000000001</v>
      </c>
      <c r="H25" s="49"/>
      <c r="I25" s="49"/>
      <c r="J25" s="49"/>
      <c r="K25" s="49"/>
      <c r="L25" s="49"/>
      <c r="M25" s="49"/>
      <c r="N25" s="49"/>
      <c r="O25" s="49"/>
      <c r="P25" s="49"/>
    </row>
    <row r="26" ht="15.0" customHeight="1">
      <c r="A26" s="56" t="s">
        <v>85</v>
      </c>
      <c r="B26" s="56" t="s">
        <v>50</v>
      </c>
      <c r="C26" s="56" t="s">
        <v>44</v>
      </c>
      <c r="D26" s="56" t="s">
        <v>29</v>
      </c>
      <c r="E26" s="56" t="s">
        <v>56</v>
      </c>
      <c r="F26" s="56"/>
      <c r="G26" s="57">
        <v>139700.0</v>
      </c>
      <c r="H26" s="49"/>
      <c r="I26" s="49"/>
      <c r="J26" s="49"/>
      <c r="K26" s="49"/>
      <c r="L26" s="49"/>
      <c r="M26" s="49"/>
      <c r="N26" s="49"/>
      <c r="O26" s="49"/>
      <c r="P26" s="49"/>
    </row>
    <row r="27" ht="15.0" customHeight="1">
      <c r="A27" s="56" t="s">
        <v>85</v>
      </c>
      <c r="B27" s="56" t="s">
        <v>50</v>
      </c>
      <c r="C27" s="56" t="s">
        <v>44</v>
      </c>
      <c r="D27" s="56" t="s">
        <v>29</v>
      </c>
      <c r="E27" s="56" t="s">
        <v>59</v>
      </c>
      <c r="F27" s="56"/>
      <c r="G27" s="57">
        <v>68200.0</v>
      </c>
      <c r="H27" s="49"/>
      <c r="I27" s="49"/>
      <c r="J27" s="49"/>
      <c r="K27" s="49"/>
      <c r="L27" s="49"/>
      <c r="M27" s="49"/>
      <c r="N27" s="49"/>
      <c r="O27" s="49"/>
      <c r="P27" s="49"/>
    </row>
    <row r="28" ht="15.0" customHeight="1">
      <c r="A28" s="56" t="s">
        <v>85</v>
      </c>
      <c r="B28" s="56" t="s">
        <v>50</v>
      </c>
      <c r="C28" s="56" t="s">
        <v>44</v>
      </c>
      <c r="D28" s="56" t="s">
        <v>29</v>
      </c>
      <c r="E28" s="56" t="s">
        <v>59</v>
      </c>
      <c r="F28" s="56"/>
      <c r="G28" s="57">
        <v>104500.00000000001</v>
      </c>
      <c r="H28" s="49"/>
      <c r="I28" s="49"/>
      <c r="J28" s="49"/>
      <c r="K28" s="49"/>
      <c r="L28" s="49"/>
      <c r="M28" s="49"/>
      <c r="N28" s="49"/>
      <c r="O28" s="49"/>
      <c r="P28" s="49"/>
    </row>
    <row r="29" ht="15.0" customHeight="1">
      <c r="A29" s="56" t="s">
        <v>85</v>
      </c>
      <c r="B29" s="56" t="s">
        <v>50</v>
      </c>
      <c r="C29" s="56" t="s">
        <v>44</v>
      </c>
      <c r="D29" s="56" t="s">
        <v>29</v>
      </c>
      <c r="E29" s="56" t="s">
        <v>59</v>
      </c>
      <c r="F29" s="56"/>
      <c r="G29" s="57">
        <v>60500.00000000001</v>
      </c>
      <c r="H29" s="49"/>
      <c r="I29" s="49"/>
      <c r="J29" s="49"/>
      <c r="K29" s="49"/>
      <c r="L29" s="49"/>
      <c r="M29" s="49"/>
      <c r="N29" s="49"/>
      <c r="O29" s="49"/>
      <c r="P29" s="49"/>
    </row>
    <row r="30" ht="15.0" customHeight="1">
      <c r="A30" s="56" t="s">
        <v>85</v>
      </c>
      <c r="B30" s="56" t="s">
        <v>50</v>
      </c>
      <c r="C30" s="56" t="s">
        <v>44</v>
      </c>
      <c r="D30" s="56" t="s">
        <v>30</v>
      </c>
      <c r="E30" s="56" t="s">
        <v>6</v>
      </c>
      <c r="F30" s="56"/>
      <c r="G30" s="57">
        <v>51044.4</v>
      </c>
      <c r="H30" s="49"/>
      <c r="I30" s="49"/>
      <c r="J30" s="49"/>
      <c r="K30" s="49"/>
      <c r="L30" s="49"/>
      <c r="M30" s="49"/>
      <c r="N30" s="49"/>
      <c r="O30" s="49"/>
      <c r="P30" s="49"/>
    </row>
    <row r="31" ht="15.0" customHeight="1">
      <c r="A31" s="56" t="s">
        <v>85</v>
      </c>
      <c r="B31" s="56" t="s">
        <v>50</v>
      </c>
      <c r="C31" s="56" t="s">
        <v>44</v>
      </c>
      <c r="D31" s="56" t="s">
        <v>30</v>
      </c>
      <c r="E31" s="56" t="s">
        <v>6</v>
      </c>
      <c r="F31" s="56"/>
      <c r="G31" s="57">
        <v>0.0</v>
      </c>
      <c r="H31" s="49"/>
      <c r="I31" s="49"/>
      <c r="J31" s="49"/>
      <c r="K31" s="49"/>
      <c r="L31" s="49"/>
      <c r="M31" s="49"/>
      <c r="N31" s="49"/>
      <c r="O31" s="49"/>
      <c r="P31" s="49"/>
    </row>
    <row r="32" ht="15.0" customHeight="1">
      <c r="A32" s="56" t="s">
        <v>85</v>
      </c>
      <c r="B32" s="56" t="s">
        <v>50</v>
      </c>
      <c r="C32" s="56" t="s">
        <v>44</v>
      </c>
      <c r="D32" s="56" t="s">
        <v>30</v>
      </c>
      <c r="E32" s="56" t="s">
        <v>5</v>
      </c>
      <c r="F32" s="56"/>
      <c r="G32" s="57">
        <v>176000.0</v>
      </c>
      <c r="H32" s="49"/>
      <c r="I32" s="49"/>
      <c r="J32" s="49"/>
      <c r="K32" s="49"/>
      <c r="L32" s="49"/>
      <c r="M32" s="49"/>
      <c r="N32" s="49"/>
      <c r="O32" s="49"/>
      <c r="P32" s="49"/>
    </row>
    <row r="33" ht="15.0" customHeight="1">
      <c r="A33" s="56" t="s">
        <v>85</v>
      </c>
      <c r="B33" s="56" t="s">
        <v>50</v>
      </c>
      <c r="C33" s="56" t="s">
        <v>44</v>
      </c>
      <c r="D33" s="56" t="s">
        <v>30</v>
      </c>
      <c r="E33" s="56" t="s">
        <v>61</v>
      </c>
      <c r="F33" s="56"/>
      <c r="G33" s="57">
        <v>110000.00000000001</v>
      </c>
      <c r="H33" s="49"/>
      <c r="I33" s="49"/>
      <c r="J33" s="49"/>
      <c r="K33" s="49"/>
      <c r="L33" s="49"/>
      <c r="M33" s="49"/>
      <c r="N33" s="49"/>
      <c r="O33" s="49"/>
      <c r="P33" s="49"/>
    </row>
    <row r="34" ht="15.0" customHeight="1">
      <c r="A34" s="56" t="s">
        <v>85</v>
      </c>
      <c r="B34" s="56" t="s">
        <v>50</v>
      </c>
      <c r="C34" s="56" t="s">
        <v>74</v>
      </c>
      <c r="D34" s="56" t="s">
        <v>25</v>
      </c>
      <c r="E34" s="56" t="s">
        <v>75</v>
      </c>
      <c r="F34" s="56"/>
      <c r="G34" s="57">
        <v>11000.0</v>
      </c>
      <c r="H34" s="49"/>
      <c r="I34" s="49"/>
      <c r="J34" s="49"/>
      <c r="K34" s="49"/>
      <c r="L34" s="49"/>
      <c r="M34" s="49"/>
      <c r="N34" s="49"/>
      <c r="O34" s="49"/>
      <c r="P34" s="49"/>
    </row>
    <row r="35" ht="15.0" customHeight="1">
      <c r="A35" s="56" t="s">
        <v>85</v>
      </c>
      <c r="B35" s="56" t="s">
        <v>50</v>
      </c>
      <c r="C35" s="56" t="s">
        <v>74</v>
      </c>
      <c r="D35" s="56" t="s">
        <v>25</v>
      </c>
      <c r="E35" s="56" t="s">
        <v>75</v>
      </c>
      <c r="F35" s="56"/>
      <c r="G35" s="57">
        <v>15400.000000000002</v>
      </c>
      <c r="H35" s="49"/>
      <c r="I35" s="49"/>
      <c r="J35" s="49"/>
      <c r="K35" s="49"/>
      <c r="L35" s="49"/>
      <c r="M35" s="49"/>
      <c r="N35" s="49"/>
      <c r="O35" s="49"/>
      <c r="P35" s="49"/>
    </row>
    <row r="36" ht="15.0" customHeight="1">
      <c r="A36" s="56" t="s">
        <v>85</v>
      </c>
      <c r="B36" s="56" t="s">
        <v>50</v>
      </c>
      <c r="C36" s="56" t="s">
        <v>74</v>
      </c>
      <c r="D36" s="56" t="s">
        <v>25</v>
      </c>
      <c r="E36" s="56" t="s">
        <v>75</v>
      </c>
      <c r="F36" s="56"/>
      <c r="G36" s="57">
        <v>20495.2</v>
      </c>
      <c r="H36" s="49"/>
      <c r="I36" s="49"/>
      <c r="J36" s="49"/>
      <c r="K36" s="49"/>
      <c r="L36" s="49"/>
      <c r="M36" s="49"/>
      <c r="N36" s="49"/>
      <c r="O36" s="49"/>
      <c r="P36" s="49"/>
    </row>
    <row r="37" ht="15.0" customHeight="1">
      <c r="A37" s="56" t="s">
        <v>85</v>
      </c>
      <c r="B37" s="56" t="s">
        <v>50</v>
      </c>
      <c r="C37" s="56" t="s">
        <v>74</v>
      </c>
      <c r="D37" s="56" t="s">
        <v>25</v>
      </c>
      <c r="E37" s="56" t="s">
        <v>75</v>
      </c>
      <c r="F37" s="56"/>
      <c r="G37" s="57">
        <v>13200.000000000002</v>
      </c>
      <c r="H37" s="49"/>
      <c r="I37" s="49"/>
      <c r="J37" s="49"/>
      <c r="K37" s="49"/>
      <c r="L37" s="49"/>
      <c r="M37" s="49"/>
      <c r="N37" s="49"/>
      <c r="O37" s="49"/>
      <c r="P37" s="49"/>
    </row>
    <row r="38" ht="15.0" customHeight="1">
      <c r="A38" s="56" t="s">
        <v>85</v>
      </c>
      <c r="B38" s="56" t="s">
        <v>50</v>
      </c>
      <c r="C38" s="56" t="s">
        <v>74</v>
      </c>
      <c r="D38" s="56" t="s">
        <v>25</v>
      </c>
      <c r="E38" s="56" t="s">
        <v>75</v>
      </c>
      <c r="F38" s="56"/>
      <c r="G38" s="57">
        <v>9944.0</v>
      </c>
      <c r="H38" s="49"/>
      <c r="I38" s="49"/>
      <c r="J38" s="49"/>
      <c r="K38" s="49"/>
      <c r="L38" s="49"/>
      <c r="M38" s="49"/>
      <c r="N38" s="49"/>
      <c r="O38" s="49"/>
      <c r="P38" s="49"/>
    </row>
    <row r="39" ht="15.0" customHeight="1">
      <c r="A39" s="56" t="s">
        <v>85</v>
      </c>
      <c r="B39" s="56" t="s">
        <v>50</v>
      </c>
      <c r="C39" s="56" t="s">
        <v>74</v>
      </c>
      <c r="D39" s="56" t="s">
        <v>25</v>
      </c>
      <c r="E39" s="56" t="s">
        <v>75</v>
      </c>
      <c r="F39" s="56"/>
      <c r="G39" s="57">
        <v>10001.2</v>
      </c>
      <c r="H39" s="49"/>
      <c r="I39" s="49"/>
      <c r="J39" s="49"/>
      <c r="K39" s="49"/>
      <c r="L39" s="49"/>
      <c r="M39" s="49"/>
      <c r="N39" s="49"/>
      <c r="O39" s="49"/>
      <c r="P39" s="49"/>
    </row>
    <row r="40" ht="15.0" customHeight="1">
      <c r="A40" s="56" t="s">
        <v>85</v>
      </c>
      <c r="B40" s="56" t="s">
        <v>50</v>
      </c>
      <c r="C40" s="56" t="s">
        <v>74</v>
      </c>
      <c r="D40" s="56" t="s">
        <v>25</v>
      </c>
      <c r="E40" s="56" t="s">
        <v>76</v>
      </c>
      <c r="F40" s="56"/>
      <c r="G40" s="57">
        <v>0.0</v>
      </c>
      <c r="H40" s="49"/>
      <c r="I40" s="49"/>
      <c r="J40" s="49"/>
      <c r="K40" s="49"/>
      <c r="L40" s="49"/>
      <c r="M40" s="49"/>
      <c r="N40" s="49"/>
      <c r="O40" s="49"/>
      <c r="P40" s="49"/>
    </row>
    <row r="41" ht="15.0" customHeight="1">
      <c r="A41" s="56" t="s">
        <v>85</v>
      </c>
      <c r="B41" s="56" t="s">
        <v>50</v>
      </c>
      <c r="C41" s="56" t="s">
        <v>74</v>
      </c>
      <c r="D41" s="56" t="s">
        <v>25</v>
      </c>
      <c r="E41" s="56" t="s">
        <v>76</v>
      </c>
      <c r="F41" s="56"/>
      <c r="G41" s="57">
        <v>0.0</v>
      </c>
      <c r="H41" s="49"/>
      <c r="I41" s="49"/>
      <c r="J41" s="49"/>
      <c r="K41" s="49"/>
      <c r="L41" s="49"/>
      <c r="M41" s="49"/>
      <c r="N41" s="49"/>
      <c r="O41" s="49"/>
      <c r="P41" s="49"/>
    </row>
    <row r="42" ht="15.0" customHeight="1">
      <c r="A42" s="56" t="s">
        <v>85</v>
      </c>
      <c r="B42" s="56" t="s">
        <v>50</v>
      </c>
      <c r="C42" s="56" t="s">
        <v>74</v>
      </c>
      <c r="D42" s="56" t="s">
        <v>25</v>
      </c>
      <c r="E42" s="56" t="s">
        <v>77</v>
      </c>
      <c r="F42" s="56"/>
      <c r="G42" s="57">
        <v>105930.00000000001</v>
      </c>
      <c r="H42" s="49"/>
      <c r="I42" s="49"/>
      <c r="J42" s="49"/>
      <c r="K42" s="49"/>
      <c r="L42" s="49"/>
      <c r="M42" s="49"/>
      <c r="N42" s="49"/>
      <c r="O42" s="49"/>
      <c r="P42" s="49"/>
    </row>
    <row r="43" ht="15.0" customHeight="1">
      <c r="A43" s="56" t="s">
        <v>85</v>
      </c>
      <c r="B43" s="56" t="s">
        <v>50</v>
      </c>
      <c r="C43" s="56" t="s">
        <v>74</v>
      </c>
      <c r="D43" s="56" t="s">
        <v>25</v>
      </c>
      <c r="E43" s="56" t="s">
        <v>77</v>
      </c>
      <c r="F43" s="56"/>
      <c r="G43" s="57">
        <v>148500.0</v>
      </c>
      <c r="H43" s="49"/>
      <c r="I43" s="49"/>
      <c r="J43" s="49"/>
      <c r="K43" s="49"/>
      <c r="L43" s="49"/>
      <c r="M43" s="49"/>
      <c r="N43" s="49"/>
      <c r="O43" s="49"/>
      <c r="P43" s="49"/>
    </row>
    <row r="44" ht="15.0" customHeight="1">
      <c r="A44" s="56" t="s">
        <v>85</v>
      </c>
      <c r="B44" s="56" t="s">
        <v>50</v>
      </c>
      <c r="C44" s="56" t="s">
        <v>74</v>
      </c>
      <c r="D44" s="56" t="s">
        <v>25</v>
      </c>
      <c r="E44" s="56" t="s">
        <v>77</v>
      </c>
      <c r="F44" s="56"/>
      <c r="G44" s="57">
        <v>62880.4</v>
      </c>
      <c r="H44" s="49"/>
      <c r="I44" s="49"/>
      <c r="J44" s="49"/>
      <c r="K44" s="49"/>
      <c r="L44" s="49"/>
      <c r="M44" s="49"/>
      <c r="N44" s="49"/>
      <c r="O44" s="49"/>
      <c r="P44" s="49"/>
    </row>
    <row r="45" ht="15.0" customHeight="1">
      <c r="A45" s="56" t="s">
        <v>85</v>
      </c>
      <c r="B45" s="56" t="s">
        <v>50</v>
      </c>
      <c r="C45" s="56" t="s">
        <v>74</v>
      </c>
      <c r="D45" s="56" t="s">
        <v>25</v>
      </c>
      <c r="E45" s="56" t="s">
        <v>77</v>
      </c>
      <c r="F45" s="56"/>
      <c r="G45" s="57">
        <v>48822.4</v>
      </c>
      <c r="H45" s="49"/>
      <c r="I45" s="49"/>
      <c r="J45" s="49"/>
      <c r="K45" s="49"/>
      <c r="L45" s="49"/>
      <c r="M45" s="49"/>
      <c r="N45" s="49"/>
      <c r="O45" s="49"/>
      <c r="P45" s="49"/>
    </row>
    <row r="46" ht="15.0" customHeight="1">
      <c r="A46" s="56" t="s">
        <v>85</v>
      </c>
      <c r="B46" s="56" t="s">
        <v>50</v>
      </c>
      <c r="C46" s="56" t="s">
        <v>74</v>
      </c>
      <c r="D46" s="56" t="s">
        <v>25</v>
      </c>
      <c r="E46" s="56" t="s">
        <v>77</v>
      </c>
      <c r="F46" s="56"/>
      <c r="G46" s="57">
        <v>88000.0</v>
      </c>
      <c r="H46" s="49"/>
      <c r="I46" s="49"/>
      <c r="J46" s="49"/>
      <c r="K46" s="49"/>
      <c r="L46" s="49"/>
      <c r="M46" s="49"/>
      <c r="N46" s="49"/>
      <c r="O46" s="49"/>
      <c r="P46" s="49"/>
    </row>
    <row r="47" ht="15.0" customHeight="1">
      <c r="A47" s="56" t="s">
        <v>85</v>
      </c>
      <c r="B47" s="56" t="s">
        <v>50</v>
      </c>
      <c r="C47" s="56" t="s">
        <v>74</v>
      </c>
      <c r="D47" s="56" t="s">
        <v>25</v>
      </c>
      <c r="E47" s="56" t="s">
        <v>77</v>
      </c>
      <c r="F47" s="56"/>
      <c r="G47" s="57">
        <v>79116.40000000001</v>
      </c>
      <c r="H47" s="49"/>
      <c r="I47" s="49"/>
      <c r="J47" s="49"/>
      <c r="K47" s="49"/>
      <c r="L47" s="49"/>
      <c r="M47" s="49"/>
      <c r="N47" s="49"/>
      <c r="O47" s="49"/>
      <c r="P47" s="49"/>
    </row>
    <row r="48" ht="15.0" customHeight="1">
      <c r="A48" s="56" t="s">
        <v>85</v>
      </c>
      <c r="B48" s="56" t="s">
        <v>50</v>
      </c>
      <c r="C48" s="56" t="s">
        <v>74</v>
      </c>
      <c r="D48" s="56" t="s">
        <v>25</v>
      </c>
      <c r="E48" s="56" t="s">
        <v>77</v>
      </c>
      <c r="F48" s="56"/>
      <c r="G48" s="57">
        <v>93500.00000000001</v>
      </c>
      <c r="H48" s="49"/>
      <c r="I48" s="49"/>
      <c r="J48" s="49"/>
      <c r="K48" s="49"/>
      <c r="L48" s="49"/>
      <c r="M48" s="49"/>
      <c r="N48" s="49"/>
      <c r="O48" s="49"/>
      <c r="P48" s="49"/>
    </row>
    <row r="49" ht="15.0" customHeight="1">
      <c r="A49" s="56" t="s">
        <v>85</v>
      </c>
      <c r="B49" s="56" t="s">
        <v>50</v>
      </c>
      <c r="C49" s="56" t="s">
        <v>74</v>
      </c>
      <c r="D49" s="56" t="s">
        <v>25</v>
      </c>
      <c r="E49" s="56" t="s">
        <v>77</v>
      </c>
      <c r="F49" s="56"/>
      <c r="G49" s="57">
        <v>68644.40000000001</v>
      </c>
      <c r="H49" s="49"/>
      <c r="I49" s="49"/>
      <c r="J49" s="49"/>
      <c r="K49" s="49"/>
      <c r="L49" s="49"/>
      <c r="M49" s="49"/>
      <c r="N49" s="49"/>
      <c r="O49" s="49"/>
      <c r="P49" s="49"/>
    </row>
    <row r="50" ht="15.0" customHeight="1">
      <c r="A50" s="56" t="s">
        <v>85</v>
      </c>
      <c r="B50" s="56" t="s">
        <v>50</v>
      </c>
      <c r="C50" s="56" t="s">
        <v>74</v>
      </c>
      <c r="D50" s="56" t="s">
        <v>25</v>
      </c>
      <c r="E50" s="56" t="s">
        <v>77</v>
      </c>
      <c r="F50" s="56"/>
      <c r="G50" s="57">
        <v>94472.40000000001</v>
      </c>
      <c r="H50" s="49"/>
      <c r="I50" s="49"/>
      <c r="J50" s="49"/>
      <c r="K50" s="49"/>
      <c r="L50" s="49"/>
      <c r="M50" s="49"/>
      <c r="N50" s="49"/>
      <c r="O50" s="49"/>
      <c r="P50" s="49"/>
    </row>
    <row r="51" ht="15.0" customHeight="1">
      <c r="A51" s="56" t="s">
        <v>85</v>
      </c>
      <c r="B51" s="56" t="s">
        <v>50</v>
      </c>
      <c r="C51" s="56" t="s">
        <v>74</v>
      </c>
      <c r="D51" s="56" t="s">
        <v>25</v>
      </c>
      <c r="E51" s="56" t="s">
        <v>77</v>
      </c>
      <c r="F51" s="56"/>
      <c r="G51" s="57">
        <v>116600.00000000001</v>
      </c>
      <c r="H51" s="49"/>
      <c r="I51" s="49"/>
      <c r="J51" s="49"/>
      <c r="K51" s="49"/>
      <c r="L51" s="49"/>
      <c r="M51" s="49"/>
      <c r="N51" s="49"/>
      <c r="O51" s="49"/>
      <c r="P51" s="49"/>
    </row>
    <row r="52" ht="12.0" customHeight="1">
      <c r="A52" s="56" t="s">
        <v>85</v>
      </c>
      <c r="B52" s="56" t="s">
        <v>50</v>
      </c>
      <c r="C52" s="56" t="s">
        <v>74</v>
      </c>
      <c r="D52" s="56" t="s">
        <v>25</v>
      </c>
      <c r="E52" s="56" t="s">
        <v>77</v>
      </c>
      <c r="F52" s="56"/>
      <c r="G52" s="57">
        <v>88000.0</v>
      </c>
      <c r="H52" s="49"/>
      <c r="I52" s="49"/>
      <c r="J52" s="49"/>
      <c r="K52" s="49"/>
      <c r="L52" s="49"/>
      <c r="M52" s="49"/>
      <c r="N52" s="49"/>
      <c r="O52" s="49"/>
      <c r="P52" s="49"/>
    </row>
    <row r="53" ht="12.0" customHeight="1">
      <c r="A53" s="56" t="s">
        <v>85</v>
      </c>
      <c r="B53" s="56" t="s">
        <v>50</v>
      </c>
      <c r="C53" s="56" t="s">
        <v>74</v>
      </c>
      <c r="D53" s="56" t="s">
        <v>27</v>
      </c>
      <c r="E53" s="56" t="s">
        <v>79</v>
      </c>
      <c r="F53" s="56"/>
      <c r="G53" s="57">
        <v>55915.200000000004</v>
      </c>
      <c r="H53" s="49"/>
      <c r="I53" s="49"/>
      <c r="J53" s="49"/>
      <c r="K53" s="49"/>
      <c r="L53" s="49"/>
      <c r="M53" s="49"/>
      <c r="N53" s="49"/>
      <c r="O53" s="49"/>
      <c r="P53" s="49"/>
    </row>
    <row r="54" ht="12.0" customHeight="1">
      <c r="A54" s="56" t="s">
        <v>85</v>
      </c>
      <c r="B54" s="56" t="s">
        <v>50</v>
      </c>
      <c r="C54" s="56" t="s">
        <v>74</v>
      </c>
      <c r="D54" s="56" t="s">
        <v>27</v>
      </c>
      <c r="E54" s="56" t="s">
        <v>78</v>
      </c>
      <c r="F54" s="56"/>
      <c r="G54" s="57">
        <v>141627.2</v>
      </c>
      <c r="H54" s="49"/>
      <c r="I54" s="49"/>
      <c r="J54" s="49"/>
      <c r="K54" s="49"/>
      <c r="L54" s="49"/>
      <c r="M54" s="49"/>
      <c r="N54" s="49"/>
      <c r="O54" s="49"/>
      <c r="P54" s="49"/>
    </row>
    <row r="55" ht="12.0" customHeight="1">
      <c r="A55" s="56" t="s">
        <v>85</v>
      </c>
      <c r="B55" s="56" t="s">
        <v>50</v>
      </c>
      <c r="C55" s="56" t="s">
        <v>44</v>
      </c>
      <c r="D55" s="56" t="s">
        <v>28</v>
      </c>
      <c r="E55" s="56" t="s">
        <v>51</v>
      </c>
      <c r="F55" s="56"/>
      <c r="G55" s="57">
        <v>87810.8</v>
      </c>
      <c r="H55" s="49"/>
      <c r="I55" s="49"/>
      <c r="J55" s="49"/>
      <c r="K55" s="49"/>
      <c r="L55" s="49"/>
      <c r="M55" s="49"/>
      <c r="N55" s="49"/>
      <c r="O55" s="49"/>
      <c r="P55" s="49"/>
    </row>
    <row r="56" ht="12.0" customHeight="1">
      <c r="A56" s="56" t="s">
        <v>85</v>
      </c>
      <c r="B56" s="56" t="s">
        <v>50</v>
      </c>
      <c r="C56" s="56" t="s">
        <v>44</v>
      </c>
      <c r="D56" s="56" t="s">
        <v>28</v>
      </c>
      <c r="E56" s="56" t="s">
        <v>51</v>
      </c>
      <c r="F56" s="56"/>
      <c r="G56" s="57">
        <v>137280.0</v>
      </c>
      <c r="H56" s="49"/>
      <c r="I56" s="49"/>
      <c r="J56" s="49"/>
      <c r="K56" s="49"/>
      <c r="L56" s="49"/>
      <c r="M56" s="49"/>
      <c r="N56" s="49"/>
      <c r="O56" s="49"/>
      <c r="P56" s="49"/>
    </row>
    <row r="57" ht="12.0" customHeight="1">
      <c r="A57" s="56" t="s">
        <v>85</v>
      </c>
      <c r="B57" s="56" t="s">
        <v>50</v>
      </c>
      <c r="C57" s="56" t="s">
        <v>44</v>
      </c>
      <c r="D57" s="56" t="s">
        <v>29</v>
      </c>
      <c r="E57" s="56" t="s">
        <v>56</v>
      </c>
      <c r="F57" s="56"/>
      <c r="G57" s="57">
        <v>121101.20000000001</v>
      </c>
      <c r="H57" s="49"/>
      <c r="I57" s="49"/>
      <c r="J57" s="49"/>
      <c r="K57" s="49"/>
      <c r="L57" s="49"/>
      <c r="M57" s="49"/>
      <c r="N57" s="49"/>
      <c r="O57" s="49"/>
      <c r="P57" s="49"/>
    </row>
    <row r="58" ht="12.0" customHeight="1">
      <c r="A58" s="56" t="s">
        <v>85</v>
      </c>
      <c r="B58" s="56" t="s">
        <v>50</v>
      </c>
      <c r="C58" s="56" t="s">
        <v>44</v>
      </c>
      <c r="D58" s="56" t="s">
        <v>29</v>
      </c>
      <c r="E58" s="56" t="s">
        <v>56</v>
      </c>
      <c r="F58" s="56"/>
      <c r="G58" s="57">
        <v>94608.8</v>
      </c>
      <c r="H58" s="49"/>
      <c r="I58" s="49"/>
      <c r="J58" s="49"/>
      <c r="K58" s="49"/>
      <c r="L58" s="49"/>
      <c r="M58" s="49"/>
      <c r="N58" s="49"/>
      <c r="O58" s="49"/>
      <c r="P58" s="49"/>
    </row>
    <row r="59" ht="12.0" customHeight="1">
      <c r="A59" s="56" t="s">
        <v>85</v>
      </c>
      <c r="B59" s="56" t="s">
        <v>50</v>
      </c>
      <c r="C59" s="56" t="s">
        <v>44</v>
      </c>
      <c r="D59" s="56" t="s">
        <v>29</v>
      </c>
      <c r="E59" s="56" t="s">
        <v>56</v>
      </c>
      <c r="F59" s="56"/>
      <c r="G59" s="57">
        <v>71363.6</v>
      </c>
      <c r="H59" s="49"/>
      <c r="I59" s="49"/>
      <c r="J59" s="49"/>
      <c r="K59" s="49"/>
      <c r="L59" s="49"/>
      <c r="M59" s="49"/>
      <c r="N59" s="49"/>
      <c r="O59" s="49"/>
      <c r="P59" s="49"/>
    </row>
    <row r="60" ht="12.0" customHeight="1">
      <c r="A60" s="56" t="s">
        <v>85</v>
      </c>
      <c r="B60" s="56" t="s">
        <v>50</v>
      </c>
      <c r="C60" s="56" t="s">
        <v>44</v>
      </c>
      <c r="D60" s="56" t="s">
        <v>29</v>
      </c>
      <c r="E60" s="56" t="s">
        <v>56</v>
      </c>
      <c r="F60" s="56"/>
      <c r="G60" s="57">
        <v>111258.40000000001</v>
      </c>
      <c r="H60" s="49"/>
      <c r="I60" s="49"/>
      <c r="J60" s="49"/>
      <c r="K60" s="49"/>
      <c r="L60" s="49"/>
      <c r="M60" s="49"/>
      <c r="N60" s="49"/>
      <c r="O60" s="49"/>
      <c r="P60" s="49"/>
    </row>
    <row r="61" ht="12.0" customHeight="1">
      <c r="A61" s="56" t="s">
        <v>85</v>
      </c>
      <c r="B61" s="56" t="s">
        <v>50</v>
      </c>
      <c r="C61" s="56" t="s">
        <v>44</v>
      </c>
      <c r="D61" s="56" t="s">
        <v>29</v>
      </c>
      <c r="E61" s="56" t="s">
        <v>56</v>
      </c>
      <c r="F61" s="56"/>
      <c r="G61" s="57">
        <v>105371.20000000001</v>
      </c>
      <c r="H61" s="49"/>
      <c r="I61" s="49"/>
      <c r="J61" s="49"/>
      <c r="K61" s="49"/>
      <c r="L61" s="49"/>
      <c r="M61" s="49"/>
      <c r="N61" s="49"/>
      <c r="O61" s="49"/>
      <c r="P61" s="49"/>
    </row>
    <row r="62" ht="12.0" customHeight="1">
      <c r="A62" s="56" t="s">
        <v>85</v>
      </c>
      <c r="B62" s="56" t="s">
        <v>50</v>
      </c>
      <c r="C62" s="56" t="s">
        <v>44</v>
      </c>
      <c r="D62" s="56" t="s">
        <v>29</v>
      </c>
      <c r="E62" s="56" t="s">
        <v>56</v>
      </c>
      <c r="F62" s="56"/>
      <c r="G62" s="57">
        <v>95110.40000000001</v>
      </c>
      <c r="H62" s="49"/>
      <c r="I62" s="49"/>
      <c r="J62" s="49"/>
      <c r="K62" s="49"/>
      <c r="L62" s="49"/>
      <c r="M62" s="49"/>
      <c r="N62" s="49"/>
      <c r="O62" s="49"/>
      <c r="P62" s="49"/>
    </row>
    <row r="63" ht="12.0" customHeight="1">
      <c r="A63" s="56" t="s">
        <v>85</v>
      </c>
      <c r="B63" s="56" t="s">
        <v>50</v>
      </c>
      <c r="C63" s="56" t="s">
        <v>44</v>
      </c>
      <c r="D63" s="56" t="s">
        <v>29</v>
      </c>
      <c r="E63" s="56" t="s">
        <v>56</v>
      </c>
      <c r="F63" s="56"/>
      <c r="G63" s="57">
        <v>136290.0</v>
      </c>
      <c r="H63" s="49"/>
      <c r="I63" s="49"/>
      <c r="J63" s="49"/>
      <c r="K63" s="49"/>
      <c r="L63" s="49"/>
      <c r="M63" s="49"/>
      <c r="N63" s="49"/>
      <c r="O63" s="49"/>
      <c r="P63" s="49"/>
    </row>
    <row r="64" ht="12.0" customHeight="1">
      <c r="A64" s="56" t="s">
        <v>85</v>
      </c>
      <c r="B64" s="56" t="s">
        <v>50</v>
      </c>
      <c r="C64" s="56" t="s">
        <v>44</v>
      </c>
      <c r="D64" s="56" t="s">
        <v>29</v>
      </c>
      <c r="E64" s="56" t="s">
        <v>59</v>
      </c>
      <c r="F64" s="56"/>
      <c r="G64" s="57">
        <v>117233.6</v>
      </c>
      <c r="H64" s="49"/>
      <c r="I64" s="49"/>
      <c r="J64" s="49"/>
      <c r="K64" s="49"/>
      <c r="L64" s="49"/>
      <c r="M64" s="49"/>
      <c r="N64" s="49"/>
      <c r="O64" s="49"/>
      <c r="P64" s="49"/>
    </row>
    <row r="65" ht="12.0" customHeight="1">
      <c r="A65" s="56" t="s">
        <v>85</v>
      </c>
      <c r="B65" s="56" t="s">
        <v>50</v>
      </c>
      <c r="C65" s="56" t="s">
        <v>44</v>
      </c>
      <c r="D65" s="56" t="s">
        <v>30</v>
      </c>
      <c r="E65" s="56" t="s">
        <v>6</v>
      </c>
      <c r="F65" s="56"/>
      <c r="G65" s="57">
        <v>51044.4</v>
      </c>
      <c r="H65" s="49"/>
      <c r="I65" s="49"/>
      <c r="J65" s="49"/>
      <c r="K65" s="49"/>
      <c r="L65" s="49"/>
      <c r="M65" s="49"/>
      <c r="N65" s="49"/>
      <c r="O65" s="49"/>
      <c r="P65" s="49"/>
    </row>
    <row r="66" ht="12.0" customHeight="1">
      <c r="A66" s="56" t="s">
        <v>85</v>
      </c>
      <c r="B66" s="56" t="s">
        <v>50</v>
      </c>
      <c r="C66" s="56" t="s">
        <v>44</v>
      </c>
      <c r="D66" s="56" t="s">
        <v>30</v>
      </c>
      <c r="E66" s="56" t="s">
        <v>6</v>
      </c>
      <c r="F66" s="56"/>
      <c r="G66" s="57">
        <v>0.0</v>
      </c>
      <c r="H66" s="49"/>
      <c r="I66" s="49"/>
      <c r="J66" s="49"/>
      <c r="K66" s="49"/>
      <c r="L66" s="49"/>
      <c r="M66" s="49"/>
      <c r="N66" s="49"/>
      <c r="O66" s="49"/>
      <c r="P66" s="49"/>
    </row>
    <row r="67" ht="12.0" customHeight="1">
      <c r="A67" s="56" t="s">
        <v>85</v>
      </c>
      <c r="B67" s="56" t="s">
        <v>50</v>
      </c>
      <c r="C67" s="56" t="s">
        <v>44</v>
      </c>
      <c r="D67" s="56" t="s">
        <v>30</v>
      </c>
      <c r="E67" s="56" t="s">
        <v>5</v>
      </c>
      <c r="F67" s="56"/>
      <c r="G67" s="57">
        <v>60500.00000000001</v>
      </c>
      <c r="H67" s="49"/>
      <c r="I67" s="49"/>
      <c r="J67" s="49"/>
      <c r="K67" s="49"/>
      <c r="L67" s="49"/>
      <c r="M67" s="49"/>
      <c r="N67" s="49"/>
      <c r="O67" s="49"/>
      <c r="P67" s="49"/>
    </row>
    <row r="68" ht="12.0" customHeight="1">
      <c r="A68" s="56" t="s">
        <v>85</v>
      </c>
      <c r="B68" s="56" t="s">
        <v>50</v>
      </c>
      <c r="C68" s="56" t="s">
        <v>44</v>
      </c>
      <c r="D68" s="56" t="s">
        <v>30</v>
      </c>
      <c r="E68" s="56" t="s">
        <v>5</v>
      </c>
      <c r="F68" s="56"/>
      <c r="G68" s="57">
        <v>16733.2</v>
      </c>
      <c r="H68" s="49"/>
      <c r="I68" s="49"/>
      <c r="J68" s="49"/>
      <c r="K68" s="49"/>
      <c r="L68" s="49"/>
      <c r="M68" s="49"/>
      <c r="N68" s="49"/>
      <c r="O68" s="49"/>
      <c r="P68" s="49"/>
    </row>
    <row r="69" ht="12.0" customHeight="1">
      <c r="A69" s="56" t="s">
        <v>85</v>
      </c>
      <c r="B69" s="56" t="s">
        <v>50</v>
      </c>
      <c r="C69" s="56" t="s">
        <v>44</v>
      </c>
      <c r="D69" s="56" t="s">
        <v>30</v>
      </c>
      <c r="E69" s="56" t="s">
        <v>61</v>
      </c>
      <c r="F69" s="56"/>
      <c r="G69" s="57">
        <v>140800.0</v>
      </c>
      <c r="H69" s="49"/>
      <c r="I69" s="49"/>
      <c r="J69" s="49"/>
      <c r="K69" s="49"/>
      <c r="L69" s="49"/>
      <c r="M69" s="49"/>
      <c r="N69" s="49"/>
      <c r="O69" s="49"/>
      <c r="P69" s="49"/>
    </row>
    <row r="70" ht="12.0" customHeight="1">
      <c r="A70" s="56" t="s">
        <v>85</v>
      </c>
      <c r="B70" s="56" t="s">
        <v>50</v>
      </c>
      <c r="C70" s="56" t="s">
        <v>74</v>
      </c>
      <c r="D70" s="56" t="s">
        <v>25</v>
      </c>
      <c r="E70" s="56" t="s">
        <v>75</v>
      </c>
      <c r="F70" s="56"/>
      <c r="G70" s="57">
        <v>58361.600000000006</v>
      </c>
      <c r="H70" s="49"/>
      <c r="I70" s="49"/>
      <c r="J70" s="49"/>
      <c r="K70" s="49"/>
      <c r="L70" s="49"/>
      <c r="M70" s="49"/>
      <c r="N70" s="49"/>
      <c r="O70" s="49"/>
      <c r="P70" s="49"/>
    </row>
    <row r="71" ht="12.0" customHeight="1">
      <c r="A71" s="56" t="s">
        <v>85</v>
      </c>
      <c r="B71" s="56" t="s">
        <v>50</v>
      </c>
      <c r="C71" s="56" t="s">
        <v>74</v>
      </c>
      <c r="D71" s="56" t="s">
        <v>25</v>
      </c>
      <c r="E71" s="56" t="s">
        <v>75</v>
      </c>
      <c r="F71" s="56"/>
      <c r="G71" s="57">
        <v>-149.60000000000002</v>
      </c>
      <c r="H71" s="49"/>
      <c r="I71" s="49"/>
      <c r="J71" s="49"/>
      <c r="K71" s="49"/>
      <c r="L71" s="49"/>
      <c r="M71" s="49"/>
      <c r="N71" s="49"/>
      <c r="O71" s="49"/>
      <c r="P71" s="49"/>
    </row>
    <row r="72" ht="12.0" customHeight="1">
      <c r="A72" s="56" t="s">
        <v>85</v>
      </c>
      <c r="B72" s="56" t="s">
        <v>50</v>
      </c>
      <c r="C72" s="56" t="s">
        <v>74</v>
      </c>
      <c r="D72" s="56" t="s">
        <v>25</v>
      </c>
      <c r="E72" s="56" t="s">
        <v>75</v>
      </c>
      <c r="F72" s="56"/>
      <c r="G72" s="57">
        <v>-211.20000000000002</v>
      </c>
      <c r="H72" s="49"/>
      <c r="I72" s="49"/>
      <c r="J72" s="49"/>
      <c r="K72" s="49"/>
      <c r="L72" s="49"/>
      <c r="M72" s="49"/>
      <c r="N72" s="49"/>
      <c r="O72" s="49"/>
      <c r="P72" s="49"/>
    </row>
    <row r="73" ht="12.0" customHeight="1">
      <c r="A73" s="56" t="s">
        <v>85</v>
      </c>
      <c r="B73" s="56" t="s">
        <v>50</v>
      </c>
      <c r="C73" s="56" t="s">
        <v>74</v>
      </c>
      <c r="D73" s="56" t="s">
        <v>25</v>
      </c>
      <c r="E73" s="56" t="s">
        <v>75</v>
      </c>
      <c r="F73" s="56"/>
      <c r="G73" s="57">
        <v>20367.600000000002</v>
      </c>
      <c r="H73" s="49"/>
      <c r="I73" s="49"/>
      <c r="J73" s="49"/>
      <c r="K73" s="49"/>
      <c r="L73" s="49"/>
      <c r="M73" s="49"/>
      <c r="N73" s="49"/>
      <c r="O73" s="49"/>
      <c r="P73" s="49"/>
    </row>
    <row r="74" ht="12.0" customHeight="1">
      <c r="A74" s="56" t="s">
        <v>85</v>
      </c>
      <c r="B74" s="56" t="s">
        <v>50</v>
      </c>
      <c r="C74" s="56" t="s">
        <v>74</v>
      </c>
      <c r="D74" s="56" t="s">
        <v>25</v>
      </c>
      <c r="E74" s="56" t="s">
        <v>75</v>
      </c>
      <c r="F74" s="56"/>
      <c r="G74" s="57">
        <v>-184.8</v>
      </c>
      <c r="H74" s="49"/>
      <c r="I74" s="49"/>
      <c r="J74" s="49"/>
      <c r="K74" s="49"/>
      <c r="L74" s="49"/>
      <c r="M74" s="49"/>
      <c r="N74" s="49"/>
      <c r="O74" s="49"/>
      <c r="P74" s="49"/>
    </row>
    <row r="75" ht="12.0" customHeight="1">
      <c r="A75" s="56" t="s">
        <v>85</v>
      </c>
      <c r="B75" s="56" t="s">
        <v>50</v>
      </c>
      <c r="C75" s="56" t="s">
        <v>74</v>
      </c>
      <c r="D75" s="56" t="s">
        <v>25</v>
      </c>
      <c r="E75" s="56" t="s">
        <v>75</v>
      </c>
      <c r="F75" s="56"/>
      <c r="G75" s="57">
        <v>-136.4</v>
      </c>
      <c r="H75" s="49"/>
      <c r="I75" s="49"/>
      <c r="J75" s="49"/>
      <c r="K75" s="49"/>
      <c r="L75" s="49"/>
      <c r="M75" s="49"/>
      <c r="N75" s="49"/>
      <c r="O75" s="49"/>
      <c r="P75" s="49"/>
    </row>
    <row r="76" ht="12.0" customHeight="1">
      <c r="A76" s="56" t="s">
        <v>85</v>
      </c>
      <c r="B76" s="56" t="s">
        <v>50</v>
      </c>
      <c r="C76" s="56" t="s">
        <v>74</v>
      </c>
      <c r="D76" s="56" t="s">
        <v>25</v>
      </c>
      <c r="E76" s="56" t="s">
        <v>75</v>
      </c>
      <c r="F76" s="56"/>
      <c r="G76" s="57">
        <v>-132.0</v>
      </c>
      <c r="H76" s="49"/>
      <c r="I76" s="49"/>
      <c r="J76" s="49"/>
      <c r="K76" s="49"/>
      <c r="L76" s="49"/>
      <c r="M76" s="49"/>
      <c r="N76" s="49"/>
      <c r="O76" s="49"/>
      <c r="P76" s="49"/>
    </row>
    <row r="77" ht="12.0" customHeight="1">
      <c r="A77" s="56" t="s">
        <v>85</v>
      </c>
      <c r="B77" s="56" t="s">
        <v>50</v>
      </c>
      <c r="C77" s="56" t="s">
        <v>74</v>
      </c>
      <c r="D77" s="56" t="s">
        <v>25</v>
      </c>
      <c r="E77" s="56" t="s">
        <v>76</v>
      </c>
      <c r="F77" s="56"/>
      <c r="G77" s="57">
        <v>45905.200000000004</v>
      </c>
      <c r="H77" s="49"/>
      <c r="I77" s="49"/>
      <c r="J77" s="49"/>
      <c r="K77" s="49"/>
      <c r="L77" s="49"/>
      <c r="M77" s="49"/>
      <c r="N77" s="49"/>
      <c r="O77" s="49"/>
      <c r="P77" s="49"/>
    </row>
    <row r="78" ht="12.0" customHeight="1">
      <c r="A78" s="56" t="s">
        <v>85</v>
      </c>
      <c r="B78" s="56" t="s">
        <v>50</v>
      </c>
      <c r="C78" s="56" t="s">
        <v>74</v>
      </c>
      <c r="D78" s="56" t="s">
        <v>25</v>
      </c>
      <c r="E78" s="56" t="s">
        <v>76</v>
      </c>
      <c r="F78" s="56"/>
      <c r="G78" s="57">
        <v>55712.8</v>
      </c>
      <c r="H78" s="49"/>
      <c r="I78" s="49"/>
      <c r="J78" s="49"/>
      <c r="K78" s="49"/>
      <c r="L78" s="49"/>
      <c r="M78" s="49"/>
      <c r="N78" s="49"/>
      <c r="O78" s="49"/>
      <c r="P78" s="49"/>
    </row>
    <row r="79" ht="12.0" customHeight="1">
      <c r="A79" s="56" t="s">
        <v>85</v>
      </c>
      <c r="B79" s="56" t="s">
        <v>50</v>
      </c>
      <c r="C79" s="56" t="s">
        <v>74</v>
      </c>
      <c r="D79" s="56" t="s">
        <v>25</v>
      </c>
      <c r="E79" s="56" t="s">
        <v>7</v>
      </c>
      <c r="F79" s="56"/>
      <c r="G79" s="57">
        <v>90340.8</v>
      </c>
      <c r="H79" s="49"/>
      <c r="I79" s="49"/>
      <c r="J79" s="49"/>
      <c r="K79" s="49"/>
      <c r="L79" s="49"/>
      <c r="M79" s="49"/>
      <c r="N79" s="49"/>
      <c r="O79" s="49"/>
      <c r="P79" s="49"/>
    </row>
    <row r="80" ht="12.0" customHeight="1">
      <c r="A80" s="56" t="s">
        <v>85</v>
      </c>
      <c r="B80" s="56" t="s">
        <v>50</v>
      </c>
      <c r="C80" s="56" t="s">
        <v>74</v>
      </c>
      <c r="D80" s="56" t="s">
        <v>25</v>
      </c>
      <c r="E80" s="56" t="s">
        <v>7</v>
      </c>
      <c r="F80" s="56"/>
      <c r="G80" s="57">
        <v>44506.0</v>
      </c>
      <c r="H80" s="49"/>
      <c r="I80" s="49"/>
      <c r="J80" s="49"/>
      <c r="K80" s="49"/>
      <c r="L80" s="49"/>
      <c r="M80" s="49"/>
      <c r="N80" s="49"/>
      <c r="O80" s="49"/>
      <c r="P80" s="49"/>
    </row>
    <row r="81" ht="12.0" customHeight="1">
      <c r="A81" s="56" t="s">
        <v>85</v>
      </c>
      <c r="B81" s="56" t="s">
        <v>50</v>
      </c>
      <c r="C81" s="56" t="s">
        <v>74</v>
      </c>
      <c r="D81" s="56" t="s">
        <v>25</v>
      </c>
      <c r="E81" s="56" t="s">
        <v>7</v>
      </c>
      <c r="F81" s="56"/>
      <c r="G81" s="57">
        <v>40739.600000000006</v>
      </c>
      <c r="H81" s="49"/>
      <c r="I81" s="49"/>
      <c r="J81" s="49"/>
      <c r="K81" s="49"/>
      <c r="L81" s="49"/>
      <c r="M81" s="49"/>
      <c r="N81" s="49"/>
      <c r="O81" s="49"/>
      <c r="P81" s="49"/>
    </row>
    <row r="82" ht="12.0" customHeight="1">
      <c r="A82" s="56" t="s">
        <v>85</v>
      </c>
      <c r="B82" s="56" t="s">
        <v>50</v>
      </c>
      <c r="C82" s="56" t="s">
        <v>74</v>
      </c>
      <c r="D82" s="56" t="s">
        <v>27</v>
      </c>
      <c r="E82" s="56" t="s">
        <v>78</v>
      </c>
      <c r="F82" s="56"/>
      <c r="G82" s="57">
        <v>90340.8</v>
      </c>
      <c r="H82" s="49"/>
      <c r="I82" s="49"/>
      <c r="J82" s="49"/>
      <c r="K82" s="49"/>
      <c r="L82" s="49"/>
      <c r="M82" s="49"/>
      <c r="N82" s="49"/>
      <c r="O82" s="49"/>
      <c r="P82" s="49"/>
    </row>
    <row r="83" ht="12.0" customHeight="1">
      <c r="A83" s="56" t="s">
        <v>85</v>
      </c>
      <c r="B83" s="56" t="s">
        <v>50</v>
      </c>
      <c r="C83" s="56" t="s">
        <v>74</v>
      </c>
      <c r="D83" s="56" t="s">
        <v>27</v>
      </c>
      <c r="E83" s="56" t="s">
        <v>78</v>
      </c>
      <c r="F83" s="56"/>
      <c r="G83" s="57">
        <v>73669.20000000001</v>
      </c>
      <c r="H83" s="49"/>
      <c r="I83" s="49"/>
      <c r="J83" s="49"/>
      <c r="K83" s="49"/>
      <c r="L83" s="49"/>
      <c r="M83" s="49"/>
      <c r="N83" s="49"/>
      <c r="O83" s="49"/>
      <c r="P83" s="49"/>
    </row>
    <row r="84" ht="12.0" customHeight="1">
      <c r="A84" s="56" t="s">
        <v>85</v>
      </c>
      <c r="B84" s="56" t="s">
        <v>50</v>
      </c>
      <c r="C84" s="56" t="s">
        <v>74</v>
      </c>
      <c r="D84" s="56" t="s">
        <v>27</v>
      </c>
      <c r="E84" s="56" t="s">
        <v>78</v>
      </c>
      <c r="F84" s="56"/>
      <c r="G84" s="57">
        <v>76234.40000000001</v>
      </c>
      <c r="H84" s="49"/>
      <c r="I84" s="49"/>
      <c r="J84" s="49"/>
      <c r="K84" s="49"/>
      <c r="L84" s="49"/>
      <c r="M84" s="49"/>
      <c r="N84" s="49"/>
      <c r="O84" s="49"/>
      <c r="P84" s="49"/>
    </row>
    <row r="85" ht="12.0" customHeight="1">
      <c r="A85" s="56" t="s">
        <v>85</v>
      </c>
      <c r="B85" s="56" t="s">
        <v>50</v>
      </c>
      <c r="C85" s="56" t="s">
        <v>74</v>
      </c>
      <c r="D85" s="56" t="s">
        <v>27</v>
      </c>
      <c r="E85" s="56" t="s">
        <v>78</v>
      </c>
      <c r="F85" s="56"/>
      <c r="G85" s="57">
        <v>82570.40000000001</v>
      </c>
      <c r="H85" s="49"/>
      <c r="I85" s="49"/>
      <c r="J85" s="49"/>
      <c r="K85" s="49"/>
      <c r="L85" s="49"/>
      <c r="M85" s="49"/>
      <c r="N85" s="49"/>
      <c r="O85" s="49"/>
      <c r="P85" s="49"/>
    </row>
    <row r="86" ht="12.0" customHeight="1">
      <c r="A86" s="56" t="s">
        <v>85</v>
      </c>
      <c r="B86" s="56" t="s">
        <v>50</v>
      </c>
      <c r="C86" s="56" t="s">
        <v>44</v>
      </c>
      <c r="D86" s="56" t="s">
        <v>28</v>
      </c>
      <c r="E86" s="56" t="s">
        <v>51</v>
      </c>
      <c r="F86" s="56"/>
      <c r="G86" s="57">
        <v>20662.4</v>
      </c>
      <c r="H86" s="49"/>
      <c r="I86" s="49"/>
      <c r="J86" s="49"/>
      <c r="K86" s="49"/>
      <c r="L86" s="49"/>
      <c r="M86" s="49"/>
      <c r="N86" s="49"/>
      <c r="O86" s="49"/>
      <c r="P86" s="49"/>
    </row>
    <row r="87" ht="12.0" customHeight="1">
      <c r="A87" s="56" t="s">
        <v>85</v>
      </c>
      <c r="B87" s="56" t="s">
        <v>50</v>
      </c>
      <c r="C87" s="56" t="s">
        <v>44</v>
      </c>
      <c r="D87" s="56" t="s">
        <v>28</v>
      </c>
      <c r="E87" s="56" t="s">
        <v>51</v>
      </c>
      <c r="F87" s="56"/>
      <c r="G87" s="57">
        <v>137469.2</v>
      </c>
      <c r="H87" s="49"/>
      <c r="I87" s="49"/>
      <c r="J87" s="49"/>
      <c r="K87" s="49"/>
      <c r="L87" s="49"/>
      <c r="M87" s="49"/>
      <c r="N87" s="49"/>
      <c r="O87" s="49"/>
      <c r="P87" s="49"/>
    </row>
    <row r="88" ht="12.0" customHeight="1">
      <c r="A88" s="56" t="s">
        <v>85</v>
      </c>
      <c r="B88" s="56" t="s">
        <v>50</v>
      </c>
      <c r="C88" s="56" t="s">
        <v>44</v>
      </c>
      <c r="D88" s="56" t="s">
        <v>28</v>
      </c>
      <c r="E88" s="56" t="s">
        <v>51</v>
      </c>
      <c r="F88" s="56"/>
      <c r="G88" s="57">
        <v>34368.4</v>
      </c>
      <c r="H88" s="49"/>
      <c r="I88" s="49"/>
      <c r="J88" s="49"/>
      <c r="K88" s="49"/>
      <c r="L88" s="49"/>
      <c r="M88" s="49"/>
      <c r="N88" s="49"/>
      <c r="O88" s="49"/>
      <c r="P88" s="49"/>
    </row>
    <row r="89" ht="12.0" customHeight="1">
      <c r="A89" s="56" t="s">
        <v>85</v>
      </c>
      <c r="B89" s="56" t="s">
        <v>50</v>
      </c>
      <c r="C89" s="56" t="s">
        <v>44</v>
      </c>
      <c r="D89" s="56" t="s">
        <v>29</v>
      </c>
      <c r="E89" s="56" t="s">
        <v>56</v>
      </c>
      <c r="F89" s="56"/>
      <c r="G89" s="57">
        <v>123714.8</v>
      </c>
      <c r="H89" s="49"/>
      <c r="I89" s="49"/>
      <c r="J89" s="49"/>
      <c r="K89" s="49"/>
      <c r="L89" s="49"/>
      <c r="M89" s="49"/>
      <c r="N89" s="49"/>
      <c r="O89" s="49"/>
      <c r="P89" s="49"/>
    </row>
    <row r="90" ht="12.0" customHeight="1">
      <c r="A90" s="56" t="s">
        <v>85</v>
      </c>
      <c r="B90" s="56" t="s">
        <v>50</v>
      </c>
      <c r="C90" s="56" t="s">
        <v>44</v>
      </c>
      <c r="D90" s="56" t="s">
        <v>29</v>
      </c>
      <c r="E90" s="56" t="s">
        <v>56</v>
      </c>
      <c r="F90" s="56"/>
      <c r="G90" s="57">
        <v>93293.20000000001</v>
      </c>
      <c r="H90" s="49"/>
      <c r="I90" s="49"/>
      <c r="J90" s="49"/>
      <c r="K90" s="49"/>
      <c r="L90" s="49"/>
      <c r="M90" s="49"/>
      <c r="N90" s="49"/>
      <c r="O90" s="49"/>
      <c r="P90" s="49"/>
    </row>
    <row r="91" ht="12.0" customHeight="1">
      <c r="A91" s="56" t="s">
        <v>85</v>
      </c>
      <c r="B91" s="56" t="s">
        <v>50</v>
      </c>
      <c r="C91" s="56" t="s">
        <v>44</v>
      </c>
      <c r="D91" s="56" t="s">
        <v>29</v>
      </c>
      <c r="E91" s="56" t="s">
        <v>56</v>
      </c>
      <c r="F91" s="56"/>
      <c r="G91" s="57">
        <v>95616.40000000001</v>
      </c>
      <c r="H91" s="49"/>
      <c r="I91" s="49"/>
      <c r="J91" s="49"/>
      <c r="K91" s="49"/>
      <c r="L91" s="49"/>
      <c r="M91" s="49"/>
      <c r="N91" s="49"/>
      <c r="O91" s="49"/>
      <c r="P91" s="49"/>
    </row>
    <row r="92" ht="12.0" customHeight="1">
      <c r="A92" s="56" t="s">
        <v>85</v>
      </c>
      <c r="B92" s="56" t="s">
        <v>50</v>
      </c>
      <c r="C92" s="56" t="s">
        <v>44</v>
      </c>
      <c r="D92" s="56" t="s">
        <v>29</v>
      </c>
      <c r="E92" s="56" t="s">
        <v>56</v>
      </c>
      <c r="F92" s="56"/>
      <c r="G92" s="57">
        <v>75627.20000000001</v>
      </c>
      <c r="H92" s="49"/>
      <c r="I92" s="49"/>
      <c r="J92" s="49"/>
      <c r="K92" s="49"/>
      <c r="L92" s="49"/>
      <c r="M92" s="49"/>
      <c r="N92" s="49"/>
      <c r="O92" s="49"/>
      <c r="P92" s="49"/>
    </row>
    <row r="93" ht="12.0" customHeight="1">
      <c r="A93" s="56" t="s">
        <v>85</v>
      </c>
      <c r="B93" s="56" t="s">
        <v>50</v>
      </c>
      <c r="C93" s="56" t="s">
        <v>44</v>
      </c>
      <c r="D93" s="56" t="s">
        <v>29</v>
      </c>
      <c r="E93" s="56" t="s">
        <v>56</v>
      </c>
      <c r="F93" s="56"/>
      <c r="G93" s="57">
        <v>103100.8</v>
      </c>
      <c r="H93" s="49"/>
      <c r="I93" s="49"/>
      <c r="J93" s="49"/>
      <c r="K93" s="49"/>
      <c r="L93" s="49"/>
      <c r="M93" s="49"/>
      <c r="N93" s="49"/>
      <c r="O93" s="49"/>
      <c r="P93" s="49"/>
    </row>
    <row r="94" ht="12.0" customHeight="1">
      <c r="A94" s="56" t="s">
        <v>85</v>
      </c>
      <c r="B94" s="56" t="s">
        <v>50</v>
      </c>
      <c r="C94" s="56" t="s">
        <v>44</v>
      </c>
      <c r="D94" s="56" t="s">
        <v>29</v>
      </c>
      <c r="E94" s="56" t="s">
        <v>56</v>
      </c>
      <c r="F94" s="56"/>
      <c r="G94" s="57">
        <v>93966.40000000001</v>
      </c>
      <c r="H94" s="49"/>
      <c r="I94" s="49"/>
      <c r="J94" s="49"/>
      <c r="K94" s="49"/>
      <c r="L94" s="49"/>
      <c r="M94" s="49"/>
      <c r="N94" s="49"/>
      <c r="O94" s="49"/>
      <c r="P94" s="49"/>
    </row>
    <row r="95" ht="12.0" customHeight="1">
      <c r="A95" s="56" t="s">
        <v>85</v>
      </c>
      <c r="B95" s="56" t="s">
        <v>50</v>
      </c>
      <c r="C95" s="56" t="s">
        <v>44</v>
      </c>
      <c r="D95" s="56" t="s">
        <v>29</v>
      </c>
      <c r="E95" s="56" t="s">
        <v>56</v>
      </c>
      <c r="F95" s="56"/>
      <c r="G95" s="57">
        <v>78993.20000000001</v>
      </c>
      <c r="H95" s="49"/>
      <c r="I95" s="49"/>
      <c r="J95" s="49"/>
      <c r="K95" s="49"/>
      <c r="L95" s="49"/>
      <c r="M95" s="49"/>
      <c r="N95" s="49"/>
      <c r="O95" s="49"/>
      <c r="P95" s="49"/>
    </row>
    <row r="96" ht="12.0" customHeight="1">
      <c r="A96" s="56" t="s">
        <v>85</v>
      </c>
      <c r="B96" s="56" t="s">
        <v>50</v>
      </c>
      <c r="C96" s="56" t="s">
        <v>44</v>
      </c>
      <c r="D96" s="56" t="s">
        <v>29</v>
      </c>
      <c r="E96" s="56" t="s">
        <v>59</v>
      </c>
      <c r="F96" s="56"/>
      <c r="G96" s="57">
        <v>62788.00000000001</v>
      </c>
      <c r="H96" s="49"/>
      <c r="I96" s="49"/>
      <c r="J96" s="49"/>
      <c r="K96" s="49"/>
      <c r="L96" s="49"/>
      <c r="M96" s="49"/>
      <c r="N96" s="49"/>
      <c r="O96" s="49"/>
      <c r="P96" s="49"/>
    </row>
    <row r="97" ht="12.0" customHeight="1">
      <c r="A97" s="56" t="s">
        <v>85</v>
      </c>
      <c r="B97" s="56" t="s">
        <v>50</v>
      </c>
      <c r="C97" s="56" t="s">
        <v>44</v>
      </c>
      <c r="D97" s="56" t="s">
        <v>29</v>
      </c>
      <c r="E97" s="56" t="s">
        <v>59</v>
      </c>
      <c r="F97" s="56"/>
      <c r="G97" s="57">
        <v>47806.00000000001</v>
      </c>
      <c r="H97" s="49"/>
      <c r="I97" s="49"/>
      <c r="J97" s="49"/>
      <c r="K97" s="49"/>
      <c r="L97" s="49"/>
      <c r="M97" s="49"/>
      <c r="N97" s="49"/>
      <c r="O97" s="49"/>
      <c r="P97" s="49"/>
    </row>
    <row r="98" ht="12.0" customHeight="1">
      <c r="A98" s="56" t="s">
        <v>85</v>
      </c>
      <c r="B98" s="56" t="s">
        <v>50</v>
      </c>
      <c r="C98" s="56" t="s">
        <v>44</v>
      </c>
      <c r="D98" s="56" t="s">
        <v>29</v>
      </c>
      <c r="E98" s="56" t="s">
        <v>59</v>
      </c>
      <c r="F98" s="56"/>
      <c r="G98" s="57">
        <v>106594.40000000001</v>
      </c>
      <c r="H98" s="49"/>
      <c r="I98" s="49"/>
      <c r="J98" s="49"/>
      <c r="K98" s="49"/>
      <c r="L98" s="49"/>
      <c r="M98" s="49"/>
      <c r="N98" s="49"/>
      <c r="O98" s="49"/>
      <c r="P98" s="49"/>
    </row>
    <row r="99" ht="12.0" customHeight="1">
      <c r="A99" s="56" t="s">
        <v>85</v>
      </c>
      <c r="B99" s="56" t="s">
        <v>50</v>
      </c>
      <c r="C99" s="56" t="s">
        <v>44</v>
      </c>
      <c r="D99" s="56" t="s">
        <v>29</v>
      </c>
      <c r="E99" s="56" t="s">
        <v>59</v>
      </c>
      <c r="F99" s="56"/>
      <c r="G99" s="57">
        <v>57345.200000000004</v>
      </c>
      <c r="H99" s="49"/>
      <c r="I99" s="49"/>
      <c r="J99" s="49"/>
      <c r="K99" s="49"/>
      <c r="L99" s="49"/>
      <c r="M99" s="49"/>
      <c r="N99" s="49"/>
      <c r="O99" s="49"/>
      <c r="P99" s="49"/>
    </row>
    <row r="100" ht="12.0" customHeight="1">
      <c r="A100" s="56" t="s">
        <v>85</v>
      </c>
      <c r="B100" s="56" t="s">
        <v>50</v>
      </c>
      <c r="C100" s="56" t="s">
        <v>44</v>
      </c>
      <c r="D100" s="56" t="s">
        <v>30</v>
      </c>
      <c r="E100" s="56" t="s">
        <v>6</v>
      </c>
      <c r="F100" s="56"/>
      <c r="G100" s="57">
        <v>-616.0</v>
      </c>
      <c r="H100" s="49"/>
      <c r="I100" s="49"/>
      <c r="J100" s="49"/>
      <c r="K100" s="49"/>
      <c r="L100" s="49"/>
      <c r="M100" s="49"/>
      <c r="N100" s="49"/>
      <c r="O100" s="49"/>
      <c r="P100" s="49"/>
    </row>
    <row r="101" ht="12.0" customHeight="1">
      <c r="A101" s="56" t="s">
        <v>85</v>
      </c>
      <c r="B101" s="56" t="s">
        <v>50</v>
      </c>
      <c r="C101" s="56" t="s">
        <v>44</v>
      </c>
      <c r="D101" s="56" t="s">
        <v>30</v>
      </c>
      <c r="E101" s="56" t="s">
        <v>6</v>
      </c>
      <c r="F101" s="56"/>
      <c r="G101" s="57">
        <v>37655.200000000004</v>
      </c>
      <c r="H101" s="49"/>
      <c r="I101" s="49"/>
      <c r="J101" s="49"/>
      <c r="K101" s="49"/>
      <c r="L101" s="49"/>
      <c r="M101" s="49"/>
      <c r="N101" s="49"/>
      <c r="O101" s="49"/>
      <c r="P101" s="49"/>
    </row>
    <row r="102" ht="12.0" customHeight="1">
      <c r="A102" s="56" t="s">
        <v>85</v>
      </c>
      <c r="B102" s="56" t="s">
        <v>50</v>
      </c>
      <c r="C102" s="56" t="s">
        <v>44</v>
      </c>
      <c r="D102" s="56" t="s">
        <v>30</v>
      </c>
      <c r="E102" s="56" t="s">
        <v>5</v>
      </c>
      <c r="F102" s="56"/>
      <c r="G102" s="57">
        <v>50344.8</v>
      </c>
      <c r="H102" s="49"/>
      <c r="I102" s="49"/>
      <c r="J102" s="49"/>
      <c r="K102" s="49"/>
      <c r="L102" s="49"/>
      <c r="M102" s="49"/>
      <c r="N102" s="49"/>
      <c r="O102" s="49"/>
      <c r="P102" s="49"/>
    </row>
    <row r="103" ht="12.0" customHeight="1">
      <c r="A103" s="56" t="s">
        <v>85</v>
      </c>
      <c r="B103" s="56" t="s">
        <v>50</v>
      </c>
      <c r="C103" s="56" t="s">
        <v>44</v>
      </c>
      <c r="D103" s="56" t="s">
        <v>30</v>
      </c>
      <c r="E103" s="56" t="s">
        <v>5</v>
      </c>
      <c r="F103" s="56"/>
      <c r="G103" s="57">
        <v>33083.600000000006</v>
      </c>
      <c r="H103" s="49"/>
      <c r="I103" s="49"/>
      <c r="J103" s="49"/>
      <c r="K103" s="49"/>
      <c r="L103" s="49"/>
      <c r="M103" s="49"/>
      <c r="N103" s="49"/>
      <c r="O103" s="49"/>
      <c r="P103" s="49"/>
    </row>
    <row r="104" ht="12.0" customHeight="1">
      <c r="A104" s="56" t="s">
        <v>85</v>
      </c>
      <c r="B104" s="56" t="s">
        <v>50</v>
      </c>
      <c r="C104" s="56" t="s">
        <v>44</v>
      </c>
      <c r="D104" s="56" t="s">
        <v>30</v>
      </c>
      <c r="E104" s="56" t="s">
        <v>5</v>
      </c>
      <c r="F104" s="56"/>
      <c r="G104" s="57">
        <v>52874.8</v>
      </c>
      <c r="H104" s="49"/>
      <c r="I104" s="49"/>
      <c r="J104" s="49"/>
      <c r="K104" s="49"/>
      <c r="L104" s="49"/>
      <c r="M104" s="49"/>
      <c r="N104" s="49"/>
      <c r="O104" s="49"/>
      <c r="P104" s="49"/>
    </row>
    <row r="105" ht="12.0" customHeight="1">
      <c r="A105" s="56" t="s">
        <v>85</v>
      </c>
      <c r="B105" s="56" t="s">
        <v>50</v>
      </c>
      <c r="C105" s="56" t="s">
        <v>44</v>
      </c>
      <c r="D105" s="56" t="s">
        <v>30</v>
      </c>
      <c r="E105" s="56" t="s">
        <v>5</v>
      </c>
      <c r="F105" s="56"/>
      <c r="G105" s="57">
        <v>0.0</v>
      </c>
      <c r="H105" s="49"/>
      <c r="I105" s="49"/>
      <c r="J105" s="49"/>
      <c r="K105" s="49"/>
      <c r="L105" s="49"/>
      <c r="M105" s="49"/>
      <c r="N105" s="49"/>
      <c r="O105" s="49"/>
      <c r="P105" s="49"/>
    </row>
    <row r="106" ht="12.0" customHeight="1">
      <c r="A106" s="56" t="s">
        <v>85</v>
      </c>
      <c r="B106" s="56" t="s">
        <v>50</v>
      </c>
      <c r="C106" s="56" t="s">
        <v>44</v>
      </c>
      <c r="D106" s="56" t="s">
        <v>30</v>
      </c>
      <c r="E106" s="56" t="s">
        <v>5</v>
      </c>
      <c r="F106" s="56"/>
      <c r="G106" s="57">
        <v>0.0</v>
      </c>
      <c r="H106" s="49"/>
      <c r="I106" s="49"/>
      <c r="J106" s="49"/>
      <c r="K106" s="49"/>
      <c r="L106" s="49"/>
      <c r="M106" s="49"/>
      <c r="N106" s="49"/>
      <c r="O106" s="49"/>
      <c r="P106" s="49"/>
    </row>
    <row r="107" ht="12.0" customHeight="1">
      <c r="A107" s="56" t="s">
        <v>85</v>
      </c>
      <c r="B107" s="56" t="s">
        <v>50</v>
      </c>
      <c r="C107" s="56" t="s">
        <v>44</v>
      </c>
      <c r="D107" s="56" t="s">
        <v>30</v>
      </c>
      <c r="E107" s="56" t="s">
        <v>5</v>
      </c>
      <c r="F107" s="56"/>
      <c r="G107" s="57">
        <v>52078.4</v>
      </c>
      <c r="H107" s="49"/>
      <c r="I107" s="49"/>
      <c r="J107" s="49"/>
      <c r="K107" s="49"/>
      <c r="L107" s="49"/>
      <c r="M107" s="49"/>
      <c r="N107" s="49"/>
      <c r="O107" s="49"/>
      <c r="P107" s="49"/>
    </row>
    <row r="108" ht="12.0" customHeight="1">
      <c r="A108" s="56" t="s">
        <v>85</v>
      </c>
      <c r="B108" s="56" t="s">
        <v>50</v>
      </c>
      <c r="C108" s="56" t="s">
        <v>44</v>
      </c>
      <c r="D108" s="56" t="s">
        <v>30</v>
      </c>
      <c r="E108" s="56" t="s">
        <v>61</v>
      </c>
      <c r="F108" s="56"/>
      <c r="G108" s="57">
        <v>59743.200000000004</v>
      </c>
      <c r="H108" s="49"/>
      <c r="I108" s="49"/>
      <c r="J108" s="49"/>
      <c r="K108" s="49"/>
      <c r="L108" s="49"/>
      <c r="M108" s="49"/>
      <c r="N108" s="49"/>
      <c r="O108" s="49"/>
      <c r="P108" s="49"/>
    </row>
    <row r="109" ht="12.0" customHeight="1">
      <c r="A109" s="56" t="s">
        <v>85</v>
      </c>
      <c r="B109" s="56" t="s">
        <v>50</v>
      </c>
      <c r="C109" s="56" t="s">
        <v>74</v>
      </c>
      <c r="D109" s="56" t="s">
        <v>25</v>
      </c>
      <c r="E109" s="56" t="s">
        <v>75</v>
      </c>
      <c r="F109" s="56"/>
      <c r="G109" s="57">
        <v>-179907.2</v>
      </c>
      <c r="H109" s="49"/>
      <c r="I109" s="49"/>
      <c r="J109" s="49"/>
      <c r="K109" s="49"/>
      <c r="L109" s="49"/>
      <c r="M109" s="49"/>
      <c r="N109" s="49"/>
      <c r="O109" s="49"/>
      <c r="P109" s="49"/>
    </row>
    <row r="110" ht="12.0" customHeight="1">
      <c r="A110" s="56" t="s">
        <v>85</v>
      </c>
      <c r="B110" s="56" t="s">
        <v>50</v>
      </c>
      <c r="C110" s="56" t="s">
        <v>74</v>
      </c>
      <c r="D110" s="56" t="s">
        <v>25</v>
      </c>
      <c r="E110" s="56" t="s">
        <v>75</v>
      </c>
      <c r="F110" s="56"/>
      <c r="G110" s="57">
        <v>96302.8</v>
      </c>
      <c r="H110" s="49"/>
      <c r="I110" s="49"/>
      <c r="J110" s="49"/>
      <c r="K110" s="49"/>
      <c r="L110" s="49"/>
      <c r="M110" s="49"/>
      <c r="N110" s="49"/>
      <c r="O110" s="49"/>
      <c r="P110" s="49"/>
    </row>
    <row r="111" ht="12.0" customHeight="1">
      <c r="A111" s="56" t="s">
        <v>85</v>
      </c>
      <c r="B111" s="56" t="s">
        <v>50</v>
      </c>
      <c r="C111" s="56" t="s">
        <v>74</v>
      </c>
      <c r="D111" s="56" t="s">
        <v>25</v>
      </c>
      <c r="E111" s="56" t="s">
        <v>75</v>
      </c>
      <c r="F111" s="56"/>
      <c r="G111" s="57">
        <v>83600.0</v>
      </c>
      <c r="H111" s="49"/>
      <c r="I111" s="49"/>
      <c r="J111" s="49"/>
      <c r="K111" s="49"/>
      <c r="L111" s="49"/>
      <c r="M111" s="49"/>
      <c r="N111" s="49"/>
      <c r="O111" s="49"/>
      <c r="P111" s="49"/>
    </row>
    <row r="112" ht="12.0" customHeight="1">
      <c r="A112" s="56" t="s">
        <v>85</v>
      </c>
      <c r="B112" s="56" t="s">
        <v>50</v>
      </c>
      <c r="C112" s="56" t="s">
        <v>74</v>
      </c>
      <c r="D112" s="56" t="s">
        <v>25</v>
      </c>
      <c r="E112" s="56" t="s">
        <v>76</v>
      </c>
      <c r="F112" s="56"/>
      <c r="G112" s="57">
        <v>121000.00000000001</v>
      </c>
      <c r="H112" s="49"/>
      <c r="I112" s="49"/>
      <c r="J112" s="49"/>
      <c r="K112" s="49"/>
      <c r="L112" s="49"/>
      <c r="M112" s="49"/>
      <c r="N112" s="49"/>
      <c r="O112" s="49"/>
      <c r="P112" s="49"/>
    </row>
    <row r="113" ht="12.0" customHeight="1">
      <c r="A113" s="56" t="s">
        <v>85</v>
      </c>
      <c r="B113" s="56" t="s">
        <v>50</v>
      </c>
      <c r="C113" s="56" t="s">
        <v>74</v>
      </c>
      <c r="D113" s="56" t="s">
        <v>25</v>
      </c>
      <c r="E113" s="56" t="s">
        <v>76</v>
      </c>
      <c r="F113" s="56"/>
      <c r="G113" s="57">
        <v>-101200.00000000001</v>
      </c>
      <c r="H113" s="49"/>
      <c r="I113" s="49"/>
      <c r="J113" s="49"/>
      <c r="K113" s="49"/>
      <c r="L113" s="49"/>
      <c r="M113" s="49"/>
      <c r="N113" s="49"/>
      <c r="O113" s="49"/>
      <c r="P113" s="49"/>
    </row>
    <row r="114" ht="12.0" customHeight="1">
      <c r="A114" s="56" t="s">
        <v>85</v>
      </c>
      <c r="B114" s="56" t="s">
        <v>50</v>
      </c>
      <c r="C114" s="56" t="s">
        <v>74</v>
      </c>
      <c r="D114" s="56" t="s">
        <v>25</v>
      </c>
      <c r="E114" s="56" t="s">
        <v>76</v>
      </c>
      <c r="F114" s="56"/>
      <c r="G114" s="57">
        <v>55000.00000000001</v>
      </c>
      <c r="H114" s="49"/>
      <c r="I114" s="49"/>
      <c r="J114" s="49"/>
      <c r="K114" s="49"/>
      <c r="L114" s="49"/>
      <c r="M114" s="49"/>
      <c r="N114" s="49"/>
      <c r="O114" s="49"/>
      <c r="P114" s="49"/>
    </row>
    <row r="115" ht="12.0" customHeight="1">
      <c r="A115" s="56" t="s">
        <v>85</v>
      </c>
      <c r="B115" s="56" t="s">
        <v>50</v>
      </c>
      <c r="C115" s="56" t="s">
        <v>74</v>
      </c>
      <c r="D115" s="56" t="s">
        <v>25</v>
      </c>
      <c r="E115" s="56" t="s">
        <v>76</v>
      </c>
      <c r="F115" s="56"/>
      <c r="G115" s="57">
        <v>149604.40000000002</v>
      </c>
      <c r="H115" s="49"/>
      <c r="I115" s="49"/>
      <c r="J115" s="49"/>
      <c r="K115" s="49"/>
      <c r="L115" s="49"/>
      <c r="M115" s="49"/>
      <c r="N115" s="49"/>
      <c r="O115" s="49"/>
      <c r="P115" s="49"/>
    </row>
    <row r="116" ht="12.0" customHeight="1">
      <c r="A116" s="56" t="s">
        <v>85</v>
      </c>
      <c r="B116" s="56" t="s">
        <v>50</v>
      </c>
      <c r="C116" s="56" t="s">
        <v>74</v>
      </c>
      <c r="D116" s="56" t="s">
        <v>25</v>
      </c>
      <c r="E116" s="56" t="s">
        <v>7</v>
      </c>
      <c r="F116" s="56"/>
      <c r="G116" s="57">
        <v>66000.0</v>
      </c>
      <c r="H116" s="49"/>
      <c r="I116" s="49"/>
      <c r="J116" s="49"/>
      <c r="K116" s="49"/>
      <c r="L116" s="49"/>
      <c r="M116" s="49"/>
      <c r="N116" s="49"/>
      <c r="O116" s="49"/>
      <c r="P116" s="49"/>
    </row>
    <row r="117" ht="12.0" customHeight="1">
      <c r="A117" s="56" t="s">
        <v>85</v>
      </c>
      <c r="B117" s="56" t="s">
        <v>50</v>
      </c>
      <c r="C117" s="56" t="s">
        <v>74</v>
      </c>
      <c r="D117" s="56" t="s">
        <v>25</v>
      </c>
      <c r="E117" s="56" t="s">
        <v>7</v>
      </c>
      <c r="F117" s="56"/>
      <c r="G117" s="57">
        <v>87524.8</v>
      </c>
      <c r="H117" s="49"/>
      <c r="I117" s="49"/>
      <c r="J117" s="49"/>
      <c r="K117" s="49"/>
      <c r="L117" s="49"/>
      <c r="M117" s="49"/>
      <c r="N117" s="49"/>
      <c r="O117" s="49"/>
      <c r="P117" s="49"/>
    </row>
    <row r="118" ht="12.0" customHeight="1">
      <c r="A118" s="56" t="s">
        <v>85</v>
      </c>
      <c r="B118" s="56" t="s">
        <v>50</v>
      </c>
      <c r="C118" s="56" t="s">
        <v>74</v>
      </c>
      <c r="D118" s="56" t="s">
        <v>25</v>
      </c>
      <c r="E118" s="56" t="s">
        <v>7</v>
      </c>
      <c r="F118" s="56"/>
      <c r="G118" s="57">
        <v>38500.0</v>
      </c>
      <c r="H118" s="49"/>
      <c r="I118" s="49"/>
      <c r="J118" s="49"/>
      <c r="K118" s="49"/>
      <c r="L118" s="49"/>
      <c r="M118" s="49"/>
      <c r="N118" s="49"/>
      <c r="O118" s="49"/>
      <c r="P118" s="49"/>
    </row>
    <row r="119" ht="12.0" customHeight="1">
      <c r="A119" s="56" t="s">
        <v>85</v>
      </c>
      <c r="B119" s="56" t="s">
        <v>50</v>
      </c>
      <c r="C119" s="56" t="s">
        <v>74</v>
      </c>
      <c r="D119" s="56" t="s">
        <v>25</v>
      </c>
      <c r="E119" s="56" t="s">
        <v>7</v>
      </c>
      <c r="F119" s="56"/>
      <c r="G119" s="57">
        <v>-106757.20000000001</v>
      </c>
      <c r="H119" s="49"/>
      <c r="I119" s="49"/>
      <c r="J119" s="49"/>
      <c r="K119" s="49"/>
      <c r="L119" s="49"/>
      <c r="M119" s="49"/>
      <c r="N119" s="49"/>
      <c r="O119" s="49"/>
      <c r="P119" s="49"/>
    </row>
    <row r="120" ht="12.0" customHeight="1">
      <c r="A120" s="56" t="s">
        <v>85</v>
      </c>
      <c r="B120" s="56" t="s">
        <v>50</v>
      </c>
      <c r="C120" s="56" t="s">
        <v>74</v>
      </c>
      <c r="D120" s="56" t="s">
        <v>25</v>
      </c>
      <c r="E120" s="56" t="s">
        <v>7</v>
      </c>
      <c r="F120" s="56"/>
      <c r="G120" s="57">
        <v>58269.200000000004</v>
      </c>
      <c r="H120" s="49"/>
      <c r="I120" s="49"/>
      <c r="J120" s="49"/>
      <c r="K120" s="49"/>
      <c r="L120" s="49"/>
      <c r="M120" s="49"/>
      <c r="N120" s="49"/>
      <c r="O120" s="49"/>
      <c r="P120" s="49"/>
    </row>
    <row r="121" ht="12.0" customHeight="1">
      <c r="A121" s="56" t="s">
        <v>85</v>
      </c>
      <c r="B121" s="56" t="s">
        <v>50</v>
      </c>
      <c r="C121" s="56" t="s">
        <v>74</v>
      </c>
      <c r="D121" s="56" t="s">
        <v>27</v>
      </c>
      <c r="E121" s="56" t="s">
        <v>79</v>
      </c>
      <c r="F121" s="56"/>
      <c r="G121" s="57">
        <v>33052.8</v>
      </c>
      <c r="H121" s="49"/>
      <c r="I121" s="49"/>
      <c r="J121" s="49"/>
      <c r="K121" s="49"/>
      <c r="L121" s="49"/>
      <c r="M121" s="49"/>
      <c r="N121" s="49"/>
      <c r="O121" s="49"/>
      <c r="P121" s="49"/>
    </row>
    <row r="122" ht="12.0" customHeight="1">
      <c r="A122" s="56" t="s">
        <v>85</v>
      </c>
      <c r="B122" s="56" t="s">
        <v>50</v>
      </c>
      <c r="C122" s="56" t="s">
        <v>74</v>
      </c>
      <c r="D122" s="56" t="s">
        <v>27</v>
      </c>
      <c r="E122" s="56" t="s">
        <v>79</v>
      </c>
      <c r="F122" s="56"/>
      <c r="G122" s="57">
        <v>-38636.4</v>
      </c>
      <c r="H122" s="49"/>
      <c r="I122" s="49"/>
      <c r="J122" s="49"/>
      <c r="K122" s="49"/>
      <c r="L122" s="49"/>
      <c r="M122" s="49"/>
      <c r="N122" s="49"/>
      <c r="O122" s="49"/>
      <c r="P122" s="49"/>
    </row>
    <row r="123" ht="12.0" customHeight="1">
      <c r="A123" s="56" t="s">
        <v>85</v>
      </c>
      <c r="B123" s="56" t="s">
        <v>50</v>
      </c>
      <c r="C123" s="56" t="s">
        <v>74</v>
      </c>
      <c r="D123" s="56" t="s">
        <v>27</v>
      </c>
      <c r="E123" s="56" t="s">
        <v>79</v>
      </c>
      <c r="F123" s="56"/>
      <c r="G123" s="57">
        <v>96078.40000000001</v>
      </c>
      <c r="H123" s="49"/>
      <c r="I123" s="49"/>
      <c r="J123" s="49"/>
      <c r="K123" s="49"/>
      <c r="L123" s="49"/>
      <c r="M123" s="49"/>
      <c r="N123" s="49"/>
      <c r="O123" s="49"/>
      <c r="P123" s="49"/>
    </row>
    <row r="124" ht="12.0" customHeight="1">
      <c r="A124" s="56" t="s">
        <v>85</v>
      </c>
      <c r="B124" s="56" t="s">
        <v>50</v>
      </c>
      <c r="C124" s="56" t="s">
        <v>74</v>
      </c>
      <c r="D124" s="56" t="s">
        <v>27</v>
      </c>
      <c r="E124" s="56" t="s">
        <v>78</v>
      </c>
      <c r="F124" s="56"/>
      <c r="G124" s="57">
        <v>37901.600000000006</v>
      </c>
      <c r="H124" s="49"/>
      <c r="I124" s="49"/>
      <c r="J124" s="49"/>
      <c r="K124" s="49"/>
      <c r="L124" s="49"/>
      <c r="M124" s="49"/>
      <c r="N124" s="49"/>
      <c r="O124" s="49"/>
      <c r="P124" s="49"/>
    </row>
    <row r="125" ht="12.0" customHeight="1">
      <c r="A125" s="56" t="s">
        <v>85</v>
      </c>
      <c r="B125" s="56" t="s">
        <v>50</v>
      </c>
      <c r="C125" s="56" t="s">
        <v>74</v>
      </c>
      <c r="D125" s="56" t="s">
        <v>27</v>
      </c>
      <c r="E125" s="56" t="s">
        <v>78</v>
      </c>
      <c r="F125" s="56"/>
      <c r="G125" s="57">
        <v>68750.0</v>
      </c>
      <c r="H125" s="49"/>
      <c r="I125" s="49"/>
      <c r="J125" s="49"/>
      <c r="K125" s="49"/>
      <c r="L125" s="49"/>
      <c r="M125" s="49"/>
      <c r="N125" s="49"/>
      <c r="O125" s="49"/>
      <c r="P125" s="49"/>
    </row>
    <row r="126" ht="12.0" customHeight="1">
      <c r="A126" s="56" t="s">
        <v>85</v>
      </c>
      <c r="B126" s="56" t="s">
        <v>50</v>
      </c>
      <c r="C126" s="56" t="s">
        <v>74</v>
      </c>
      <c r="D126" s="56" t="s">
        <v>27</v>
      </c>
      <c r="E126" s="56" t="s">
        <v>78</v>
      </c>
      <c r="F126" s="56"/>
      <c r="G126" s="57">
        <v>88752.40000000001</v>
      </c>
      <c r="H126" s="49"/>
      <c r="I126" s="49"/>
      <c r="J126" s="49"/>
      <c r="K126" s="49"/>
      <c r="L126" s="49"/>
      <c r="M126" s="49"/>
      <c r="N126" s="49"/>
      <c r="O126" s="49"/>
      <c r="P126" s="49"/>
    </row>
    <row r="127" ht="12.0" customHeight="1">
      <c r="A127" s="56" t="s">
        <v>85</v>
      </c>
      <c r="B127" s="56" t="s">
        <v>50</v>
      </c>
      <c r="C127" s="56" t="s">
        <v>74</v>
      </c>
      <c r="D127" s="56" t="s">
        <v>27</v>
      </c>
      <c r="E127" s="56" t="s">
        <v>78</v>
      </c>
      <c r="F127" s="56"/>
      <c r="G127" s="57">
        <v>86737.20000000001</v>
      </c>
      <c r="H127" s="49"/>
      <c r="I127" s="49"/>
      <c r="J127" s="49"/>
      <c r="K127" s="49"/>
      <c r="L127" s="49"/>
      <c r="M127" s="49"/>
      <c r="N127" s="49"/>
      <c r="O127" s="49"/>
      <c r="P127" s="49"/>
    </row>
    <row r="128" ht="12.0" customHeight="1">
      <c r="A128" s="56" t="s">
        <v>85</v>
      </c>
      <c r="B128" s="56" t="s">
        <v>50</v>
      </c>
      <c r="C128" s="56" t="s">
        <v>74</v>
      </c>
      <c r="D128" s="56" t="s">
        <v>27</v>
      </c>
      <c r="E128" s="56" t="s">
        <v>78</v>
      </c>
      <c r="F128" s="56"/>
      <c r="G128" s="57">
        <v>-184096.00000000003</v>
      </c>
      <c r="H128" s="49"/>
      <c r="I128" s="49"/>
      <c r="J128" s="49"/>
      <c r="K128" s="49"/>
      <c r="L128" s="49"/>
      <c r="M128" s="49"/>
      <c r="N128" s="49"/>
      <c r="O128" s="49"/>
      <c r="P128" s="49"/>
    </row>
    <row r="129" ht="12.0" customHeight="1">
      <c r="A129" s="56" t="s">
        <v>85</v>
      </c>
      <c r="B129" s="56" t="s">
        <v>50</v>
      </c>
      <c r="C129" s="56" t="s">
        <v>74</v>
      </c>
      <c r="D129" s="56" t="s">
        <v>27</v>
      </c>
      <c r="E129" s="56" t="s">
        <v>78</v>
      </c>
      <c r="F129" s="56"/>
      <c r="G129" s="57">
        <v>87071.6</v>
      </c>
      <c r="H129" s="49"/>
      <c r="I129" s="49"/>
      <c r="J129" s="49"/>
      <c r="K129" s="49"/>
      <c r="L129" s="49"/>
      <c r="M129" s="49"/>
      <c r="N129" s="49"/>
      <c r="O129" s="49"/>
      <c r="P129" s="49"/>
    </row>
    <row r="130" ht="12.0" customHeight="1">
      <c r="A130" s="56" t="s">
        <v>85</v>
      </c>
      <c r="B130" s="56" t="s">
        <v>50</v>
      </c>
      <c r="C130" s="56" t="s">
        <v>74</v>
      </c>
      <c r="D130" s="56" t="s">
        <v>27</v>
      </c>
      <c r="E130" s="56" t="s">
        <v>78</v>
      </c>
      <c r="F130" s="56"/>
      <c r="G130" s="57">
        <v>95700.00000000001</v>
      </c>
      <c r="H130" s="49"/>
      <c r="I130" s="49"/>
      <c r="J130" s="49"/>
      <c r="K130" s="49"/>
      <c r="L130" s="49"/>
      <c r="M130" s="49"/>
      <c r="N130" s="49"/>
      <c r="O130" s="49"/>
      <c r="P130" s="49"/>
    </row>
    <row r="131" ht="12.0" customHeight="1">
      <c r="A131" s="56" t="s">
        <v>85</v>
      </c>
      <c r="B131" s="56" t="s">
        <v>50</v>
      </c>
      <c r="C131" s="56" t="s">
        <v>74</v>
      </c>
      <c r="D131" s="56" t="s">
        <v>27</v>
      </c>
      <c r="E131" s="56" t="s">
        <v>78</v>
      </c>
      <c r="F131" s="56"/>
      <c r="G131" s="57">
        <v>106700.00000000001</v>
      </c>
      <c r="H131" s="49"/>
      <c r="I131" s="49"/>
      <c r="J131" s="49"/>
      <c r="K131" s="49"/>
      <c r="L131" s="49"/>
      <c r="M131" s="49"/>
      <c r="N131" s="49"/>
      <c r="O131" s="49"/>
      <c r="P131" s="49"/>
    </row>
    <row r="132" ht="12.0" customHeight="1">
      <c r="A132" s="56" t="s">
        <v>85</v>
      </c>
      <c r="B132" s="56" t="s">
        <v>50</v>
      </c>
      <c r="C132" s="56" t="s">
        <v>74</v>
      </c>
      <c r="D132" s="56" t="s">
        <v>27</v>
      </c>
      <c r="E132" s="56" t="s">
        <v>78</v>
      </c>
      <c r="F132" s="56"/>
      <c r="G132" s="57">
        <v>97169.6</v>
      </c>
      <c r="H132" s="49"/>
      <c r="I132" s="49"/>
      <c r="J132" s="49"/>
      <c r="K132" s="49"/>
      <c r="L132" s="49"/>
      <c r="M132" s="49"/>
      <c r="N132" s="49"/>
      <c r="O132" s="49"/>
      <c r="P132" s="49"/>
    </row>
    <row r="133" ht="12.0" customHeight="1">
      <c r="A133" s="56" t="s">
        <v>85</v>
      </c>
      <c r="B133" s="56" t="s">
        <v>50</v>
      </c>
      <c r="C133" s="56" t="s">
        <v>74</v>
      </c>
      <c r="D133" s="56" t="s">
        <v>27</v>
      </c>
      <c r="E133" s="56" t="s">
        <v>78</v>
      </c>
      <c r="F133" s="56"/>
      <c r="G133" s="57">
        <v>50419.600000000006</v>
      </c>
      <c r="H133" s="49"/>
      <c r="I133" s="49"/>
      <c r="J133" s="49"/>
      <c r="K133" s="49"/>
      <c r="L133" s="49"/>
      <c r="M133" s="49"/>
      <c r="N133" s="49"/>
      <c r="O133" s="49"/>
      <c r="P133" s="49"/>
    </row>
    <row r="134" ht="12.0" customHeight="1">
      <c r="A134" s="56" t="s">
        <v>85</v>
      </c>
      <c r="B134" s="56" t="s">
        <v>50</v>
      </c>
      <c r="C134" s="56" t="s">
        <v>74</v>
      </c>
      <c r="D134" s="56" t="s">
        <v>27</v>
      </c>
      <c r="E134" s="56" t="s">
        <v>78</v>
      </c>
      <c r="F134" s="56"/>
      <c r="G134" s="57">
        <v>110871.20000000001</v>
      </c>
      <c r="H134" s="49"/>
      <c r="I134" s="49"/>
      <c r="J134" s="49"/>
      <c r="K134" s="49"/>
      <c r="L134" s="49"/>
      <c r="M134" s="49"/>
      <c r="N134" s="49"/>
      <c r="O134" s="49"/>
      <c r="P134" s="49"/>
    </row>
    <row r="135" ht="12.0" customHeight="1">
      <c r="A135" s="56" t="s">
        <v>85</v>
      </c>
      <c r="B135" s="56" t="s">
        <v>50</v>
      </c>
      <c r="C135" s="56" t="s">
        <v>74</v>
      </c>
      <c r="D135" s="56" t="s">
        <v>27</v>
      </c>
      <c r="E135" s="56" t="s">
        <v>78</v>
      </c>
      <c r="F135" s="56"/>
      <c r="G135" s="57">
        <v>103897.20000000001</v>
      </c>
      <c r="H135" s="49"/>
      <c r="I135" s="49"/>
      <c r="J135" s="49"/>
      <c r="K135" s="49"/>
      <c r="L135" s="49"/>
      <c r="M135" s="49"/>
      <c r="N135" s="49"/>
      <c r="O135" s="49"/>
      <c r="P135" s="49"/>
    </row>
    <row r="136" ht="12.0" customHeight="1">
      <c r="A136" s="56" t="s">
        <v>85</v>
      </c>
      <c r="B136" s="56" t="s">
        <v>50</v>
      </c>
      <c r="C136" s="56" t="s">
        <v>44</v>
      </c>
      <c r="D136" s="56" t="s">
        <v>28</v>
      </c>
      <c r="E136" s="56" t="s">
        <v>51</v>
      </c>
      <c r="F136" s="56"/>
      <c r="G136" s="57">
        <v>69225.20000000001</v>
      </c>
      <c r="H136" s="49"/>
      <c r="I136" s="49"/>
      <c r="J136" s="49"/>
      <c r="K136" s="49"/>
      <c r="L136" s="49"/>
      <c r="M136" s="49"/>
      <c r="N136" s="49"/>
      <c r="O136" s="49"/>
      <c r="P136" s="49"/>
    </row>
    <row r="137" ht="12.0" customHeight="1">
      <c r="A137" s="56" t="s">
        <v>85</v>
      </c>
      <c r="B137" s="56" t="s">
        <v>50</v>
      </c>
      <c r="C137" s="56" t="s">
        <v>44</v>
      </c>
      <c r="D137" s="56" t="s">
        <v>28</v>
      </c>
      <c r="E137" s="56" t="s">
        <v>51</v>
      </c>
      <c r="F137" s="56"/>
      <c r="G137" s="57">
        <v>-23073.600000000002</v>
      </c>
      <c r="H137" s="49"/>
      <c r="I137" s="49"/>
      <c r="J137" s="49"/>
      <c r="K137" s="49"/>
      <c r="L137" s="49"/>
      <c r="M137" s="49"/>
      <c r="N137" s="49"/>
      <c r="O137" s="49"/>
      <c r="P137" s="49"/>
    </row>
    <row r="138" ht="12.0" customHeight="1">
      <c r="A138" s="56" t="s">
        <v>85</v>
      </c>
      <c r="B138" s="56" t="s">
        <v>50</v>
      </c>
      <c r="C138" s="56" t="s">
        <v>44</v>
      </c>
      <c r="D138" s="56" t="s">
        <v>29</v>
      </c>
      <c r="E138" s="56" t="s">
        <v>56</v>
      </c>
      <c r="F138" s="56"/>
      <c r="G138" s="57">
        <v>149248.0</v>
      </c>
      <c r="H138" s="49"/>
      <c r="I138" s="49"/>
      <c r="J138" s="49"/>
      <c r="K138" s="49"/>
      <c r="L138" s="49"/>
      <c r="M138" s="49"/>
      <c r="N138" s="49"/>
      <c r="O138" s="49"/>
      <c r="P138" s="49"/>
    </row>
    <row r="139" ht="12.0" customHeight="1">
      <c r="A139" s="56" t="s">
        <v>85</v>
      </c>
      <c r="B139" s="56" t="s">
        <v>50</v>
      </c>
      <c r="C139" s="56" t="s">
        <v>44</v>
      </c>
      <c r="D139" s="56" t="s">
        <v>29</v>
      </c>
      <c r="E139" s="56" t="s">
        <v>56</v>
      </c>
      <c r="F139" s="56"/>
      <c r="G139" s="57">
        <v>91907.20000000001</v>
      </c>
      <c r="H139" s="49"/>
      <c r="I139" s="49"/>
      <c r="J139" s="49"/>
      <c r="K139" s="49"/>
      <c r="L139" s="49"/>
      <c r="M139" s="49"/>
      <c r="N139" s="49"/>
      <c r="O139" s="49"/>
      <c r="P139" s="49"/>
    </row>
    <row r="140" ht="12.0" customHeight="1">
      <c r="A140" s="56" t="s">
        <v>85</v>
      </c>
      <c r="B140" s="56" t="s">
        <v>50</v>
      </c>
      <c r="C140" s="56" t="s">
        <v>44</v>
      </c>
      <c r="D140" s="56" t="s">
        <v>29</v>
      </c>
      <c r="E140" s="56" t="s">
        <v>56</v>
      </c>
      <c r="F140" s="56"/>
      <c r="G140" s="57">
        <v>-114338.40000000001</v>
      </c>
      <c r="H140" s="49"/>
      <c r="I140" s="49"/>
      <c r="J140" s="49"/>
      <c r="K140" s="49"/>
      <c r="L140" s="49"/>
      <c r="M140" s="49"/>
      <c r="N140" s="49"/>
      <c r="O140" s="49"/>
      <c r="P140" s="49"/>
    </row>
    <row r="141" ht="12.0" customHeight="1">
      <c r="A141" s="56" t="s">
        <v>85</v>
      </c>
      <c r="B141" s="56" t="s">
        <v>50</v>
      </c>
      <c r="C141" s="56" t="s">
        <v>44</v>
      </c>
      <c r="D141" s="56" t="s">
        <v>29</v>
      </c>
      <c r="E141" s="56" t="s">
        <v>56</v>
      </c>
      <c r="F141" s="56"/>
      <c r="G141" s="57">
        <v>60500.00000000001</v>
      </c>
      <c r="H141" s="49"/>
      <c r="I141" s="49"/>
      <c r="J141" s="49"/>
      <c r="K141" s="49"/>
      <c r="L141" s="49"/>
      <c r="M141" s="49"/>
      <c r="N141" s="49"/>
      <c r="O141" s="49"/>
      <c r="P141" s="49"/>
    </row>
    <row r="142" ht="12.0" customHeight="1">
      <c r="A142" s="56" t="s">
        <v>85</v>
      </c>
      <c r="B142" s="56" t="s">
        <v>50</v>
      </c>
      <c r="C142" s="56" t="s">
        <v>44</v>
      </c>
      <c r="D142" s="56" t="s">
        <v>29</v>
      </c>
      <c r="E142" s="56" t="s">
        <v>56</v>
      </c>
      <c r="F142" s="56"/>
      <c r="G142" s="57">
        <v>110919.6</v>
      </c>
      <c r="H142" s="49"/>
      <c r="I142" s="49"/>
      <c r="J142" s="49"/>
      <c r="K142" s="49"/>
      <c r="L142" s="49"/>
      <c r="M142" s="49"/>
      <c r="N142" s="49"/>
      <c r="O142" s="49"/>
      <c r="P142" s="49"/>
    </row>
    <row r="143" ht="12.0" customHeight="1">
      <c r="A143" s="56" t="s">
        <v>85</v>
      </c>
      <c r="B143" s="56" t="s">
        <v>50</v>
      </c>
      <c r="C143" s="56" t="s">
        <v>44</v>
      </c>
      <c r="D143" s="56" t="s">
        <v>29</v>
      </c>
      <c r="E143" s="56" t="s">
        <v>59</v>
      </c>
      <c r="F143" s="56"/>
      <c r="G143" s="57">
        <v>71500.0</v>
      </c>
      <c r="H143" s="49"/>
      <c r="I143" s="49"/>
      <c r="J143" s="49"/>
      <c r="K143" s="49"/>
      <c r="L143" s="49"/>
      <c r="M143" s="49"/>
      <c r="N143" s="49"/>
      <c r="O143" s="49"/>
      <c r="P143" s="49"/>
    </row>
    <row r="144" ht="12.0" customHeight="1">
      <c r="A144" s="56" t="s">
        <v>85</v>
      </c>
      <c r="B144" s="56" t="s">
        <v>50</v>
      </c>
      <c r="C144" s="56" t="s">
        <v>44</v>
      </c>
      <c r="D144" s="56" t="s">
        <v>29</v>
      </c>
      <c r="E144" s="56" t="s">
        <v>59</v>
      </c>
      <c r="F144" s="56"/>
      <c r="G144" s="57">
        <v>-23834.800000000003</v>
      </c>
      <c r="H144" s="49"/>
      <c r="I144" s="49"/>
      <c r="J144" s="49"/>
      <c r="K144" s="49"/>
      <c r="L144" s="49"/>
      <c r="M144" s="49"/>
      <c r="N144" s="49"/>
      <c r="O144" s="49"/>
      <c r="P144" s="49"/>
    </row>
    <row r="145" ht="12.0" customHeight="1">
      <c r="A145" s="56" t="s">
        <v>85</v>
      </c>
      <c r="B145" s="56" t="s">
        <v>50</v>
      </c>
      <c r="C145" s="56" t="s">
        <v>44</v>
      </c>
      <c r="D145" s="56" t="s">
        <v>29</v>
      </c>
      <c r="E145" s="56" t="s">
        <v>59</v>
      </c>
      <c r="F145" s="56"/>
      <c r="G145" s="57">
        <v>60165.600000000006</v>
      </c>
      <c r="H145" s="49"/>
      <c r="I145" s="49"/>
      <c r="J145" s="49"/>
      <c r="K145" s="49"/>
      <c r="L145" s="49"/>
      <c r="M145" s="49"/>
      <c r="N145" s="49"/>
      <c r="O145" s="49"/>
      <c r="P145" s="49"/>
    </row>
    <row r="146" ht="12.0" customHeight="1">
      <c r="A146" s="56" t="s">
        <v>85</v>
      </c>
      <c r="B146" s="56" t="s">
        <v>50</v>
      </c>
      <c r="C146" s="56" t="s">
        <v>44</v>
      </c>
      <c r="D146" s="56" t="s">
        <v>30</v>
      </c>
      <c r="E146" s="56" t="s">
        <v>5</v>
      </c>
      <c r="F146" s="56"/>
      <c r="G146" s="57">
        <v>14000.800000000001</v>
      </c>
      <c r="H146" s="49"/>
      <c r="I146" s="49"/>
      <c r="J146" s="49"/>
      <c r="K146" s="49"/>
      <c r="L146" s="49"/>
      <c r="M146" s="49"/>
      <c r="N146" s="49"/>
      <c r="O146" s="49"/>
      <c r="P146" s="49"/>
    </row>
    <row r="147" ht="12.0" customHeight="1">
      <c r="A147" s="56" t="s">
        <v>85</v>
      </c>
      <c r="B147" s="56" t="s">
        <v>50</v>
      </c>
      <c r="C147" s="56" t="s">
        <v>44</v>
      </c>
      <c r="D147" s="56" t="s">
        <v>30</v>
      </c>
      <c r="E147" s="56" t="s">
        <v>5</v>
      </c>
      <c r="F147" s="56"/>
      <c r="G147" s="57">
        <v>51334.8</v>
      </c>
      <c r="H147" s="49"/>
      <c r="I147" s="49"/>
      <c r="J147" s="49"/>
      <c r="K147" s="49"/>
      <c r="L147" s="49"/>
      <c r="M147" s="49"/>
      <c r="N147" s="49"/>
      <c r="O147" s="49"/>
      <c r="P147" s="49"/>
    </row>
    <row r="148" ht="12.0" customHeight="1">
      <c r="A148" s="56" t="s">
        <v>85</v>
      </c>
      <c r="B148" s="56" t="s">
        <v>50</v>
      </c>
      <c r="C148" s="56" t="s">
        <v>44</v>
      </c>
      <c r="D148" s="56" t="s">
        <v>30</v>
      </c>
      <c r="E148" s="56" t="s">
        <v>61</v>
      </c>
      <c r="F148" s="56"/>
      <c r="G148" s="57">
        <v>115500.00000000001</v>
      </c>
      <c r="H148" s="49"/>
      <c r="I148" s="49"/>
      <c r="J148" s="49"/>
      <c r="K148" s="49"/>
      <c r="L148" s="49"/>
      <c r="M148" s="49"/>
      <c r="N148" s="49"/>
      <c r="O148" s="49"/>
      <c r="P148" s="49"/>
    </row>
    <row r="149" ht="12.0" customHeight="1">
      <c r="A149" s="56" t="s">
        <v>85</v>
      </c>
      <c r="B149" s="56" t="s">
        <v>50</v>
      </c>
      <c r="C149" s="56" t="s">
        <v>44</v>
      </c>
      <c r="D149" s="56" t="s">
        <v>30</v>
      </c>
      <c r="E149" s="56" t="s">
        <v>61</v>
      </c>
      <c r="F149" s="56"/>
      <c r="G149" s="57">
        <v>-38500.0</v>
      </c>
      <c r="H149" s="49"/>
      <c r="I149" s="49"/>
      <c r="J149" s="49"/>
      <c r="K149" s="49"/>
      <c r="L149" s="49"/>
      <c r="M149" s="49"/>
      <c r="N149" s="49"/>
      <c r="O149" s="49"/>
      <c r="P149" s="49"/>
    </row>
    <row r="150" ht="12.0" customHeight="1">
      <c r="A150" s="56" t="s">
        <v>85</v>
      </c>
      <c r="B150" s="56" t="s">
        <v>50</v>
      </c>
      <c r="C150" s="56" t="s">
        <v>74</v>
      </c>
      <c r="D150" s="56" t="s">
        <v>25</v>
      </c>
      <c r="E150" s="56" t="s">
        <v>75</v>
      </c>
      <c r="F150" s="56"/>
      <c r="G150" s="57">
        <v>15950.000000000002</v>
      </c>
      <c r="H150" s="49"/>
      <c r="I150" s="49"/>
      <c r="J150" s="49"/>
      <c r="K150" s="49"/>
      <c r="L150" s="49"/>
      <c r="M150" s="49"/>
      <c r="N150" s="49"/>
      <c r="O150" s="49"/>
      <c r="P150" s="49"/>
    </row>
    <row r="151" ht="12.0" customHeight="1">
      <c r="A151" s="56" t="s">
        <v>85</v>
      </c>
      <c r="B151" s="56" t="s">
        <v>50</v>
      </c>
      <c r="C151" s="56" t="s">
        <v>74</v>
      </c>
      <c r="D151" s="56" t="s">
        <v>25</v>
      </c>
      <c r="E151" s="56" t="s">
        <v>75</v>
      </c>
      <c r="F151" s="56"/>
      <c r="G151" s="57">
        <v>22330.0</v>
      </c>
      <c r="H151" s="49"/>
      <c r="I151" s="49"/>
      <c r="J151" s="49"/>
      <c r="K151" s="49"/>
      <c r="L151" s="49"/>
      <c r="M151" s="49"/>
      <c r="N151" s="49"/>
      <c r="O151" s="49"/>
      <c r="P151" s="49"/>
    </row>
    <row r="152" ht="12.0" customHeight="1">
      <c r="A152" s="56" t="s">
        <v>85</v>
      </c>
      <c r="B152" s="56" t="s">
        <v>50</v>
      </c>
      <c r="C152" s="56" t="s">
        <v>74</v>
      </c>
      <c r="D152" s="56" t="s">
        <v>25</v>
      </c>
      <c r="E152" s="56" t="s">
        <v>75</v>
      </c>
      <c r="F152" s="56"/>
      <c r="G152" s="57">
        <v>57200.00000000001</v>
      </c>
      <c r="H152" s="49"/>
      <c r="I152" s="49"/>
      <c r="J152" s="49"/>
      <c r="K152" s="49"/>
      <c r="L152" s="49"/>
      <c r="M152" s="49"/>
      <c r="N152" s="49"/>
      <c r="O152" s="49"/>
      <c r="P152" s="49"/>
    </row>
    <row r="153" ht="12.0" customHeight="1">
      <c r="A153" s="56" t="s">
        <v>85</v>
      </c>
      <c r="B153" s="56" t="s">
        <v>50</v>
      </c>
      <c r="C153" s="56" t="s">
        <v>74</v>
      </c>
      <c r="D153" s="56" t="s">
        <v>25</v>
      </c>
      <c r="E153" s="56" t="s">
        <v>75</v>
      </c>
      <c r="F153" s="56"/>
      <c r="G153" s="57">
        <v>19140.0</v>
      </c>
      <c r="H153" s="49"/>
      <c r="I153" s="49"/>
      <c r="J153" s="49"/>
      <c r="K153" s="49"/>
      <c r="L153" s="49"/>
      <c r="M153" s="49"/>
      <c r="N153" s="49"/>
      <c r="O153" s="49"/>
      <c r="P153" s="49"/>
    </row>
    <row r="154" ht="12.0" customHeight="1">
      <c r="A154" s="56" t="s">
        <v>85</v>
      </c>
      <c r="B154" s="56" t="s">
        <v>50</v>
      </c>
      <c r="C154" s="56" t="s">
        <v>74</v>
      </c>
      <c r="D154" s="56" t="s">
        <v>25</v>
      </c>
      <c r="E154" s="56" t="s">
        <v>75</v>
      </c>
      <c r="F154" s="56"/>
      <c r="G154" s="57">
        <v>14418.800000000001</v>
      </c>
      <c r="H154" s="49"/>
      <c r="I154" s="49"/>
      <c r="J154" s="49"/>
      <c r="K154" s="49"/>
      <c r="L154" s="49"/>
      <c r="M154" s="49"/>
      <c r="N154" s="49"/>
      <c r="O154" s="49"/>
      <c r="P154" s="49"/>
    </row>
    <row r="155" ht="12.0" customHeight="1">
      <c r="A155" s="56" t="s">
        <v>85</v>
      </c>
      <c r="B155" s="56" t="s">
        <v>50</v>
      </c>
      <c r="C155" s="56" t="s">
        <v>74</v>
      </c>
      <c r="D155" s="56" t="s">
        <v>25</v>
      </c>
      <c r="E155" s="56" t="s">
        <v>75</v>
      </c>
      <c r="F155" s="56"/>
      <c r="G155" s="57">
        <v>14502.400000000001</v>
      </c>
      <c r="H155" s="49"/>
      <c r="I155" s="49"/>
      <c r="J155" s="49"/>
      <c r="K155" s="49"/>
      <c r="L155" s="49"/>
      <c r="M155" s="49"/>
      <c r="N155" s="49"/>
      <c r="O155" s="49"/>
      <c r="P155" s="49"/>
    </row>
    <row r="156" ht="12.0" customHeight="1">
      <c r="A156" s="56" t="s">
        <v>85</v>
      </c>
      <c r="B156" s="56" t="s">
        <v>50</v>
      </c>
      <c r="C156" s="56" t="s">
        <v>74</v>
      </c>
      <c r="D156" s="56" t="s">
        <v>25</v>
      </c>
      <c r="E156" s="56" t="s">
        <v>76</v>
      </c>
      <c r="F156" s="56"/>
      <c r="G156" s="57">
        <v>49500.00000000001</v>
      </c>
      <c r="H156" s="49"/>
      <c r="I156" s="49"/>
      <c r="J156" s="49"/>
      <c r="K156" s="49"/>
      <c r="L156" s="49"/>
      <c r="M156" s="49"/>
      <c r="N156" s="49"/>
      <c r="O156" s="49"/>
      <c r="P156" s="49"/>
    </row>
    <row r="157" ht="12.0" customHeight="1">
      <c r="A157" s="56" t="s">
        <v>85</v>
      </c>
      <c r="B157" s="56" t="s">
        <v>50</v>
      </c>
      <c r="C157" s="56" t="s">
        <v>74</v>
      </c>
      <c r="D157" s="56" t="s">
        <v>25</v>
      </c>
      <c r="E157" s="56" t="s">
        <v>7</v>
      </c>
      <c r="F157" s="56"/>
      <c r="G157" s="57">
        <v>39657.200000000004</v>
      </c>
      <c r="H157" s="49"/>
      <c r="I157" s="49"/>
      <c r="J157" s="49"/>
      <c r="K157" s="49"/>
      <c r="L157" s="49"/>
      <c r="M157" s="49"/>
      <c r="N157" s="49"/>
      <c r="O157" s="49"/>
      <c r="P157" s="49"/>
    </row>
    <row r="158" ht="12.0" customHeight="1">
      <c r="A158" s="56" t="s">
        <v>85</v>
      </c>
      <c r="B158" s="56" t="s">
        <v>50</v>
      </c>
      <c r="C158" s="56" t="s">
        <v>74</v>
      </c>
      <c r="D158" s="56" t="s">
        <v>25</v>
      </c>
      <c r="E158" s="56" t="s">
        <v>7</v>
      </c>
      <c r="F158" s="56"/>
      <c r="G158" s="57">
        <v>66000.0</v>
      </c>
      <c r="H158" s="49"/>
      <c r="I158" s="49"/>
      <c r="J158" s="49"/>
      <c r="K158" s="49"/>
      <c r="L158" s="49"/>
      <c r="M158" s="49"/>
      <c r="N158" s="49"/>
      <c r="O158" s="49"/>
      <c r="P158" s="49"/>
    </row>
    <row r="159" ht="12.0" customHeight="1">
      <c r="A159" s="56" t="s">
        <v>85</v>
      </c>
      <c r="B159" s="56" t="s">
        <v>50</v>
      </c>
      <c r="C159" s="56" t="s">
        <v>74</v>
      </c>
      <c r="D159" s="56" t="s">
        <v>25</v>
      </c>
      <c r="E159" s="56" t="s">
        <v>7</v>
      </c>
      <c r="F159" s="56"/>
      <c r="G159" s="57">
        <v>46750.00000000001</v>
      </c>
      <c r="H159" s="49"/>
      <c r="I159" s="49"/>
      <c r="J159" s="49"/>
      <c r="K159" s="49"/>
      <c r="L159" s="49"/>
      <c r="M159" s="49"/>
      <c r="N159" s="49"/>
      <c r="O159" s="49"/>
      <c r="P159" s="49"/>
    </row>
    <row r="160" ht="12.0" customHeight="1">
      <c r="A160" s="56" t="s">
        <v>85</v>
      </c>
      <c r="B160" s="56" t="s">
        <v>50</v>
      </c>
      <c r="C160" s="56" t="s">
        <v>74</v>
      </c>
      <c r="D160" s="56" t="s">
        <v>25</v>
      </c>
      <c r="E160" s="56" t="s">
        <v>7</v>
      </c>
      <c r="F160" s="56"/>
      <c r="G160" s="57">
        <v>51480.00000000001</v>
      </c>
      <c r="H160" s="49"/>
      <c r="I160" s="49"/>
      <c r="J160" s="49"/>
      <c r="K160" s="49"/>
      <c r="L160" s="49"/>
      <c r="M160" s="49"/>
      <c r="N160" s="49"/>
      <c r="O160" s="49"/>
      <c r="P160" s="49"/>
    </row>
    <row r="161" ht="12.0" customHeight="1">
      <c r="A161" s="56" t="s">
        <v>85</v>
      </c>
      <c r="B161" s="56" t="s">
        <v>50</v>
      </c>
      <c r="C161" s="56" t="s">
        <v>74</v>
      </c>
      <c r="D161" s="56" t="s">
        <v>25</v>
      </c>
      <c r="E161" s="56" t="s">
        <v>7</v>
      </c>
      <c r="F161" s="56"/>
      <c r="G161" s="57">
        <v>46200.00000000001</v>
      </c>
      <c r="H161" s="49"/>
      <c r="I161" s="49"/>
      <c r="J161" s="49"/>
      <c r="K161" s="49"/>
      <c r="L161" s="49"/>
      <c r="M161" s="49"/>
      <c r="N161" s="49"/>
      <c r="O161" s="49"/>
      <c r="P161" s="49"/>
    </row>
    <row r="162" ht="12.0" customHeight="1">
      <c r="A162" s="56" t="s">
        <v>85</v>
      </c>
      <c r="B162" s="56" t="s">
        <v>50</v>
      </c>
      <c r="C162" s="56" t="s">
        <v>74</v>
      </c>
      <c r="D162" s="56" t="s">
        <v>25</v>
      </c>
      <c r="E162" s="56" t="s">
        <v>7</v>
      </c>
      <c r="F162" s="56"/>
      <c r="G162" s="57">
        <v>53900.00000000001</v>
      </c>
      <c r="H162" s="49"/>
      <c r="I162" s="49"/>
      <c r="J162" s="49"/>
      <c r="K162" s="49"/>
      <c r="L162" s="49"/>
      <c r="M162" s="49"/>
      <c r="N162" s="49"/>
      <c r="O162" s="49"/>
      <c r="P162" s="49"/>
    </row>
    <row r="163" ht="12.0" customHeight="1">
      <c r="A163" s="56" t="s">
        <v>85</v>
      </c>
      <c r="B163" s="56" t="s">
        <v>50</v>
      </c>
      <c r="C163" s="56" t="s">
        <v>74</v>
      </c>
      <c r="D163" s="56" t="s">
        <v>25</v>
      </c>
      <c r="E163" s="56" t="s">
        <v>7</v>
      </c>
      <c r="F163" s="56"/>
      <c r="G163" s="57">
        <v>33990.0</v>
      </c>
      <c r="H163" s="49"/>
      <c r="I163" s="49"/>
      <c r="J163" s="49"/>
      <c r="K163" s="49"/>
      <c r="L163" s="49"/>
      <c r="M163" s="49"/>
      <c r="N163" s="49"/>
      <c r="O163" s="49"/>
      <c r="P163" s="49"/>
    </row>
    <row r="164" ht="12.0" customHeight="1">
      <c r="A164" s="56" t="s">
        <v>85</v>
      </c>
      <c r="B164" s="56" t="s">
        <v>50</v>
      </c>
      <c r="C164" s="56" t="s">
        <v>74</v>
      </c>
      <c r="D164" s="56" t="s">
        <v>25</v>
      </c>
      <c r="E164" s="56" t="s">
        <v>7</v>
      </c>
      <c r="F164" s="56"/>
      <c r="G164" s="57">
        <v>43335.600000000006</v>
      </c>
      <c r="H164" s="49"/>
      <c r="I164" s="49"/>
      <c r="J164" s="49"/>
      <c r="K164" s="49"/>
      <c r="L164" s="49"/>
      <c r="M164" s="49"/>
      <c r="N164" s="49"/>
      <c r="O164" s="49"/>
      <c r="P164" s="49"/>
    </row>
    <row r="165" ht="12.0" customHeight="1">
      <c r="A165" s="56" t="s">
        <v>85</v>
      </c>
      <c r="B165" s="56" t="s">
        <v>50</v>
      </c>
      <c r="C165" s="56" t="s">
        <v>74</v>
      </c>
      <c r="D165" s="56" t="s">
        <v>25</v>
      </c>
      <c r="E165" s="56" t="s">
        <v>7</v>
      </c>
      <c r="F165" s="56"/>
      <c r="G165" s="57">
        <v>44000.0</v>
      </c>
      <c r="H165" s="49"/>
      <c r="I165" s="49"/>
      <c r="J165" s="49"/>
      <c r="K165" s="49"/>
      <c r="L165" s="49"/>
      <c r="M165" s="49"/>
      <c r="N165" s="49"/>
      <c r="O165" s="49"/>
      <c r="P165" s="49"/>
    </row>
    <row r="166" ht="12.0" customHeight="1">
      <c r="A166" s="56" t="s">
        <v>85</v>
      </c>
      <c r="B166" s="56" t="s">
        <v>50</v>
      </c>
      <c r="C166" s="56" t="s">
        <v>74</v>
      </c>
      <c r="D166" s="56" t="s">
        <v>27</v>
      </c>
      <c r="E166" s="56" t="s">
        <v>79</v>
      </c>
      <c r="F166" s="56"/>
      <c r="G166" s="57">
        <v>20627.2</v>
      </c>
      <c r="H166" s="49"/>
      <c r="I166" s="49"/>
      <c r="J166" s="49"/>
      <c r="K166" s="49"/>
      <c r="L166" s="49"/>
      <c r="M166" s="49"/>
      <c r="N166" s="49"/>
      <c r="O166" s="49"/>
      <c r="P166" s="49"/>
    </row>
    <row r="167" ht="12.0" customHeight="1">
      <c r="A167" s="56" t="s">
        <v>85</v>
      </c>
      <c r="B167" s="56" t="s">
        <v>50</v>
      </c>
      <c r="C167" s="56" t="s">
        <v>74</v>
      </c>
      <c r="D167" s="56" t="s">
        <v>27</v>
      </c>
      <c r="E167" s="56" t="s">
        <v>79</v>
      </c>
      <c r="F167" s="56"/>
      <c r="G167" s="57">
        <v>55000.00000000001</v>
      </c>
      <c r="H167" s="49"/>
      <c r="I167" s="49"/>
      <c r="J167" s="49"/>
      <c r="K167" s="49"/>
      <c r="L167" s="49"/>
      <c r="M167" s="49"/>
      <c r="N167" s="49"/>
      <c r="O167" s="49"/>
      <c r="P167" s="49"/>
    </row>
    <row r="168" ht="12.0" customHeight="1">
      <c r="A168" s="56" t="s">
        <v>85</v>
      </c>
      <c r="B168" s="56" t="s">
        <v>50</v>
      </c>
      <c r="C168" s="56" t="s">
        <v>74</v>
      </c>
      <c r="D168" s="56" t="s">
        <v>27</v>
      </c>
      <c r="E168" s="56" t="s">
        <v>78</v>
      </c>
      <c r="F168" s="56"/>
      <c r="G168" s="57">
        <v>79310.0</v>
      </c>
      <c r="H168" s="49"/>
      <c r="I168" s="49"/>
      <c r="J168" s="49"/>
      <c r="K168" s="49"/>
      <c r="L168" s="49"/>
      <c r="M168" s="49"/>
      <c r="N168" s="49"/>
      <c r="O168" s="49"/>
      <c r="P168" s="49"/>
    </row>
    <row r="169" ht="12.0" customHeight="1">
      <c r="A169" s="56" t="s">
        <v>85</v>
      </c>
      <c r="B169" s="56" t="s">
        <v>50</v>
      </c>
      <c r="C169" s="56" t="s">
        <v>74</v>
      </c>
      <c r="D169" s="56" t="s">
        <v>27</v>
      </c>
      <c r="E169" s="56" t="s">
        <v>78</v>
      </c>
      <c r="F169" s="56"/>
      <c r="G169" s="57">
        <v>60051.200000000004</v>
      </c>
      <c r="H169" s="49"/>
      <c r="I169" s="49"/>
      <c r="J169" s="49"/>
      <c r="K169" s="49"/>
      <c r="L169" s="49"/>
      <c r="M169" s="49"/>
      <c r="N169" s="49"/>
      <c r="O169" s="49"/>
      <c r="P169" s="49"/>
    </row>
    <row r="170" ht="12.0" customHeight="1">
      <c r="A170" s="56" t="s">
        <v>85</v>
      </c>
      <c r="B170" s="56" t="s">
        <v>50</v>
      </c>
      <c r="C170" s="56" t="s">
        <v>74</v>
      </c>
      <c r="D170" s="56" t="s">
        <v>27</v>
      </c>
      <c r="E170" s="56" t="s">
        <v>78</v>
      </c>
      <c r="F170" s="56"/>
      <c r="G170" s="57">
        <v>24200.000000000004</v>
      </c>
      <c r="H170" s="49"/>
      <c r="I170" s="49"/>
      <c r="J170" s="49"/>
      <c r="K170" s="49"/>
      <c r="L170" s="49"/>
      <c r="M170" s="49"/>
      <c r="N170" s="49"/>
      <c r="O170" s="49"/>
      <c r="P170" s="49"/>
    </row>
    <row r="171" ht="12.0" customHeight="1">
      <c r="A171" s="56" t="s">
        <v>85</v>
      </c>
      <c r="B171" s="56" t="s">
        <v>50</v>
      </c>
      <c r="C171" s="56" t="s">
        <v>44</v>
      </c>
      <c r="D171" s="56" t="s">
        <v>28</v>
      </c>
      <c r="E171" s="56" t="s">
        <v>48</v>
      </c>
      <c r="F171" s="56"/>
      <c r="G171" s="57">
        <v>77000.0</v>
      </c>
      <c r="H171" s="49"/>
      <c r="I171" s="49"/>
      <c r="J171" s="49"/>
      <c r="K171" s="49"/>
      <c r="L171" s="49"/>
      <c r="M171" s="49"/>
      <c r="N171" s="49"/>
      <c r="O171" s="49"/>
      <c r="P171" s="49"/>
    </row>
    <row r="172" ht="12.0" customHeight="1">
      <c r="A172" s="56" t="s">
        <v>85</v>
      </c>
      <c r="B172" s="56" t="s">
        <v>50</v>
      </c>
      <c r="C172" s="56" t="s">
        <v>44</v>
      </c>
      <c r="D172" s="56" t="s">
        <v>28</v>
      </c>
      <c r="E172" s="56" t="s">
        <v>51</v>
      </c>
      <c r="F172" s="56"/>
      <c r="G172" s="57">
        <v>0.0</v>
      </c>
      <c r="H172" s="49"/>
      <c r="I172" s="49"/>
      <c r="J172" s="49"/>
      <c r="K172" s="49"/>
      <c r="L172" s="49"/>
      <c r="M172" s="49"/>
      <c r="N172" s="49"/>
      <c r="O172" s="49"/>
      <c r="P172" s="49"/>
    </row>
    <row r="173" ht="12.0" customHeight="1">
      <c r="A173" s="56" t="s">
        <v>85</v>
      </c>
      <c r="B173" s="56" t="s">
        <v>50</v>
      </c>
      <c r="C173" s="56" t="s">
        <v>44</v>
      </c>
      <c r="D173" s="56" t="s">
        <v>28</v>
      </c>
      <c r="E173" s="56" t="s">
        <v>51</v>
      </c>
      <c r="F173" s="56"/>
      <c r="G173" s="57">
        <v>55000.00000000001</v>
      </c>
      <c r="H173" s="49"/>
      <c r="I173" s="49"/>
      <c r="J173" s="49"/>
      <c r="K173" s="49"/>
      <c r="L173" s="49"/>
      <c r="M173" s="49"/>
      <c r="N173" s="49"/>
      <c r="O173" s="49"/>
      <c r="P173" s="49"/>
    </row>
    <row r="174" ht="12.0" customHeight="1">
      <c r="A174" s="56" t="s">
        <v>85</v>
      </c>
      <c r="B174" s="56" t="s">
        <v>50</v>
      </c>
      <c r="C174" s="56" t="s">
        <v>44</v>
      </c>
      <c r="D174" s="56" t="s">
        <v>28</v>
      </c>
      <c r="E174" s="56" t="s">
        <v>51</v>
      </c>
      <c r="F174" s="56"/>
      <c r="G174" s="57">
        <v>23790.800000000003</v>
      </c>
      <c r="H174" s="49"/>
      <c r="I174" s="49"/>
      <c r="J174" s="49"/>
      <c r="K174" s="49"/>
      <c r="L174" s="49"/>
      <c r="M174" s="49"/>
      <c r="N174" s="49"/>
      <c r="O174" s="49"/>
      <c r="P174" s="49"/>
    </row>
    <row r="175" ht="12.0" customHeight="1">
      <c r="A175" s="56" t="s">
        <v>85</v>
      </c>
      <c r="B175" s="56" t="s">
        <v>50</v>
      </c>
      <c r="C175" s="56" t="s">
        <v>44</v>
      </c>
      <c r="D175" s="56" t="s">
        <v>29</v>
      </c>
      <c r="E175" s="56" t="s">
        <v>56</v>
      </c>
      <c r="F175" s="56"/>
      <c r="G175" s="57">
        <v>107945.20000000001</v>
      </c>
      <c r="H175" s="49"/>
      <c r="I175" s="49"/>
      <c r="J175" s="49"/>
      <c r="K175" s="49"/>
      <c r="L175" s="49"/>
      <c r="M175" s="49"/>
      <c r="N175" s="49"/>
      <c r="O175" s="49"/>
      <c r="P175" s="49"/>
    </row>
    <row r="176" ht="12.0" customHeight="1">
      <c r="A176" s="56" t="s">
        <v>85</v>
      </c>
      <c r="B176" s="56" t="s">
        <v>50</v>
      </c>
      <c r="C176" s="56" t="s">
        <v>44</v>
      </c>
      <c r="D176" s="56" t="s">
        <v>29</v>
      </c>
      <c r="E176" s="56" t="s">
        <v>56</v>
      </c>
      <c r="F176" s="56"/>
      <c r="G176" s="57">
        <v>66000.0</v>
      </c>
      <c r="H176" s="49"/>
      <c r="I176" s="49"/>
      <c r="J176" s="49"/>
      <c r="K176" s="49"/>
      <c r="L176" s="49"/>
      <c r="M176" s="49"/>
      <c r="N176" s="49"/>
      <c r="O176" s="49"/>
      <c r="P176" s="49"/>
    </row>
    <row r="177" ht="12.0" customHeight="1">
      <c r="A177" s="56" t="s">
        <v>85</v>
      </c>
      <c r="B177" s="56" t="s">
        <v>50</v>
      </c>
      <c r="C177" s="56" t="s">
        <v>44</v>
      </c>
      <c r="D177" s="56" t="s">
        <v>29</v>
      </c>
      <c r="E177" s="56" t="s">
        <v>56</v>
      </c>
      <c r="F177" s="56"/>
      <c r="G177" s="57">
        <v>79301.20000000001</v>
      </c>
      <c r="H177" s="49"/>
      <c r="I177" s="49"/>
      <c r="J177" s="49"/>
      <c r="K177" s="49"/>
      <c r="L177" s="49"/>
      <c r="M177" s="49"/>
      <c r="N177" s="49"/>
      <c r="O177" s="49"/>
      <c r="P177" s="49"/>
    </row>
    <row r="178" ht="12.0" customHeight="1">
      <c r="A178" s="56" t="s">
        <v>85</v>
      </c>
      <c r="B178" s="56" t="s">
        <v>50</v>
      </c>
      <c r="C178" s="56" t="s">
        <v>44</v>
      </c>
      <c r="D178" s="56" t="s">
        <v>29</v>
      </c>
      <c r="E178" s="56" t="s">
        <v>56</v>
      </c>
      <c r="F178" s="56"/>
      <c r="G178" s="57">
        <v>102229.6</v>
      </c>
      <c r="H178" s="49"/>
      <c r="I178" s="49"/>
      <c r="J178" s="49"/>
      <c r="K178" s="49"/>
      <c r="L178" s="49"/>
      <c r="M178" s="49"/>
      <c r="N178" s="49"/>
      <c r="O178" s="49"/>
      <c r="P178" s="49"/>
    </row>
    <row r="179" ht="12.0" customHeight="1">
      <c r="A179" s="56" t="s">
        <v>85</v>
      </c>
      <c r="B179" s="56" t="s">
        <v>50</v>
      </c>
      <c r="C179" s="56" t="s">
        <v>44</v>
      </c>
      <c r="D179" s="56" t="s">
        <v>29</v>
      </c>
      <c r="E179" s="56" t="s">
        <v>56</v>
      </c>
      <c r="F179" s="56"/>
      <c r="G179" s="57">
        <v>79310.0</v>
      </c>
      <c r="H179" s="49"/>
      <c r="I179" s="49"/>
      <c r="J179" s="49"/>
      <c r="K179" s="49"/>
      <c r="L179" s="49"/>
      <c r="M179" s="49"/>
      <c r="N179" s="49"/>
      <c r="O179" s="49"/>
      <c r="P179" s="49"/>
    </row>
    <row r="180" ht="12.0" customHeight="1">
      <c r="A180" s="56" t="s">
        <v>85</v>
      </c>
      <c r="B180" s="56" t="s">
        <v>50</v>
      </c>
      <c r="C180" s="56" t="s">
        <v>44</v>
      </c>
      <c r="D180" s="56" t="s">
        <v>29</v>
      </c>
      <c r="E180" s="56" t="s">
        <v>56</v>
      </c>
      <c r="F180" s="56"/>
      <c r="G180" s="57">
        <v>82500.0</v>
      </c>
      <c r="H180" s="49"/>
      <c r="I180" s="49"/>
      <c r="J180" s="49"/>
      <c r="K180" s="49"/>
      <c r="L180" s="49"/>
      <c r="M180" s="49"/>
      <c r="N180" s="49"/>
      <c r="O180" s="49"/>
      <c r="P180" s="49"/>
    </row>
    <row r="181" ht="12.0" customHeight="1">
      <c r="A181" s="56" t="s">
        <v>85</v>
      </c>
      <c r="B181" s="56" t="s">
        <v>50</v>
      </c>
      <c r="C181" s="56" t="s">
        <v>44</v>
      </c>
      <c r="D181" s="56" t="s">
        <v>29</v>
      </c>
      <c r="E181" s="56" t="s">
        <v>56</v>
      </c>
      <c r="F181" s="56"/>
      <c r="G181" s="57">
        <v>73700.0</v>
      </c>
      <c r="H181" s="49"/>
      <c r="I181" s="49"/>
      <c r="J181" s="49"/>
      <c r="K181" s="49"/>
      <c r="L181" s="49"/>
      <c r="M181" s="49"/>
      <c r="N181" s="49"/>
      <c r="O181" s="49"/>
      <c r="P181" s="49"/>
    </row>
    <row r="182" ht="12.0" customHeight="1">
      <c r="A182" s="56" t="s">
        <v>85</v>
      </c>
      <c r="B182" s="56" t="s">
        <v>50</v>
      </c>
      <c r="C182" s="56" t="s">
        <v>44</v>
      </c>
      <c r="D182" s="56" t="s">
        <v>29</v>
      </c>
      <c r="E182" s="56" t="s">
        <v>66</v>
      </c>
      <c r="F182" s="56"/>
      <c r="G182" s="57">
        <v>77118.8</v>
      </c>
      <c r="H182" s="49"/>
      <c r="I182" s="49"/>
      <c r="J182" s="49"/>
      <c r="K182" s="49"/>
      <c r="L182" s="49"/>
      <c r="M182" s="49"/>
      <c r="N182" s="49"/>
      <c r="O182" s="49"/>
      <c r="P182" s="49"/>
    </row>
    <row r="183" ht="12.0" customHeight="1">
      <c r="A183" s="56" t="s">
        <v>85</v>
      </c>
      <c r="B183" s="56" t="s">
        <v>50</v>
      </c>
      <c r="C183" s="56" t="s">
        <v>44</v>
      </c>
      <c r="D183" s="56" t="s">
        <v>29</v>
      </c>
      <c r="E183" s="56" t="s">
        <v>59</v>
      </c>
      <c r="F183" s="56"/>
      <c r="G183" s="57">
        <v>33990.0</v>
      </c>
      <c r="H183" s="49"/>
      <c r="I183" s="49"/>
      <c r="J183" s="49"/>
      <c r="K183" s="49"/>
      <c r="L183" s="49"/>
      <c r="M183" s="49"/>
      <c r="N183" s="49"/>
      <c r="O183" s="49"/>
      <c r="P183" s="49"/>
    </row>
    <row r="184" ht="12.0" customHeight="1">
      <c r="A184" s="56" t="s">
        <v>85</v>
      </c>
      <c r="B184" s="56" t="s">
        <v>50</v>
      </c>
      <c r="C184" s="56" t="s">
        <v>44</v>
      </c>
      <c r="D184" s="56" t="s">
        <v>29</v>
      </c>
      <c r="E184" s="56" t="s">
        <v>59</v>
      </c>
      <c r="F184" s="56"/>
      <c r="G184" s="57">
        <v>77330.0</v>
      </c>
      <c r="H184" s="49"/>
      <c r="I184" s="49"/>
      <c r="J184" s="49"/>
      <c r="K184" s="49"/>
      <c r="L184" s="49"/>
      <c r="M184" s="49"/>
      <c r="N184" s="49"/>
      <c r="O184" s="49"/>
      <c r="P184" s="49"/>
    </row>
    <row r="185" ht="12.0" customHeight="1">
      <c r="A185" s="56" t="s">
        <v>85</v>
      </c>
      <c r="B185" s="56" t="s">
        <v>50</v>
      </c>
      <c r="C185" s="56" t="s">
        <v>44</v>
      </c>
      <c r="D185" s="56" t="s">
        <v>30</v>
      </c>
      <c r="E185" s="56" t="s">
        <v>6</v>
      </c>
      <c r="F185" s="56"/>
      <c r="G185" s="57">
        <v>110000.00000000001</v>
      </c>
      <c r="H185" s="49"/>
      <c r="I185" s="49"/>
      <c r="J185" s="49"/>
      <c r="K185" s="49"/>
      <c r="L185" s="49"/>
      <c r="M185" s="49"/>
      <c r="N185" s="49"/>
      <c r="O185" s="49"/>
      <c r="P185" s="49"/>
    </row>
    <row r="186" ht="12.0" customHeight="1">
      <c r="A186" s="56" t="s">
        <v>85</v>
      </c>
      <c r="B186" s="56" t="s">
        <v>50</v>
      </c>
      <c r="C186" s="56" t="s">
        <v>44</v>
      </c>
      <c r="D186" s="56" t="s">
        <v>30</v>
      </c>
      <c r="E186" s="56" t="s">
        <v>5</v>
      </c>
      <c r="F186" s="56"/>
      <c r="G186" s="57">
        <v>154000.0</v>
      </c>
      <c r="H186" s="49"/>
      <c r="I186" s="49"/>
      <c r="J186" s="49"/>
      <c r="K186" s="49"/>
      <c r="L186" s="49"/>
      <c r="M186" s="49"/>
      <c r="N186" s="49"/>
      <c r="O186" s="49"/>
      <c r="P186" s="49"/>
    </row>
    <row r="187" ht="12.0" customHeight="1">
      <c r="A187" s="56" t="s">
        <v>85</v>
      </c>
      <c r="B187" s="56" t="s">
        <v>50</v>
      </c>
      <c r="C187" s="56" t="s">
        <v>44</v>
      </c>
      <c r="D187" s="56" t="s">
        <v>30</v>
      </c>
      <c r="E187" s="56" t="s">
        <v>5</v>
      </c>
      <c r="F187" s="56"/>
      <c r="G187" s="57">
        <v>77000.0</v>
      </c>
      <c r="H187" s="49"/>
      <c r="I187" s="49"/>
      <c r="J187" s="49"/>
      <c r="K187" s="49"/>
      <c r="L187" s="49"/>
      <c r="M187" s="49"/>
      <c r="N187" s="49"/>
      <c r="O187" s="49"/>
      <c r="P187" s="49"/>
    </row>
    <row r="188" ht="12.0" customHeight="1">
      <c r="A188" s="56" t="s">
        <v>85</v>
      </c>
      <c r="B188" s="56" t="s">
        <v>50</v>
      </c>
      <c r="C188" s="56" t="s">
        <v>44</v>
      </c>
      <c r="D188" s="56" t="s">
        <v>30</v>
      </c>
      <c r="E188" s="56" t="s">
        <v>5</v>
      </c>
      <c r="F188" s="56"/>
      <c r="G188" s="57">
        <v>115500.00000000001</v>
      </c>
      <c r="H188" s="49"/>
      <c r="I188" s="49"/>
      <c r="J188" s="49"/>
      <c r="K188" s="49"/>
      <c r="L188" s="49"/>
      <c r="M188" s="49"/>
      <c r="N188" s="49"/>
      <c r="O188" s="49"/>
      <c r="P188" s="49"/>
    </row>
    <row r="189" ht="12.0" customHeight="1">
      <c r="A189" s="56" t="s">
        <v>85</v>
      </c>
      <c r="B189" s="56" t="s">
        <v>50</v>
      </c>
      <c r="C189" s="56" t="s">
        <v>44</v>
      </c>
      <c r="D189" s="56" t="s">
        <v>30</v>
      </c>
      <c r="E189" s="56" t="s">
        <v>5</v>
      </c>
      <c r="F189" s="56"/>
      <c r="G189" s="57">
        <v>77000.0</v>
      </c>
      <c r="H189" s="49"/>
      <c r="I189" s="49"/>
      <c r="J189" s="49"/>
      <c r="K189" s="49"/>
      <c r="L189" s="49"/>
      <c r="M189" s="49"/>
      <c r="N189" s="49"/>
      <c r="O189" s="49"/>
      <c r="P189" s="49"/>
    </row>
    <row r="190" ht="12.0" customHeight="1">
      <c r="A190" s="56" t="s">
        <v>85</v>
      </c>
      <c r="B190" s="56" t="s">
        <v>50</v>
      </c>
      <c r="C190" s="56" t="s">
        <v>44</v>
      </c>
      <c r="D190" s="56" t="s">
        <v>30</v>
      </c>
      <c r="E190" s="56" t="s">
        <v>5</v>
      </c>
      <c r="F190" s="56"/>
      <c r="G190" s="57">
        <v>77000.0</v>
      </c>
      <c r="H190" s="49"/>
      <c r="I190" s="49"/>
      <c r="J190" s="49"/>
      <c r="K190" s="49"/>
      <c r="L190" s="49"/>
      <c r="M190" s="49"/>
      <c r="N190" s="49"/>
      <c r="O190" s="49"/>
      <c r="P190" s="49"/>
    </row>
    <row r="191" ht="12.0" customHeight="1">
      <c r="A191" s="56" t="s">
        <v>85</v>
      </c>
      <c r="B191" s="56" t="s">
        <v>50</v>
      </c>
      <c r="C191" s="56" t="s">
        <v>44</v>
      </c>
      <c r="D191" s="56" t="s">
        <v>30</v>
      </c>
      <c r="E191" s="56" t="s">
        <v>5</v>
      </c>
      <c r="F191" s="56"/>
      <c r="G191" s="57">
        <v>73810.0</v>
      </c>
      <c r="H191" s="49"/>
      <c r="I191" s="49"/>
      <c r="J191" s="49"/>
      <c r="K191" s="49"/>
      <c r="L191" s="49"/>
      <c r="M191" s="49"/>
      <c r="N191" s="49"/>
      <c r="O191" s="49"/>
      <c r="P191" s="49"/>
    </row>
    <row r="192" ht="12.0" customHeight="1">
      <c r="A192" s="56" t="s">
        <v>85</v>
      </c>
      <c r="B192" s="56" t="s">
        <v>50</v>
      </c>
      <c r="C192" s="56" t="s">
        <v>44</v>
      </c>
      <c r="D192" s="56" t="s">
        <v>30</v>
      </c>
      <c r="E192" s="56" t="s">
        <v>61</v>
      </c>
      <c r="F192" s="56"/>
      <c r="G192" s="57">
        <v>44035.200000000004</v>
      </c>
      <c r="H192" s="49"/>
      <c r="I192" s="49"/>
      <c r="J192" s="49"/>
      <c r="K192" s="49"/>
      <c r="L192" s="49"/>
      <c r="M192" s="49"/>
      <c r="N192" s="49"/>
      <c r="O192" s="49"/>
      <c r="P192" s="49"/>
    </row>
    <row r="193" ht="12.0" customHeight="1">
      <c r="A193" s="56" t="s">
        <v>85</v>
      </c>
      <c r="B193" s="56" t="s">
        <v>50</v>
      </c>
      <c r="C193" s="56" t="s">
        <v>44</v>
      </c>
      <c r="D193" s="56" t="s">
        <v>30</v>
      </c>
      <c r="E193" s="56" t="s">
        <v>61</v>
      </c>
      <c r="F193" s="56"/>
      <c r="G193" s="57">
        <v>72600.0</v>
      </c>
      <c r="H193" s="49"/>
      <c r="I193" s="49"/>
      <c r="J193" s="49"/>
      <c r="K193" s="49"/>
      <c r="L193" s="49"/>
      <c r="M193" s="49"/>
      <c r="N193" s="49"/>
      <c r="O193" s="49"/>
      <c r="P193" s="49"/>
    </row>
    <row r="194" ht="12.0" customHeight="1">
      <c r="A194" s="56" t="s">
        <v>85</v>
      </c>
      <c r="B194" s="56" t="s">
        <v>50</v>
      </c>
      <c r="C194" s="56" t="s">
        <v>74</v>
      </c>
      <c r="D194" s="56" t="s">
        <v>25</v>
      </c>
      <c r="E194" s="56" t="s">
        <v>75</v>
      </c>
      <c r="F194" s="56"/>
      <c r="G194" s="57">
        <v>15180.000000000002</v>
      </c>
      <c r="H194" s="49"/>
      <c r="I194" s="49"/>
      <c r="J194" s="49"/>
      <c r="K194" s="49"/>
      <c r="L194" s="49"/>
      <c r="M194" s="49"/>
      <c r="N194" s="49"/>
      <c r="O194" s="49"/>
      <c r="P194" s="49"/>
    </row>
    <row r="195" ht="12.0" customHeight="1">
      <c r="A195" s="56" t="s">
        <v>85</v>
      </c>
      <c r="B195" s="56" t="s">
        <v>50</v>
      </c>
      <c r="C195" s="56" t="s">
        <v>74</v>
      </c>
      <c r="D195" s="56" t="s">
        <v>25</v>
      </c>
      <c r="E195" s="56" t="s">
        <v>75</v>
      </c>
      <c r="F195" s="56"/>
      <c r="G195" s="57">
        <v>21252.0</v>
      </c>
      <c r="H195" s="49"/>
      <c r="I195" s="49"/>
      <c r="J195" s="49"/>
      <c r="K195" s="49"/>
      <c r="L195" s="49"/>
      <c r="M195" s="49"/>
      <c r="N195" s="49"/>
      <c r="O195" s="49"/>
      <c r="P195" s="49"/>
    </row>
    <row r="196" ht="12.0" customHeight="1">
      <c r="A196" s="56" t="s">
        <v>85</v>
      </c>
      <c r="B196" s="56" t="s">
        <v>50</v>
      </c>
      <c r="C196" s="56" t="s">
        <v>74</v>
      </c>
      <c r="D196" s="56" t="s">
        <v>25</v>
      </c>
      <c r="E196" s="56" t="s">
        <v>75</v>
      </c>
      <c r="F196" s="56"/>
      <c r="G196" s="57">
        <v>18216.0</v>
      </c>
      <c r="H196" s="49"/>
      <c r="I196" s="49"/>
      <c r="J196" s="49"/>
      <c r="K196" s="49"/>
      <c r="L196" s="49"/>
      <c r="M196" s="49"/>
      <c r="N196" s="49"/>
      <c r="O196" s="49"/>
      <c r="P196" s="49"/>
    </row>
    <row r="197" ht="12.0" customHeight="1">
      <c r="A197" s="56" t="s">
        <v>85</v>
      </c>
      <c r="B197" s="56" t="s">
        <v>50</v>
      </c>
      <c r="C197" s="56" t="s">
        <v>74</v>
      </c>
      <c r="D197" s="56" t="s">
        <v>25</v>
      </c>
      <c r="E197" s="56" t="s">
        <v>75</v>
      </c>
      <c r="F197" s="56"/>
      <c r="G197" s="57">
        <v>13723.6</v>
      </c>
      <c r="H197" s="49"/>
      <c r="I197" s="49"/>
      <c r="J197" s="49"/>
      <c r="K197" s="49"/>
      <c r="L197" s="49"/>
      <c r="M197" s="49"/>
      <c r="N197" s="49"/>
      <c r="O197" s="49"/>
      <c r="P197" s="49"/>
    </row>
    <row r="198" ht="12.0" customHeight="1">
      <c r="A198" s="56" t="s">
        <v>85</v>
      </c>
      <c r="B198" s="56" t="s">
        <v>50</v>
      </c>
      <c r="C198" s="56" t="s">
        <v>74</v>
      </c>
      <c r="D198" s="56" t="s">
        <v>25</v>
      </c>
      <c r="E198" s="56" t="s">
        <v>75</v>
      </c>
      <c r="F198" s="56"/>
      <c r="G198" s="57">
        <v>13798.400000000001</v>
      </c>
      <c r="H198" s="49"/>
      <c r="I198" s="49"/>
      <c r="J198" s="49"/>
      <c r="K198" s="49"/>
      <c r="L198" s="49"/>
      <c r="M198" s="49"/>
      <c r="N198" s="49"/>
      <c r="O198" s="49"/>
      <c r="P198" s="49"/>
    </row>
    <row r="199" ht="12.0" customHeight="1">
      <c r="A199" s="56" t="s">
        <v>85</v>
      </c>
      <c r="B199" s="56" t="s">
        <v>50</v>
      </c>
      <c r="C199" s="56" t="s">
        <v>74</v>
      </c>
      <c r="D199" s="56" t="s">
        <v>25</v>
      </c>
      <c r="E199" s="56" t="s">
        <v>76</v>
      </c>
      <c r="F199" s="56"/>
      <c r="G199" s="57">
        <v>74800.0</v>
      </c>
      <c r="H199" s="49"/>
      <c r="I199" s="49"/>
      <c r="J199" s="49"/>
      <c r="K199" s="49"/>
      <c r="L199" s="49"/>
      <c r="M199" s="49"/>
      <c r="N199" s="49"/>
      <c r="O199" s="49"/>
      <c r="P199" s="49"/>
    </row>
    <row r="200" ht="12.0" customHeight="1">
      <c r="A200" s="56" t="s">
        <v>85</v>
      </c>
      <c r="B200" s="56" t="s">
        <v>50</v>
      </c>
      <c r="C200" s="56" t="s">
        <v>74</v>
      </c>
      <c r="D200" s="56" t="s">
        <v>25</v>
      </c>
      <c r="E200" s="56" t="s">
        <v>76</v>
      </c>
      <c r="F200" s="56"/>
      <c r="G200" s="57">
        <v>102850.00000000001</v>
      </c>
      <c r="H200" s="49"/>
      <c r="I200" s="49"/>
      <c r="J200" s="49"/>
      <c r="K200" s="49"/>
      <c r="L200" s="49"/>
      <c r="M200" s="49"/>
      <c r="N200" s="49"/>
      <c r="O200" s="49"/>
      <c r="P200" s="49"/>
    </row>
    <row r="201" ht="12.0" customHeight="1">
      <c r="A201" s="56" t="s">
        <v>85</v>
      </c>
      <c r="B201" s="56" t="s">
        <v>50</v>
      </c>
      <c r="C201" s="56" t="s">
        <v>74</v>
      </c>
      <c r="D201" s="56" t="s">
        <v>25</v>
      </c>
      <c r="E201" s="56" t="s">
        <v>76</v>
      </c>
      <c r="F201" s="56"/>
      <c r="G201" s="57">
        <v>100430.00000000001</v>
      </c>
      <c r="H201" s="49"/>
      <c r="I201" s="49"/>
      <c r="J201" s="49"/>
      <c r="K201" s="49"/>
      <c r="L201" s="49"/>
      <c r="M201" s="49"/>
      <c r="N201" s="49"/>
      <c r="O201" s="49"/>
      <c r="P201" s="49"/>
    </row>
    <row r="202" ht="12.0" customHeight="1">
      <c r="A202" s="56" t="s">
        <v>85</v>
      </c>
      <c r="B202" s="56" t="s">
        <v>50</v>
      </c>
      <c r="C202" s="56" t="s">
        <v>74</v>
      </c>
      <c r="D202" s="56" t="s">
        <v>25</v>
      </c>
      <c r="E202" s="56" t="s">
        <v>76</v>
      </c>
      <c r="F202" s="56"/>
      <c r="G202" s="57">
        <v>71500.0</v>
      </c>
      <c r="H202" s="49"/>
      <c r="I202" s="49"/>
      <c r="J202" s="49"/>
      <c r="K202" s="49"/>
      <c r="L202" s="49"/>
      <c r="M202" s="49"/>
      <c r="N202" s="49"/>
      <c r="O202" s="49"/>
      <c r="P202" s="49"/>
    </row>
    <row r="203" ht="12.0" customHeight="1">
      <c r="A203" s="56" t="s">
        <v>85</v>
      </c>
      <c r="B203" s="56" t="s">
        <v>50</v>
      </c>
      <c r="C203" s="56" t="s">
        <v>74</v>
      </c>
      <c r="D203" s="56" t="s">
        <v>25</v>
      </c>
      <c r="E203" s="56" t="s">
        <v>76</v>
      </c>
      <c r="F203" s="56"/>
      <c r="G203" s="57">
        <v>74800.0</v>
      </c>
      <c r="H203" s="49"/>
      <c r="I203" s="49"/>
      <c r="J203" s="49"/>
      <c r="K203" s="49"/>
      <c r="L203" s="49"/>
      <c r="M203" s="49"/>
      <c r="N203" s="49"/>
      <c r="O203" s="49"/>
      <c r="P203" s="49"/>
    </row>
    <row r="204" ht="12.0" customHeight="1">
      <c r="A204" s="56" t="s">
        <v>85</v>
      </c>
      <c r="B204" s="56" t="s">
        <v>50</v>
      </c>
      <c r="C204" s="56" t="s">
        <v>74</v>
      </c>
      <c r="D204" s="56" t="s">
        <v>25</v>
      </c>
      <c r="E204" s="56" t="s">
        <v>76</v>
      </c>
      <c r="F204" s="56"/>
      <c r="G204" s="57">
        <v>82500.0</v>
      </c>
      <c r="H204" s="49"/>
      <c r="I204" s="49"/>
      <c r="J204" s="49"/>
      <c r="K204" s="49"/>
      <c r="L204" s="49"/>
      <c r="M204" s="49"/>
      <c r="N204" s="49"/>
      <c r="O204" s="49"/>
      <c r="P204" s="49"/>
    </row>
    <row r="205" ht="12.0" customHeight="1">
      <c r="A205" s="56" t="s">
        <v>85</v>
      </c>
      <c r="B205" s="56" t="s">
        <v>50</v>
      </c>
      <c r="C205" s="56" t="s">
        <v>74</v>
      </c>
      <c r="D205" s="56" t="s">
        <v>25</v>
      </c>
      <c r="E205" s="56" t="s">
        <v>76</v>
      </c>
      <c r="F205" s="56"/>
      <c r="G205" s="57">
        <v>110000.00000000001</v>
      </c>
      <c r="H205" s="49"/>
      <c r="I205" s="49"/>
      <c r="J205" s="49"/>
      <c r="K205" s="49"/>
      <c r="L205" s="49"/>
      <c r="M205" s="49"/>
      <c r="N205" s="49"/>
      <c r="O205" s="49"/>
      <c r="P205" s="49"/>
    </row>
    <row r="206" ht="12.0" customHeight="1">
      <c r="A206" s="56" t="s">
        <v>85</v>
      </c>
      <c r="B206" s="56" t="s">
        <v>50</v>
      </c>
      <c r="C206" s="56" t="s">
        <v>74</v>
      </c>
      <c r="D206" s="56" t="s">
        <v>25</v>
      </c>
      <c r="E206" s="56" t="s">
        <v>76</v>
      </c>
      <c r="F206" s="56"/>
      <c r="G206" s="57">
        <v>0.0</v>
      </c>
      <c r="H206" s="49"/>
      <c r="I206" s="49"/>
      <c r="J206" s="49"/>
      <c r="K206" s="49"/>
      <c r="L206" s="49"/>
      <c r="M206" s="49"/>
      <c r="N206" s="49"/>
      <c r="O206" s="49"/>
      <c r="P206" s="49"/>
    </row>
    <row r="207" ht="12.0" customHeight="1">
      <c r="A207" s="56" t="s">
        <v>85</v>
      </c>
      <c r="B207" s="56" t="s">
        <v>50</v>
      </c>
      <c r="C207" s="56" t="s">
        <v>44</v>
      </c>
      <c r="D207" s="56" t="s">
        <v>28</v>
      </c>
      <c r="E207" s="56" t="s">
        <v>51</v>
      </c>
      <c r="F207" s="56"/>
      <c r="G207" s="57">
        <v>236500.00000000003</v>
      </c>
      <c r="H207" s="49"/>
      <c r="I207" s="49"/>
      <c r="J207" s="49"/>
      <c r="K207" s="49"/>
      <c r="L207" s="49"/>
      <c r="M207" s="49"/>
      <c r="N207" s="49"/>
      <c r="O207" s="49"/>
      <c r="P207" s="49"/>
    </row>
    <row r="208" ht="12.0" customHeight="1">
      <c r="A208" s="56" t="s">
        <v>85</v>
      </c>
      <c r="B208" s="56" t="s">
        <v>50</v>
      </c>
      <c r="C208" s="56" t="s">
        <v>44</v>
      </c>
      <c r="D208" s="56" t="s">
        <v>28</v>
      </c>
      <c r="E208" s="56" t="s">
        <v>51</v>
      </c>
      <c r="F208" s="56"/>
      <c r="G208" s="57">
        <v>55000.00000000001</v>
      </c>
      <c r="H208" s="49"/>
      <c r="I208" s="49"/>
      <c r="J208" s="49"/>
      <c r="K208" s="49"/>
      <c r="L208" s="49"/>
      <c r="M208" s="49"/>
      <c r="N208" s="49"/>
      <c r="O208" s="49"/>
      <c r="P208" s="49"/>
    </row>
    <row r="209" ht="12.0" customHeight="1">
      <c r="A209" s="56" t="s">
        <v>85</v>
      </c>
      <c r="B209" s="56" t="s">
        <v>50</v>
      </c>
      <c r="C209" s="56" t="s">
        <v>44</v>
      </c>
      <c r="D209" s="56" t="s">
        <v>29</v>
      </c>
      <c r="E209" s="56" t="s">
        <v>56</v>
      </c>
      <c r="F209" s="56"/>
      <c r="G209" s="57">
        <v>49500.00000000001</v>
      </c>
      <c r="H209" s="49"/>
      <c r="I209" s="49"/>
      <c r="J209" s="49"/>
      <c r="K209" s="49"/>
      <c r="L209" s="49"/>
      <c r="M209" s="49"/>
      <c r="N209" s="49"/>
      <c r="O209" s="49"/>
      <c r="P209" s="49"/>
    </row>
    <row r="210" ht="12.0" customHeight="1">
      <c r="A210" s="56" t="s">
        <v>85</v>
      </c>
      <c r="B210" s="56" t="s">
        <v>50</v>
      </c>
      <c r="C210" s="56" t="s">
        <v>44</v>
      </c>
      <c r="D210" s="56" t="s">
        <v>29</v>
      </c>
      <c r="E210" s="56" t="s">
        <v>56</v>
      </c>
      <c r="F210" s="56"/>
      <c r="G210" s="57">
        <v>132000.0</v>
      </c>
      <c r="H210" s="49"/>
      <c r="I210" s="49"/>
      <c r="J210" s="49"/>
      <c r="K210" s="49"/>
      <c r="L210" s="49"/>
      <c r="M210" s="49"/>
      <c r="N210" s="49"/>
      <c r="O210" s="49"/>
      <c r="P210" s="49"/>
    </row>
    <row r="211" ht="12.0" customHeight="1">
      <c r="A211" s="56" t="s">
        <v>85</v>
      </c>
      <c r="B211" s="56" t="s">
        <v>50</v>
      </c>
      <c r="C211" s="56" t="s">
        <v>44</v>
      </c>
      <c r="D211" s="56" t="s">
        <v>29</v>
      </c>
      <c r="E211" s="56" t="s">
        <v>56</v>
      </c>
      <c r="F211" s="56"/>
      <c r="G211" s="57">
        <v>121000.00000000001</v>
      </c>
      <c r="H211" s="49"/>
      <c r="I211" s="49"/>
      <c r="J211" s="49"/>
      <c r="K211" s="49"/>
      <c r="L211" s="49"/>
      <c r="M211" s="49"/>
      <c r="N211" s="49"/>
      <c r="O211" s="49"/>
      <c r="P211" s="49"/>
    </row>
    <row r="212" ht="12.0" customHeight="1">
      <c r="A212" s="56" t="s">
        <v>85</v>
      </c>
      <c r="B212" s="56" t="s">
        <v>50</v>
      </c>
      <c r="C212" s="56" t="s">
        <v>44</v>
      </c>
      <c r="D212" s="56" t="s">
        <v>29</v>
      </c>
      <c r="E212" s="56" t="s">
        <v>56</v>
      </c>
      <c r="F212" s="56"/>
      <c r="G212" s="57">
        <v>132000.0</v>
      </c>
      <c r="H212" s="49"/>
      <c r="I212" s="49"/>
      <c r="J212" s="49"/>
      <c r="K212" s="49"/>
      <c r="L212" s="49"/>
      <c r="M212" s="49"/>
      <c r="N212" s="49"/>
      <c r="O212" s="49"/>
      <c r="P212" s="49"/>
    </row>
    <row r="213" ht="12.0" customHeight="1">
      <c r="A213" s="56" t="s">
        <v>85</v>
      </c>
      <c r="B213" s="56" t="s">
        <v>50</v>
      </c>
      <c r="C213" s="56" t="s">
        <v>44</v>
      </c>
      <c r="D213" s="56" t="s">
        <v>29</v>
      </c>
      <c r="E213" s="56" t="s">
        <v>56</v>
      </c>
      <c r="F213" s="56"/>
      <c r="G213" s="57">
        <v>169400.0</v>
      </c>
      <c r="H213" s="49"/>
      <c r="I213" s="49"/>
      <c r="J213" s="49"/>
      <c r="K213" s="49"/>
      <c r="L213" s="49"/>
      <c r="M213" s="49"/>
      <c r="N213" s="49"/>
      <c r="O213" s="49"/>
      <c r="P213" s="49"/>
    </row>
    <row r="214" ht="12.0" customHeight="1">
      <c r="A214" s="56" t="s">
        <v>85</v>
      </c>
      <c r="B214" s="56" t="s">
        <v>50</v>
      </c>
      <c r="C214" s="56" t="s">
        <v>44</v>
      </c>
      <c r="D214" s="56" t="s">
        <v>29</v>
      </c>
      <c r="E214" s="56" t="s">
        <v>56</v>
      </c>
      <c r="F214" s="56"/>
      <c r="G214" s="57">
        <v>143000.0</v>
      </c>
      <c r="H214" s="49"/>
      <c r="I214" s="49"/>
      <c r="J214" s="49"/>
      <c r="K214" s="49"/>
      <c r="L214" s="49"/>
      <c r="M214" s="49"/>
      <c r="N214" s="49"/>
      <c r="O214" s="49"/>
      <c r="P214" s="49"/>
    </row>
    <row r="215" ht="12.0" customHeight="1">
      <c r="A215" s="56" t="s">
        <v>85</v>
      </c>
      <c r="B215" s="56" t="s">
        <v>50</v>
      </c>
      <c r="C215" s="56" t="s">
        <v>44</v>
      </c>
      <c r="D215" s="56" t="s">
        <v>30</v>
      </c>
      <c r="E215" s="56" t="s">
        <v>6</v>
      </c>
      <c r="F215" s="56"/>
      <c r="G215" s="57">
        <v>90002.0</v>
      </c>
      <c r="H215" s="49"/>
      <c r="I215" s="49"/>
      <c r="J215" s="49"/>
      <c r="K215" s="49"/>
      <c r="L215" s="49"/>
      <c r="M215" s="49"/>
      <c r="N215" s="49"/>
      <c r="O215" s="49"/>
      <c r="P215" s="49"/>
    </row>
    <row r="216" ht="12.0" customHeight="1">
      <c r="A216" s="56" t="s">
        <v>85</v>
      </c>
      <c r="B216" s="56" t="s">
        <v>50</v>
      </c>
      <c r="C216" s="56" t="s">
        <v>44</v>
      </c>
      <c r="D216" s="56" t="s">
        <v>30</v>
      </c>
      <c r="E216" s="56" t="s">
        <v>6</v>
      </c>
      <c r="F216" s="56"/>
      <c r="G216" s="57">
        <v>5108.400000000001</v>
      </c>
      <c r="H216" s="49"/>
      <c r="I216" s="49"/>
      <c r="J216" s="49"/>
      <c r="K216" s="49"/>
      <c r="L216" s="49"/>
      <c r="M216" s="49"/>
      <c r="N216" s="49"/>
      <c r="O216" s="49"/>
      <c r="P216" s="49"/>
    </row>
    <row r="217" ht="12.0" customHeight="1">
      <c r="A217" s="56" t="s">
        <v>85</v>
      </c>
      <c r="B217" s="56" t="s">
        <v>50</v>
      </c>
      <c r="C217" s="56" t="s">
        <v>44</v>
      </c>
      <c r="D217" s="56" t="s">
        <v>30</v>
      </c>
      <c r="E217" s="56" t="s">
        <v>5</v>
      </c>
      <c r="F217" s="56"/>
      <c r="G217" s="57">
        <v>137500.0</v>
      </c>
      <c r="H217" s="49"/>
      <c r="I217" s="49"/>
      <c r="J217" s="49"/>
      <c r="K217" s="49"/>
      <c r="L217" s="49"/>
      <c r="M217" s="49"/>
      <c r="N217" s="49"/>
      <c r="O217" s="49"/>
      <c r="P217" s="49"/>
    </row>
    <row r="218" ht="12.0" customHeight="1">
      <c r="A218" s="56" t="s">
        <v>85</v>
      </c>
      <c r="B218" s="56" t="s">
        <v>50</v>
      </c>
      <c r="C218" s="56" t="s">
        <v>44</v>
      </c>
      <c r="D218" s="56" t="s">
        <v>30</v>
      </c>
      <c r="E218" s="56" t="s">
        <v>5</v>
      </c>
      <c r="F218" s="56"/>
      <c r="G218" s="57">
        <v>132000.0</v>
      </c>
      <c r="H218" s="49"/>
      <c r="I218" s="49"/>
      <c r="J218" s="49"/>
      <c r="K218" s="49"/>
      <c r="L218" s="49"/>
      <c r="M218" s="49"/>
      <c r="N218" s="49"/>
      <c r="O218" s="49"/>
      <c r="P218" s="49"/>
    </row>
    <row r="219" ht="12.0" customHeight="1">
      <c r="A219" s="56" t="s">
        <v>85</v>
      </c>
      <c r="B219" s="56" t="s">
        <v>50</v>
      </c>
      <c r="C219" s="56" t="s">
        <v>74</v>
      </c>
      <c r="D219" s="56" t="s">
        <v>25</v>
      </c>
      <c r="E219" s="56" t="s">
        <v>75</v>
      </c>
      <c r="F219" s="56"/>
      <c r="G219" s="57">
        <v>19800.0</v>
      </c>
      <c r="H219" s="49"/>
      <c r="I219" s="49"/>
      <c r="J219" s="49"/>
      <c r="K219" s="49"/>
      <c r="L219" s="49"/>
      <c r="M219" s="49"/>
      <c r="N219" s="49"/>
      <c r="O219" s="49"/>
      <c r="P219" s="49"/>
    </row>
    <row r="220" ht="12.0" customHeight="1">
      <c r="A220" s="56" t="s">
        <v>85</v>
      </c>
      <c r="B220" s="56" t="s">
        <v>50</v>
      </c>
      <c r="C220" s="56" t="s">
        <v>74</v>
      </c>
      <c r="D220" s="56" t="s">
        <v>25</v>
      </c>
      <c r="E220" s="56" t="s">
        <v>75</v>
      </c>
      <c r="F220" s="56"/>
      <c r="G220" s="57">
        <v>27720.000000000004</v>
      </c>
      <c r="H220" s="49"/>
      <c r="I220" s="49"/>
      <c r="J220" s="49"/>
      <c r="K220" s="49"/>
      <c r="L220" s="49"/>
      <c r="M220" s="49"/>
      <c r="N220" s="49"/>
      <c r="O220" s="49"/>
      <c r="P220" s="49"/>
    </row>
    <row r="221" ht="12.0" customHeight="1">
      <c r="A221" s="56" t="s">
        <v>85</v>
      </c>
      <c r="B221" s="56" t="s">
        <v>50</v>
      </c>
      <c r="C221" s="56" t="s">
        <v>74</v>
      </c>
      <c r="D221" s="56" t="s">
        <v>25</v>
      </c>
      <c r="E221" s="56" t="s">
        <v>75</v>
      </c>
      <c r="F221" s="56"/>
      <c r="G221" s="57">
        <v>98978.00000000001</v>
      </c>
      <c r="H221" s="49"/>
      <c r="I221" s="49"/>
      <c r="J221" s="49"/>
      <c r="K221" s="49"/>
      <c r="L221" s="49"/>
      <c r="M221" s="49"/>
      <c r="N221" s="49"/>
      <c r="O221" s="49"/>
      <c r="P221" s="49"/>
    </row>
    <row r="222" ht="12.0" customHeight="1">
      <c r="A222" s="56" t="s">
        <v>85</v>
      </c>
      <c r="B222" s="56" t="s">
        <v>50</v>
      </c>
      <c r="C222" s="56" t="s">
        <v>74</v>
      </c>
      <c r="D222" s="56" t="s">
        <v>25</v>
      </c>
      <c r="E222" s="56" t="s">
        <v>75</v>
      </c>
      <c r="F222" s="56"/>
      <c r="G222" s="57">
        <v>23760.000000000004</v>
      </c>
      <c r="H222" s="49"/>
      <c r="I222" s="49"/>
      <c r="J222" s="49"/>
      <c r="K222" s="49"/>
      <c r="L222" s="49"/>
      <c r="M222" s="49"/>
      <c r="N222" s="49"/>
      <c r="O222" s="49"/>
      <c r="P222" s="49"/>
    </row>
    <row r="223" ht="12.0" customHeight="1">
      <c r="A223" s="56" t="s">
        <v>85</v>
      </c>
      <c r="B223" s="56" t="s">
        <v>50</v>
      </c>
      <c r="C223" s="56" t="s">
        <v>74</v>
      </c>
      <c r="D223" s="56" t="s">
        <v>25</v>
      </c>
      <c r="E223" s="56" t="s">
        <v>75</v>
      </c>
      <c r="F223" s="56"/>
      <c r="G223" s="57">
        <v>17899.2</v>
      </c>
      <c r="H223" s="49"/>
      <c r="I223" s="49"/>
      <c r="J223" s="49"/>
      <c r="K223" s="49"/>
      <c r="L223" s="49"/>
      <c r="M223" s="49"/>
      <c r="N223" s="49"/>
      <c r="O223" s="49"/>
      <c r="P223" s="49"/>
    </row>
    <row r="224" ht="12.0" customHeight="1">
      <c r="A224" s="56" t="s">
        <v>85</v>
      </c>
      <c r="B224" s="56" t="s">
        <v>50</v>
      </c>
      <c r="C224" s="56" t="s">
        <v>74</v>
      </c>
      <c r="D224" s="56" t="s">
        <v>25</v>
      </c>
      <c r="E224" s="56" t="s">
        <v>75</v>
      </c>
      <c r="F224" s="56"/>
      <c r="G224" s="57">
        <v>46750.00000000001</v>
      </c>
      <c r="H224" s="49"/>
      <c r="I224" s="49"/>
      <c r="J224" s="49"/>
      <c r="K224" s="49"/>
      <c r="L224" s="49"/>
      <c r="M224" s="49"/>
      <c r="N224" s="49"/>
      <c r="O224" s="49"/>
      <c r="P224" s="49"/>
    </row>
    <row r="225" ht="12.0" customHeight="1">
      <c r="A225" s="56" t="s">
        <v>85</v>
      </c>
      <c r="B225" s="56" t="s">
        <v>50</v>
      </c>
      <c r="C225" s="56" t="s">
        <v>74</v>
      </c>
      <c r="D225" s="56" t="s">
        <v>25</v>
      </c>
      <c r="E225" s="56" t="s">
        <v>75</v>
      </c>
      <c r="F225" s="56"/>
      <c r="G225" s="57">
        <v>18000.4</v>
      </c>
      <c r="H225" s="49"/>
      <c r="I225" s="49"/>
      <c r="J225" s="49"/>
      <c r="K225" s="49"/>
      <c r="L225" s="49"/>
      <c r="M225" s="49"/>
      <c r="N225" s="49"/>
      <c r="O225" s="49"/>
      <c r="P225" s="49"/>
    </row>
    <row r="226" ht="12.0" customHeight="1">
      <c r="A226" s="56" t="s">
        <v>85</v>
      </c>
      <c r="B226" s="56" t="s">
        <v>50</v>
      </c>
      <c r="C226" s="56" t="s">
        <v>74</v>
      </c>
      <c r="D226" s="56" t="s">
        <v>25</v>
      </c>
      <c r="E226" s="56" t="s">
        <v>75</v>
      </c>
      <c r="F226" s="56"/>
      <c r="G226" s="57">
        <v>93500.00000000001</v>
      </c>
      <c r="H226" s="49"/>
      <c r="I226" s="49"/>
      <c r="J226" s="49"/>
      <c r="K226" s="49"/>
      <c r="L226" s="49"/>
      <c r="M226" s="49"/>
      <c r="N226" s="49"/>
      <c r="O226" s="49"/>
      <c r="P226" s="49"/>
    </row>
    <row r="227" ht="12.0" customHeight="1">
      <c r="A227" s="56" t="s">
        <v>85</v>
      </c>
      <c r="B227" s="56" t="s">
        <v>50</v>
      </c>
      <c r="C227" s="56" t="s">
        <v>74</v>
      </c>
      <c r="D227" s="56" t="s">
        <v>25</v>
      </c>
      <c r="E227" s="56" t="s">
        <v>76</v>
      </c>
      <c r="F227" s="56"/>
      <c r="G227" s="57">
        <v>10960.400000000001</v>
      </c>
      <c r="H227" s="49"/>
      <c r="I227" s="49"/>
      <c r="J227" s="49"/>
      <c r="K227" s="49"/>
      <c r="L227" s="49"/>
      <c r="M227" s="49"/>
      <c r="N227" s="49"/>
      <c r="O227" s="49"/>
      <c r="P227" s="49"/>
    </row>
    <row r="228" ht="12.0" customHeight="1">
      <c r="A228" s="56" t="s">
        <v>85</v>
      </c>
      <c r="B228" s="56" t="s">
        <v>50</v>
      </c>
      <c r="C228" s="56" t="s">
        <v>74</v>
      </c>
      <c r="D228" s="56" t="s">
        <v>25</v>
      </c>
      <c r="E228" s="56" t="s">
        <v>76</v>
      </c>
      <c r="F228" s="56"/>
      <c r="G228" s="57">
        <v>110000.00000000001</v>
      </c>
      <c r="H228" s="49"/>
      <c r="I228" s="49"/>
      <c r="J228" s="49"/>
      <c r="K228" s="49"/>
      <c r="L228" s="49"/>
      <c r="M228" s="49"/>
      <c r="N228" s="49"/>
      <c r="O228" s="49"/>
      <c r="P228" s="49"/>
    </row>
    <row r="229" ht="12.0" customHeight="1">
      <c r="A229" s="56" t="s">
        <v>85</v>
      </c>
      <c r="B229" s="56" t="s">
        <v>50</v>
      </c>
      <c r="C229" s="56" t="s">
        <v>74</v>
      </c>
      <c r="D229" s="56" t="s">
        <v>25</v>
      </c>
      <c r="E229" s="56" t="s">
        <v>76</v>
      </c>
      <c r="F229" s="56"/>
      <c r="G229" s="57">
        <v>62840.8</v>
      </c>
      <c r="H229" s="49"/>
      <c r="I229" s="49"/>
      <c r="J229" s="49"/>
      <c r="K229" s="49"/>
      <c r="L229" s="49"/>
      <c r="M229" s="49"/>
      <c r="N229" s="49"/>
      <c r="O229" s="49"/>
      <c r="P229" s="49"/>
    </row>
    <row r="230" ht="12.0" customHeight="1">
      <c r="A230" s="56" t="s">
        <v>85</v>
      </c>
      <c r="B230" s="56" t="s">
        <v>50</v>
      </c>
      <c r="C230" s="56" t="s">
        <v>74</v>
      </c>
      <c r="D230" s="56" t="s">
        <v>25</v>
      </c>
      <c r="E230" s="56" t="s">
        <v>76</v>
      </c>
      <c r="F230" s="56"/>
      <c r="G230" s="57">
        <v>102480.40000000001</v>
      </c>
      <c r="H230" s="49"/>
      <c r="I230" s="49"/>
      <c r="J230" s="49"/>
      <c r="K230" s="49"/>
      <c r="L230" s="49"/>
      <c r="M230" s="49"/>
      <c r="N230" s="49"/>
      <c r="O230" s="49"/>
      <c r="P230" s="49"/>
    </row>
    <row r="231" ht="12.0" customHeight="1">
      <c r="A231" s="56" t="s">
        <v>85</v>
      </c>
      <c r="B231" s="56" t="s">
        <v>50</v>
      </c>
      <c r="C231" s="56" t="s">
        <v>74</v>
      </c>
      <c r="D231" s="56" t="s">
        <v>25</v>
      </c>
      <c r="E231" s="56" t="s">
        <v>76</v>
      </c>
      <c r="F231" s="56"/>
      <c r="G231" s="57">
        <v>20165.2</v>
      </c>
      <c r="H231" s="49"/>
      <c r="I231" s="49"/>
      <c r="J231" s="49"/>
      <c r="K231" s="49"/>
      <c r="L231" s="49"/>
      <c r="M231" s="49"/>
      <c r="N231" s="49"/>
      <c r="O231" s="49"/>
      <c r="P231" s="49"/>
    </row>
    <row r="232" ht="12.0" customHeight="1">
      <c r="A232" s="56" t="s">
        <v>85</v>
      </c>
      <c r="B232" s="56" t="s">
        <v>50</v>
      </c>
      <c r="C232" s="56" t="s">
        <v>74</v>
      </c>
      <c r="D232" s="56" t="s">
        <v>25</v>
      </c>
      <c r="E232" s="56" t="s">
        <v>76</v>
      </c>
      <c r="F232" s="56"/>
      <c r="G232" s="57">
        <v>0.0</v>
      </c>
      <c r="H232" s="49"/>
      <c r="I232" s="49"/>
      <c r="J232" s="49"/>
      <c r="K232" s="49"/>
      <c r="L232" s="49"/>
      <c r="M232" s="49"/>
      <c r="N232" s="49"/>
      <c r="O232" s="49"/>
      <c r="P232" s="49"/>
    </row>
    <row r="233" ht="12.0" customHeight="1">
      <c r="A233" s="56" t="s">
        <v>85</v>
      </c>
      <c r="B233" s="56" t="s">
        <v>50</v>
      </c>
      <c r="C233" s="56" t="s">
        <v>74</v>
      </c>
      <c r="D233" s="56" t="s">
        <v>25</v>
      </c>
      <c r="E233" s="56" t="s">
        <v>76</v>
      </c>
      <c r="F233" s="56"/>
      <c r="G233" s="57">
        <v>121000.00000000001</v>
      </c>
      <c r="H233" s="49"/>
      <c r="I233" s="49"/>
      <c r="J233" s="49"/>
      <c r="K233" s="49"/>
      <c r="L233" s="49"/>
      <c r="M233" s="49"/>
      <c r="N233" s="49"/>
      <c r="O233" s="49"/>
      <c r="P233" s="49"/>
    </row>
    <row r="234" ht="12.0" customHeight="1">
      <c r="A234" s="56" t="s">
        <v>85</v>
      </c>
      <c r="B234" s="56" t="s">
        <v>50</v>
      </c>
      <c r="C234" s="56" t="s">
        <v>74</v>
      </c>
      <c r="D234" s="56" t="s">
        <v>25</v>
      </c>
      <c r="E234" s="56" t="s">
        <v>76</v>
      </c>
      <c r="F234" s="56"/>
      <c r="G234" s="57">
        <v>102480.40000000001</v>
      </c>
      <c r="H234" s="49"/>
      <c r="I234" s="49"/>
      <c r="J234" s="49"/>
      <c r="K234" s="49"/>
      <c r="L234" s="49"/>
      <c r="M234" s="49"/>
      <c r="N234" s="49"/>
      <c r="O234" s="49"/>
      <c r="P234" s="49"/>
    </row>
    <row r="235" ht="12.0" customHeight="1">
      <c r="A235" s="56" t="s">
        <v>85</v>
      </c>
      <c r="B235" s="56" t="s">
        <v>50</v>
      </c>
      <c r="C235" s="56" t="s">
        <v>74</v>
      </c>
      <c r="D235" s="56" t="s">
        <v>25</v>
      </c>
      <c r="E235" s="56" t="s">
        <v>76</v>
      </c>
      <c r="F235" s="56"/>
      <c r="G235" s="57">
        <v>0.0</v>
      </c>
      <c r="H235" s="49"/>
      <c r="I235" s="49"/>
      <c r="J235" s="49"/>
      <c r="K235" s="49"/>
      <c r="L235" s="49"/>
      <c r="M235" s="49"/>
      <c r="N235" s="49"/>
      <c r="O235" s="49"/>
      <c r="P235" s="49"/>
    </row>
    <row r="236" ht="12.0" customHeight="1">
      <c r="A236" s="56" t="s">
        <v>85</v>
      </c>
      <c r="B236" s="56" t="s">
        <v>50</v>
      </c>
      <c r="C236" s="56" t="s">
        <v>74</v>
      </c>
      <c r="D236" s="56" t="s">
        <v>25</v>
      </c>
      <c r="E236" s="56" t="s">
        <v>76</v>
      </c>
      <c r="F236" s="56"/>
      <c r="G236" s="57">
        <v>110000.00000000001</v>
      </c>
      <c r="H236" s="49"/>
      <c r="I236" s="49"/>
      <c r="J236" s="49"/>
      <c r="K236" s="49"/>
      <c r="L236" s="49"/>
      <c r="M236" s="49"/>
      <c r="N236" s="49"/>
      <c r="O236" s="49"/>
      <c r="P236" s="49"/>
    </row>
    <row r="237" ht="12.0" customHeight="1">
      <c r="A237" s="56" t="s">
        <v>85</v>
      </c>
      <c r="B237" s="56" t="s">
        <v>50</v>
      </c>
      <c r="C237" s="56" t="s">
        <v>74</v>
      </c>
      <c r="D237" s="56" t="s">
        <v>25</v>
      </c>
      <c r="E237" s="56" t="s">
        <v>7</v>
      </c>
      <c r="F237" s="56"/>
      <c r="G237" s="57">
        <v>4584.8</v>
      </c>
      <c r="H237" s="49"/>
      <c r="I237" s="49"/>
      <c r="J237" s="49"/>
      <c r="K237" s="49"/>
      <c r="L237" s="49"/>
      <c r="M237" s="49"/>
      <c r="N237" s="49"/>
      <c r="O237" s="49"/>
      <c r="P237" s="49"/>
    </row>
    <row r="238" ht="12.0" customHeight="1">
      <c r="A238" s="56" t="s">
        <v>85</v>
      </c>
      <c r="B238" s="56" t="s">
        <v>50</v>
      </c>
      <c r="C238" s="56" t="s">
        <v>74</v>
      </c>
      <c r="D238" s="56" t="s">
        <v>25</v>
      </c>
      <c r="E238" s="56" t="s">
        <v>7</v>
      </c>
      <c r="F238" s="56"/>
      <c r="G238" s="57">
        <v>65714.0</v>
      </c>
      <c r="H238" s="49"/>
      <c r="I238" s="49"/>
      <c r="J238" s="49"/>
      <c r="K238" s="49"/>
      <c r="L238" s="49"/>
      <c r="M238" s="49"/>
      <c r="N238" s="49"/>
      <c r="O238" s="49"/>
      <c r="P238" s="49"/>
    </row>
    <row r="239" ht="12.0" customHeight="1">
      <c r="A239" s="56" t="s">
        <v>85</v>
      </c>
      <c r="B239" s="56" t="s">
        <v>50</v>
      </c>
      <c r="C239" s="56" t="s">
        <v>74</v>
      </c>
      <c r="D239" s="56" t="s">
        <v>25</v>
      </c>
      <c r="E239" s="56" t="s">
        <v>7</v>
      </c>
      <c r="F239" s="56"/>
      <c r="G239" s="57">
        <v>55602.8</v>
      </c>
      <c r="H239" s="49"/>
      <c r="I239" s="49"/>
      <c r="J239" s="49"/>
      <c r="K239" s="49"/>
      <c r="L239" s="49"/>
      <c r="M239" s="49"/>
      <c r="N239" s="49"/>
      <c r="O239" s="49"/>
      <c r="P239" s="49"/>
    </row>
    <row r="240" ht="12.0" customHeight="1">
      <c r="A240" s="56" t="s">
        <v>85</v>
      </c>
      <c r="B240" s="56" t="s">
        <v>50</v>
      </c>
      <c r="C240" s="56" t="s">
        <v>74</v>
      </c>
      <c r="D240" s="56" t="s">
        <v>25</v>
      </c>
      <c r="E240" s="56" t="s">
        <v>7</v>
      </c>
      <c r="F240" s="56"/>
      <c r="G240" s="57">
        <v>0.0</v>
      </c>
      <c r="H240" s="49"/>
      <c r="I240" s="49"/>
      <c r="J240" s="49"/>
      <c r="K240" s="49"/>
      <c r="L240" s="49"/>
      <c r="M240" s="49"/>
      <c r="N240" s="49"/>
      <c r="O240" s="49"/>
      <c r="P240" s="49"/>
    </row>
    <row r="241" ht="12.0" customHeight="1">
      <c r="A241" s="56" t="s">
        <v>85</v>
      </c>
      <c r="B241" s="56" t="s">
        <v>50</v>
      </c>
      <c r="C241" s="56" t="s">
        <v>74</v>
      </c>
      <c r="D241" s="56" t="s">
        <v>25</v>
      </c>
      <c r="E241" s="56" t="s">
        <v>7</v>
      </c>
      <c r="F241" s="56"/>
      <c r="G241" s="57">
        <v>24750.000000000004</v>
      </c>
      <c r="H241" s="49"/>
      <c r="I241" s="49"/>
      <c r="J241" s="49"/>
      <c r="K241" s="49"/>
      <c r="L241" s="49"/>
      <c r="M241" s="49"/>
      <c r="N241" s="49"/>
      <c r="O241" s="49"/>
      <c r="P241" s="49"/>
    </row>
    <row r="242" ht="12.0" customHeight="1">
      <c r="A242" s="56" t="s">
        <v>85</v>
      </c>
      <c r="B242" s="56" t="s">
        <v>50</v>
      </c>
      <c r="C242" s="56" t="s">
        <v>74</v>
      </c>
      <c r="D242" s="56" t="s">
        <v>27</v>
      </c>
      <c r="E242" s="56" t="s">
        <v>79</v>
      </c>
      <c r="F242" s="56"/>
      <c r="G242" s="57">
        <v>100672.00000000001</v>
      </c>
      <c r="H242" s="49"/>
      <c r="I242" s="49"/>
      <c r="J242" s="49"/>
      <c r="K242" s="49"/>
      <c r="L242" s="49"/>
      <c r="M242" s="49"/>
      <c r="N242" s="49"/>
      <c r="O242" s="49"/>
      <c r="P242" s="49"/>
    </row>
    <row r="243" ht="12.0" customHeight="1">
      <c r="A243" s="56" t="s">
        <v>85</v>
      </c>
      <c r="B243" s="56" t="s">
        <v>50</v>
      </c>
      <c r="C243" s="56" t="s">
        <v>74</v>
      </c>
      <c r="D243" s="56" t="s">
        <v>27</v>
      </c>
      <c r="E243" s="56" t="s">
        <v>79</v>
      </c>
      <c r="F243" s="56"/>
      <c r="G243" s="57">
        <v>49500.00000000001</v>
      </c>
      <c r="H243" s="49"/>
      <c r="I243" s="49"/>
      <c r="J243" s="49"/>
      <c r="K243" s="49"/>
      <c r="L243" s="49"/>
      <c r="M243" s="49"/>
      <c r="N243" s="49"/>
      <c r="O243" s="49"/>
      <c r="P243" s="49"/>
    </row>
    <row r="244" ht="12.0" customHeight="1">
      <c r="A244" s="56" t="s">
        <v>85</v>
      </c>
      <c r="B244" s="56" t="s">
        <v>50</v>
      </c>
      <c r="C244" s="56" t="s">
        <v>74</v>
      </c>
      <c r="D244" s="56" t="s">
        <v>27</v>
      </c>
      <c r="E244" s="56" t="s">
        <v>78</v>
      </c>
      <c r="F244" s="56"/>
      <c r="G244" s="57">
        <v>25577.2</v>
      </c>
      <c r="H244" s="49"/>
      <c r="I244" s="49"/>
      <c r="J244" s="49"/>
      <c r="K244" s="49"/>
      <c r="L244" s="49"/>
      <c r="M244" s="49"/>
      <c r="N244" s="49"/>
      <c r="O244" s="49"/>
      <c r="P244" s="49"/>
    </row>
    <row r="245" ht="12.0" customHeight="1">
      <c r="A245" s="56" t="s">
        <v>85</v>
      </c>
      <c r="B245" s="56" t="s">
        <v>50</v>
      </c>
      <c r="C245" s="56" t="s">
        <v>74</v>
      </c>
      <c r="D245" s="56" t="s">
        <v>27</v>
      </c>
      <c r="E245" s="56" t="s">
        <v>78</v>
      </c>
      <c r="F245" s="56"/>
      <c r="G245" s="57">
        <v>137500.0</v>
      </c>
      <c r="H245" s="49"/>
      <c r="I245" s="49"/>
      <c r="J245" s="49"/>
      <c r="K245" s="49"/>
      <c r="L245" s="49"/>
      <c r="M245" s="49"/>
      <c r="N245" s="49"/>
      <c r="O245" s="49"/>
      <c r="P245" s="49"/>
    </row>
    <row r="246" ht="12.0" customHeight="1">
      <c r="A246" s="56" t="s">
        <v>85</v>
      </c>
      <c r="B246" s="56" t="s">
        <v>50</v>
      </c>
      <c r="C246" s="56" t="s">
        <v>74</v>
      </c>
      <c r="D246" s="56" t="s">
        <v>27</v>
      </c>
      <c r="E246" s="56" t="s">
        <v>78</v>
      </c>
      <c r="F246" s="56"/>
      <c r="G246" s="57">
        <v>126500.00000000001</v>
      </c>
      <c r="H246" s="49"/>
      <c r="I246" s="49"/>
      <c r="J246" s="49"/>
      <c r="K246" s="49"/>
      <c r="L246" s="49"/>
      <c r="M246" s="49"/>
      <c r="N246" s="49"/>
      <c r="O246" s="49"/>
      <c r="P246" s="49"/>
    </row>
    <row r="247" ht="12.0" customHeight="1">
      <c r="A247" s="56" t="s">
        <v>85</v>
      </c>
      <c r="B247" s="56" t="s">
        <v>50</v>
      </c>
      <c r="C247" s="56" t="s">
        <v>74</v>
      </c>
      <c r="D247" s="56" t="s">
        <v>27</v>
      </c>
      <c r="E247" s="56" t="s">
        <v>78</v>
      </c>
      <c r="F247" s="56"/>
      <c r="G247" s="57">
        <v>98177.20000000001</v>
      </c>
      <c r="H247" s="49"/>
      <c r="I247" s="49"/>
      <c r="J247" s="49"/>
      <c r="K247" s="49"/>
      <c r="L247" s="49"/>
      <c r="M247" s="49"/>
      <c r="N247" s="49"/>
      <c r="O247" s="49"/>
      <c r="P247" s="49"/>
    </row>
    <row r="248" ht="12.0" customHeight="1">
      <c r="A248" s="56" t="s">
        <v>85</v>
      </c>
      <c r="B248" s="56" t="s">
        <v>50</v>
      </c>
      <c r="C248" s="56" t="s">
        <v>74</v>
      </c>
      <c r="D248" s="56" t="s">
        <v>27</v>
      </c>
      <c r="E248" s="56" t="s">
        <v>78</v>
      </c>
      <c r="F248" s="56"/>
      <c r="G248" s="57">
        <v>105371.20000000001</v>
      </c>
      <c r="H248" s="49"/>
      <c r="I248" s="49"/>
      <c r="J248" s="49"/>
      <c r="K248" s="49"/>
      <c r="L248" s="49"/>
      <c r="M248" s="49"/>
      <c r="N248" s="49"/>
      <c r="O248" s="49"/>
      <c r="P248" s="49"/>
    </row>
    <row r="249" ht="12.0" customHeight="1">
      <c r="A249" s="56" t="s">
        <v>85</v>
      </c>
      <c r="B249" s="56" t="s">
        <v>50</v>
      </c>
      <c r="C249" s="56" t="s">
        <v>74</v>
      </c>
      <c r="D249" s="56" t="s">
        <v>27</v>
      </c>
      <c r="E249" s="56" t="s">
        <v>78</v>
      </c>
      <c r="F249" s="56"/>
      <c r="G249" s="57">
        <v>0.0</v>
      </c>
      <c r="H249" s="49"/>
      <c r="I249" s="49"/>
      <c r="J249" s="49"/>
      <c r="K249" s="49"/>
      <c r="L249" s="49"/>
      <c r="M249" s="49"/>
      <c r="N249" s="49"/>
      <c r="O249" s="49"/>
      <c r="P249" s="49"/>
    </row>
    <row r="250" ht="12.0" customHeight="1">
      <c r="A250" s="56" t="s">
        <v>85</v>
      </c>
      <c r="B250" s="56" t="s">
        <v>50</v>
      </c>
      <c r="C250" s="56" t="s">
        <v>74</v>
      </c>
      <c r="D250" s="56" t="s">
        <v>27</v>
      </c>
      <c r="E250" s="56" t="s">
        <v>78</v>
      </c>
      <c r="F250" s="56"/>
      <c r="G250" s="57">
        <v>0.0</v>
      </c>
      <c r="H250" s="49"/>
      <c r="I250" s="49"/>
      <c r="J250" s="49"/>
      <c r="K250" s="49"/>
      <c r="L250" s="49"/>
      <c r="M250" s="49"/>
      <c r="N250" s="49"/>
      <c r="O250" s="49"/>
      <c r="P250" s="49"/>
    </row>
    <row r="251" ht="12.0" customHeight="1">
      <c r="A251" s="56" t="s">
        <v>85</v>
      </c>
      <c r="B251" s="56" t="s">
        <v>50</v>
      </c>
      <c r="C251" s="56" t="s">
        <v>44</v>
      </c>
      <c r="D251" s="56" t="s">
        <v>28</v>
      </c>
      <c r="E251" s="56" t="s">
        <v>48</v>
      </c>
      <c r="F251" s="56"/>
      <c r="G251" s="57">
        <v>91300.00000000001</v>
      </c>
      <c r="H251" s="49"/>
      <c r="I251" s="49"/>
      <c r="J251" s="49"/>
      <c r="K251" s="49"/>
      <c r="L251" s="49"/>
      <c r="M251" s="49"/>
      <c r="N251" s="49"/>
      <c r="O251" s="49"/>
      <c r="P251" s="49"/>
    </row>
    <row r="252" ht="12.0" customHeight="1">
      <c r="A252" s="56" t="s">
        <v>85</v>
      </c>
      <c r="B252" s="56" t="s">
        <v>50</v>
      </c>
      <c r="C252" s="56" t="s">
        <v>44</v>
      </c>
      <c r="D252" s="56" t="s">
        <v>28</v>
      </c>
      <c r="E252" s="56" t="s">
        <v>51</v>
      </c>
      <c r="F252" s="56"/>
      <c r="G252" s="57">
        <v>137280.0</v>
      </c>
      <c r="H252" s="49"/>
      <c r="I252" s="49"/>
      <c r="J252" s="49"/>
      <c r="K252" s="49"/>
      <c r="L252" s="49"/>
      <c r="M252" s="49"/>
      <c r="N252" s="49"/>
      <c r="O252" s="49"/>
      <c r="P252" s="49"/>
    </row>
    <row r="253" ht="12.0" customHeight="1">
      <c r="A253" s="56" t="s">
        <v>85</v>
      </c>
      <c r="B253" s="56" t="s">
        <v>50</v>
      </c>
      <c r="C253" s="56" t="s">
        <v>44</v>
      </c>
      <c r="D253" s="56" t="s">
        <v>29</v>
      </c>
      <c r="E253" s="56" t="s">
        <v>56</v>
      </c>
      <c r="F253" s="56"/>
      <c r="G253" s="57">
        <v>132000.0</v>
      </c>
      <c r="H253" s="49"/>
      <c r="I253" s="49"/>
      <c r="J253" s="49"/>
      <c r="K253" s="49"/>
      <c r="L253" s="49"/>
      <c r="M253" s="49"/>
      <c r="N253" s="49"/>
      <c r="O253" s="49"/>
      <c r="P253" s="49"/>
    </row>
    <row r="254" ht="12.0" customHeight="1">
      <c r="A254" s="56" t="s">
        <v>85</v>
      </c>
      <c r="B254" s="56" t="s">
        <v>50</v>
      </c>
      <c r="C254" s="56" t="s">
        <v>44</v>
      </c>
      <c r="D254" s="56" t="s">
        <v>29</v>
      </c>
      <c r="E254" s="56" t="s">
        <v>56</v>
      </c>
      <c r="F254" s="56"/>
      <c r="G254" s="57">
        <v>164282.80000000002</v>
      </c>
      <c r="H254" s="49"/>
      <c r="I254" s="49"/>
      <c r="J254" s="49"/>
      <c r="K254" s="49"/>
      <c r="L254" s="49"/>
      <c r="M254" s="49"/>
      <c r="N254" s="49"/>
      <c r="O254" s="49"/>
      <c r="P254" s="49"/>
    </row>
    <row r="255" ht="12.0" customHeight="1">
      <c r="A255" s="56" t="s">
        <v>85</v>
      </c>
      <c r="B255" s="56" t="s">
        <v>50</v>
      </c>
      <c r="C255" s="56" t="s">
        <v>44</v>
      </c>
      <c r="D255" s="56" t="s">
        <v>29</v>
      </c>
      <c r="E255" s="56" t="s">
        <v>56</v>
      </c>
      <c r="F255" s="56"/>
      <c r="G255" s="57">
        <v>147290.0</v>
      </c>
      <c r="H255" s="49"/>
      <c r="I255" s="49"/>
      <c r="J255" s="49"/>
      <c r="K255" s="49"/>
      <c r="L255" s="49"/>
      <c r="M255" s="49"/>
      <c r="N255" s="49"/>
      <c r="O255" s="49"/>
      <c r="P255" s="49"/>
    </row>
    <row r="256" ht="12.0" customHeight="1">
      <c r="A256" s="56" t="s">
        <v>85</v>
      </c>
      <c r="B256" s="56" t="s">
        <v>50</v>
      </c>
      <c r="C256" s="56" t="s">
        <v>44</v>
      </c>
      <c r="D256" s="56" t="s">
        <v>29</v>
      </c>
      <c r="E256" s="56" t="s">
        <v>56</v>
      </c>
      <c r="F256" s="56"/>
      <c r="G256" s="57">
        <v>132000.0</v>
      </c>
      <c r="H256" s="49"/>
      <c r="I256" s="49"/>
      <c r="J256" s="49"/>
      <c r="K256" s="49"/>
      <c r="L256" s="49"/>
      <c r="M256" s="49"/>
      <c r="N256" s="49"/>
      <c r="O256" s="49"/>
      <c r="P256" s="49"/>
    </row>
    <row r="257" ht="12.0" customHeight="1">
      <c r="A257" s="56" t="s">
        <v>85</v>
      </c>
      <c r="B257" s="56" t="s">
        <v>50</v>
      </c>
      <c r="C257" s="56" t="s">
        <v>44</v>
      </c>
      <c r="D257" s="56" t="s">
        <v>29</v>
      </c>
      <c r="E257" s="56" t="s">
        <v>56</v>
      </c>
      <c r="F257" s="56"/>
      <c r="G257" s="57">
        <v>97152.00000000001</v>
      </c>
      <c r="H257" s="49"/>
      <c r="I257" s="49"/>
      <c r="J257" s="49"/>
      <c r="K257" s="49"/>
      <c r="L257" s="49"/>
      <c r="M257" s="49"/>
      <c r="N257" s="49"/>
      <c r="O257" s="49"/>
      <c r="P257" s="49"/>
    </row>
    <row r="258" ht="12.0" customHeight="1">
      <c r="A258" s="56" t="s">
        <v>85</v>
      </c>
      <c r="B258" s="56" t="s">
        <v>50</v>
      </c>
      <c r="C258" s="56" t="s">
        <v>44</v>
      </c>
      <c r="D258" s="56" t="s">
        <v>29</v>
      </c>
      <c r="E258" s="56" t="s">
        <v>56</v>
      </c>
      <c r="F258" s="56"/>
      <c r="G258" s="57">
        <v>158364.80000000002</v>
      </c>
      <c r="H258" s="49"/>
      <c r="I258" s="49"/>
      <c r="J258" s="49"/>
      <c r="K258" s="49"/>
      <c r="L258" s="49"/>
      <c r="M258" s="49"/>
      <c r="N258" s="49"/>
      <c r="O258" s="49"/>
      <c r="P258" s="49"/>
    </row>
    <row r="259" ht="12.0" customHeight="1">
      <c r="A259" s="56" t="s">
        <v>85</v>
      </c>
      <c r="B259" s="56" t="s">
        <v>50</v>
      </c>
      <c r="C259" s="56" t="s">
        <v>44</v>
      </c>
      <c r="D259" s="56" t="s">
        <v>29</v>
      </c>
      <c r="E259" s="56" t="s">
        <v>66</v>
      </c>
      <c r="F259" s="56"/>
      <c r="G259" s="57">
        <v>124300.00000000001</v>
      </c>
      <c r="H259" s="49"/>
      <c r="I259" s="49"/>
      <c r="J259" s="49"/>
      <c r="K259" s="49"/>
      <c r="L259" s="49"/>
      <c r="M259" s="49"/>
      <c r="N259" s="49"/>
      <c r="O259" s="49"/>
      <c r="P259" s="49"/>
    </row>
    <row r="260" ht="12.0" customHeight="1">
      <c r="A260" s="56" t="s">
        <v>85</v>
      </c>
      <c r="B260" s="56" t="s">
        <v>50</v>
      </c>
      <c r="C260" s="56" t="s">
        <v>44</v>
      </c>
      <c r="D260" s="56" t="s">
        <v>29</v>
      </c>
      <c r="E260" s="56" t="s">
        <v>59</v>
      </c>
      <c r="F260" s="56"/>
      <c r="G260" s="57">
        <v>112970.00000000001</v>
      </c>
      <c r="H260" s="49"/>
      <c r="I260" s="49"/>
      <c r="J260" s="49"/>
      <c r="K260" s="49"/>
      <c r="L260" s="49"/>
      <c r="M260" s="49"/>
      <c r="N260" s="49"/>
      <c r="O260" s="49"/>
      <c r="P260" s="49"/>
    </row>
    <row r="261" ht="12.0" customHeight="1">
      <c r="A261" s="56" t="s">
        <v>85</v>
      </c>
      <c r="B261" s="56" t="s">
        <v>50</v>
      </c>
      <c r="C261" s="56" t="s">
        <v>44</v>
      </c>
      <c r="D261" s="56" t="s">
        <v>29</v>
      </c>
      <c r="E261" s="56" t="s">
        <v>59</v>
      </c>
      <c r="F261" s="56"/>
      <c r="G261" s="57">
        <v>99000.00000000001</v>
      </c>
      <c r="H261" s="49"/>
      <c r="I261" s="49"/>
      <c r="J261" s="49"/>
      <c r="K261" s="49"/>
      <c r="L261" s="49"/>
      <c r="M261" s="49"/>
      <c r="N261" s="49"/>
      <c r="O261" s="49"/>
      <c r="P261" s="49"/>
    </row>
    <row r="262" ht="12.0" customHeight="1">
      <c r="A262" s="56" t="s">
        <v>85</v>
      </c>
      <c r="B262" s="56" t="s">
        <v>50</v>
      </c>
      <c r="C262" s="56" t="s">
        <v>44</v>
      </c>
      <c r="D262" s="56" t="s">
        <v>30</v>
      </c>
      <c r="E262" s="56" t="s">
        <v>6</v>
      </c>
      <c r="F262" s="56"/>
      <c r="G262" s="57">
        <v>65780.0</v>
      </c>
      <c r="H262" s="49"/>
      <c r="I262" s="49"/>
      <c r="J262" s="49"/>
      <c r="K262" s="49"/>
      <c r="L262" s="49"/>
      <c r="M262" s="49"/>
      <c r="N262" s="49"/>
      <c r="O262" s="49"/>
      <c r="P262" s="49"/>
    </row>
    <row r="263" ht="12.0" customHeight="1">
      <c r="A263" s="56" t="s">
        <v>85</v>
      </c>
      <c r="B263" s="56" t="s">
        <v>50</v>
      </c>
      <c r="C263" s="56" t="s">
        <v>44</v>
      </c>
      <c r="D263" s="56" t="s">
        <v>30</v>
      </c>
      <c r="E263" s="56" t="s">
        <v>6</v>
      </c>
      <c r="F263" s="56"/>
      <c r="G263" s="57">
        <v>55000.00000000001</v>
      </c>
      <c r="H263" s="49"/>
      <c r="I263" s="49"/>
      <c r="J263" s="49"/>
      <c r="K263" s="49"/>
      <c r="L263" s="49"/>
      <c r="M263" s="49"/>
      <c r="N263" s="49"/>
      <c r="O263" s="49"/>
      <c r="P263" s="49"/>
    </row>
    <row r="264" ht="12.0" customHeight="1">
      <c r="A264" s="56" t="s">
        <v>85</v>
      </c>
      <c r="B264" s="56" t="s">
        <v>50</v>
      </c>
      <c r="C264" s="56" t="s">
        <v>44</v>
      </c>
      <c r="D264" s="56" t="s">
        <v>30</v>
      </c>
      <c r="E264" s="56" t="s">
        <v>5</v>
      </c>
      <c r="F264" s="56"/>
      <c r="G264" s="57">
        <v>134010.80000000002</v>
      </c>
      <c r="H264" s="49"/>
      <c r="I264" s="49"/>
      <c r="J264" s="49"/>
      <c r="K264" s="49"/>
      <c r="L264" s="49"/>
      <c r="M264" s="49"/>
      <c r="N264" s="49"/>
      <c r="O264" s="49"/>
      <c r="P264" s="49"/>
    </row>
    <row r="265" ht="12.0" customHeight="1">
      <c r="A265" s="56" t="s">
        <v>85</v>
      </c>
      <c r="B265" s="56" t="s">
        <v>50</v>
      </c>
      <c r="C265" s="56" t="s">
        <v>44</v>
      </c>
      <c r="D265" s="56" t="s">
        <v>30</v>
      </c>
      <c r="E265" s="56" t="s">
        <v>5</v>
      </c>
      <c r="F265" s="56"/>
      <c r="G265" s="57">
        <v>60500.00000000001</v>
      </c>
      <c r="H265" s="49"/>
      <c r="I265" s="49"/>
      <c r="J265" s="49"/>
      <c r="K265" s="49"/>
      <c r="L265" s="49"/>
      <c r="M265" s="49"/>
      <c r="N265" s="49"/>
      <c r="O265" s="49"/>
      <c r="P265" s="49"/>
    </row>
    <row r="266" ht="12.0" customHeight="1">
      <c r="A266" s="56" t="s">
        <v>85</v>
      </c>
      <c r="B266" s="56" t="s">
        <v>50</v>
      </c>
      <c r="C266" s="56" t="s">
        <v>44</v>
      </c>
      <c r="D266" s="56" t="s">
        <v>30</v>
      </c>
      <c r="E266" s="56" t="s">
        <v>5</v>
      </c>
      <c r="F266" s="56"/>
      <c r="G266" s="57">
        <v>165541.2</v>
      </c>
      <c r="H266" s="49"/>
      <c r="I266" s="49"/>
      <c r="J266" s="49"/>
      <c r="K266" s="49"/>
      <c r="L266" s="49"/>
      <c r="M266" s="49"/>
      <c r="N266" s="49"/>
      <c r="O266" s="49"/>
      <c r="P266" s="49"/>
    </row>
    <row r="267" ht="12.0" customHeight="1">
      <c r="A267" s="56" t="s">
        <v>85</v>
      </c>
      <c r="B267" s="56" t="s">
        <v>50</v>
      </c>
      <c r="C267" s="56" t="s">
        <v>44</v>
      </c>
      <c r="D267" s="56" t="s">
        <v>30</v>
      </c>
      <c r="E267" s="56" t="s">
        <v>5</v>
      </c>
      <c r="F267" s="56"/>
      <c r="G267" s="57">
        <v>16733.2</v>
      </c>
      <c r="H267" s="49"/>
      <c r="I267" s="49"/>
      <c r="J267" s="49"/>
      <c r="K267" s="49"/>
      <c r="L267" s="49"/>
      <c r="M267" s="49"/>
      <c r="N267" s="49"/>
      <c r="O267" s="49"/>
      <c r="P267" s="49"/>
    </row>
    <row r="268" ht="12.0" customHeight="1">
      <c r="A268" s="56" t="s">
        <v>85</v>
      </c>
      <c r="B268" s="56" t="s">
        <v>50</v>
      </c>
      <c r="C268" s="56" t="s">
        <v>44</v>
      </c>
      <c r="D268" s="56" t="s">
        <v>30</v>
      </c>
      <c r="E268" s="56" t="s">
        <v>61</v>
      </c>
      <c r="F268" s="56"/>
      <c r="G268" s="57">
        <v>73823.20000000001</v>
      </c>
      <c r="H268" s="49"/>
      <c r="I268" s="49"/>
      <c r="J268" s="49"/>
      <c r="K268" s="49"/>
      <c r="L268" s="49"/>
      <c r="M268" s="49"/>
      <c r="N268" s="49"/>
      <c r="O268" s="49"/>
      <c r="P268" s="49"/>
    </row>
    <row r="269" ht="12.0" customHeight="1">
      <c r="A269" s="56" t="s">
        <v>85</v>
      </c>
      <c r="B269" s="56" t="s">
        <v>50</v>
      </c>
      <c r="C269" s="56" t="s">
        <v>44</v>
      </c>
      <c r="D269" s="56" t="s">
        <v>30</v>
      </c>
      <c r="E269" s="56" t="s">
        <v>61</v>
      </c>
      <c r="F269" s="56"/>
      <c r="G269" s="57">
        <v>143000.0</v>
      </c>
      <c r="H269" s="49"/>
      <c r="I269" s="49"/>
      <c r="J269" s="49"/>
      <c r="K269" s="49"/>
      <c r="L269" s="49"/>
      <c r="M269" s="49"/>
      <c r="N269" s="49"/>
      <c r="O269" s="49"/>
      <c r="P269" s="49"/>
    </row>
    <row r="270" ht="12.0" customHeight="1">
      <c r="A270" s="56" t="s">
        <v>85</v>
      </c>
      <c r="B270" s="56" t="s">
        <v>50</v>
      </c>
      <c r="C270" s="56" t="s">
        <v>44</v>
      </c>
      <c r="D270" s="56" t="s">
        <v>30</v>
      </c>
      <c r="E270" s="56" t="s">
        <v>61</v>
      </c>
      <c r="F270" s="56"/>
      <c r="G270" s="57">
        <v>33114.4</v>
      </c>
      <c r="H270" s="49"/>
      <c r="I270" s="49"/>
      <c r="J270" s="49"/>
      <c r="K270" s="49"/>
      <c r="L270" s="49"/>
      <c r="M270" s="49"/>
      <c r="N270" s="49"/>
      <c r="O270" s="49"/>
      <c r="P270" s="49"/>
    </row>
    <row r="271" ht="12.0" customHeight="1">
      <c r="A271" s="56" t="s">
        <v>85</v>
      </c>
      <c r="B271" s="56" t="s">
        <v>50</v>
      </c>
      <c r="C271" s="56" t="s">
        <v>44</v>
      </c>
      <c r="D271" s="56" t="s">
        <v>30</v>
      </c>
      <c r="E271" s="56" t="s">
        <v>61</v>
      </c>
      <c r="F271" s="56"/>
      <c r="G271" s="57">
        <v>0.0</v>
      </c>
      <c r="H271" s="49"/>
      <c r="I271" s="49"/>
      <c r="J271" s="49"/>
      <c r="K271" s="49"/>
      <c r="L271" s="49"/>
      <c r="M271" s="49"/>
      <c r="N271" s="49"/>
      <c r="O271" s="49"/>
      <c r="P271" s="49"/>
    </row>
    <row r="272" ht="12.0" customHeight="1">
      <c r="A272" s="56" t="s">
        <v>85</v>
      </c>
      <c r="B272" s="56" t="s">
        <v>50</v>
      </c>
      <c r="C272" s="56" t="s">
        <v>44</v>
      </c>
      <c r="D272" s="56" t="s">
        <v>30</v>
      </c>
      <c r="E272" s="56" t="s">
        <v>61</v>
      </c>
      <c r="F272" s="56"/>
      <c r="G272" s="57">
        <v>67491.6</v>
      </c>
      <c r="H272" s="49"/>
      <c r="I272" s="49"/>
      <c r="J272" s="49"/>
      <c r="K272" s="49"/>
      <c r="L272" s="49"/>
      <c r="M272" s="49"/>
      <c r="N272" s="49"/>
      <c r="O272" s="49"/>
      <c r="P272" s="49"/>
    </row>
    <row r="273" ht="12.0" customHeight="1">
      <c r="A273" s="56" t="s">
        <v>85</v>
      </c>
      <c r="B273" s="56" t="s">
        <v>50</v>
      </c>
      <c r="C273" s="56" t="s">
        <v>74</v>
      </c>
      <c r="D273" s="56" t="s">
        <v>25</v>
      </c>
      <c r="E273" s="56" t="s">
        <v>75</v>
      </c>
      <c r="F273" s="56"/>
      <c r="G273" s="57">
        <v>46956.8</v>
      </c>
      <c r="H273" s="49"/>
      <c r="I273" s="49"/>
      <c r="J273" s="49"/>
      <c r="K273" s="49"/>
      <c r="L273" s="49"/>
      <c r="M273" s="49"/>
      <c r="N273" s="49"/>
      <c r="O273" s="49"/>
      <c r="P273" s="49"/>
    </row>
    <row r="274" ht="12.0" customHeight="1">
      <c r="A274" s="56" t="s">
        <v>85</v>
      </c>
      <c r="B274" s="56" t="s">
        <v>50</v>
      </c>
      <c r="C274" s="56" t="s">
        <v>74</v>
      </c>
      <c r="D274" s="56" t="s">
        <v>25</v>
      </c>
      <c r="E274" s="56" t="s">
        <v>75</v>
      </c>
      <c r="F274" s="56"/>
      <c r="G274" s="57">
        <v>58176.8</v>
      </c>
      <c r="H274" s="49"/>
      <c r="I274" s="49"/>
      <c r="J274" s="49"/>
      <c r="K274" s="49"/>
      <c r="L274" s="49"/>
      <c r="M274" s="49"/>
      <c r="N274" s="49"/>
      <c r="O274" s="49"/>
      <c r="P274" s="49"/>
    </row>
    <row r="275" ht="12.0" customHeight="1">
      <c r="A275" s="56" t="s">
        <v>85</v>
      </c>
      <c r="B275" s="56" t="s">
        <v>50</v>
      </c>
      <c r="C275" s="56" t="s">
        <v>74</v>
      </c>
      <c r="D275" s="56" t="s">
        <v>25</v>
      </c>
      <c r="E275" s="56" t="s">
        <v>75</v>
      </c>
      <c r="F275" s="56"/>
      <c r="G275" s="57">
        <v>55000.00000000001</v>
      </c>
      <c r="H275" s="49"/>
      <c r="I275" s="49"/>
      <c r="J275" s="49"/>
      <c r="K275" s="49"/>
      <c r="L275" s="49"/>
      <c r="M275" s="49"/>
      <c r="N275" s="49"/>
      <c r="O275" s="49"/>
      <c r="P275" s="49"/>
    </row>
    <row r="276" ht="12.0" customHeight="1">
      <c r="A276" s="56" t="s">
        <v>85</v>
      </c>
      <c r="B276" s="56" t="s">
        <v>50</v>
      </c>
      <c r="C276" s="56" t="s">
        <v>74</v>
      </c>
      <c r="D276" s="56" t="s">
        <v>25</v>
      </c>
      <c r="E276" s="56" t="s">
        <v>76</v>
      </c>
      <c r="F276" s="56"/>
      <c r="G276" s="57">
        <v>0.0</v>
      </c>
      <c r="H276" s="49"/>
      <c r="I276" s="49"/>
      <c r="J276" s="49"/>
      <c r="K276" s="49"/>
      <c r="L276" s="49"/>
      <c r="M276" s="49"/>
      <c r="N276" s="49"/>
      <c r="O276" s="49"/>
      <c r="P276" s="49"/>
    </row>
    <row r="277" ht="12.0" customHeight="1">
      <c r="A277" s="56" t="s">
        <v>85</v>
      </c>
      <c r="B277" s="56" t="s">
        <v>50</v>
      </c>
      <c r="C277" s="56" t="s">
        <v>74</v>
      </c>
      <c r="D277" s="56" t="s">
        <v>25</v>
      </c>
      <c r="E277" s="56" t="s">
        <v>76</v>
      </c>
      <c r="F277" s="56"/>
      <c r="G277" s="57">
        <v>22000.0</v>
      </c>
      <c r="H277" s="49"/>
      <c r="I277" s="49"/>
      <c r="J277" s="49"/>
      <c r="K277" s="49"/>
      <c r="L277" s="49"/>
      <c r="M277" s="49"/>
      <c r="N277" s="49"/>
      <c r="O277" s="49"/>
      <c r="P277" s="49"/>
    </row>
    <row r="278" ht="12.0" customHeight="1">
      <c r="A278" s="56" t="s">
        <v>85</v>
      </c>
      <c r="B278" s="56" t="s">
        <v>50</v>
      </c>
      <c r="C278" s="56" t="s">
        <v>74</v>
      </c>
      <c r="D278" s="56" t="s">
        <v>25</v>
      </c>
      <c r="E278" s="56" t="s">
        <v>76</v>
      </c>
      <c r="F278" s="56"/>
      <c r="G278" s="57">
        <v>-2503.6000000000004</v>
      </c>
      <c r="H278" s="49"/>
      <c r="I278" s="49"/>
      <c r="J278" s="49"/>
      <c r="K278" s="49"/>
      <c r="L278" s="49"/>
      <c r="M278" s="49"/>
      <c r="N278" s="49"/>
      <c r="O278" s="49"/>
      <c r="P278" s="49"/>
    </row>
    <row r="279" ht="12.0" customHeight="1">
      <c r="A279" s="56" t="s">
        <v>85</v>
      </c>
      <c r="B279" s="56" t="s">
        <v>50</v>
      </c>
      <c r="C279" s="56" t="s">
        <v>74</v>
      </c>
      <c r="D279" s="56" t="s">
        <v>25</v>
      </c>
      <c r="E279" s="56" t="s">
        <v>76</v>
      </c>
      <c r="F279" s="56"/>
      <c r="G279" s="57">
        <v>41316.0</v>
      </c>
      <c r="H279" s="49"/>
      <c r="I279" s="49"/>
      <c r="J279" s="49"/>
      <c r="K279" s="49"/>
      <c r="L279" s="49"/>
      <c r="M279" s="49"/>
      <c r="N279" s="49"/>
      <c r="O279" s="49"/>
      <c r="P279" s="49"/>
    </row>
    <row r="280" ht="12.0" customHeight="1">
      <c r="A280" s="56" t="s">
        <v>85</v>
      </c>
      <c r="B280" s="56" t="s">
        <v>50</v>
      </c>
      <c r="C280" s="56" t="s">
        <v>74</v>
      </c>
      <c r="D280" s="56" t="s">
        <v>25</v>
      </c>
      <c r="E280" s="56" t="s">
        <v>7</v>
      </c>
      <c r="F280" s="56"/>
      <c r="G280" s="57">
        <v>0.0</v>
      </c>
      <c r="H280" s="49"/>
      <c r="I280" s="49"/>
      <c r="J280" s="49"/>
      <c r="K280" s="49"/>
      <c r="L280" s="49"/>
      <c r="M280" s="49"/>
      <c r="N280" s="49"/>
      <c r="O280" s="49"/>
      <c r="P280" s="49"/>
    </row>
    <row r="281" ht="12.0" customHeight="1">
      <c r="A281" s="56" t="s">
        <v>85</v>
      </c>
      <c r="B281" s="56" t="s">
        <v>50</v>
      </c>
      <c r="C281" s="56" t="s">
        <v>74</v>
      </c>
      <c r="D281" s="56" t="s">
        <v>25</v>
      </c>
      <c r="E281" s="56" t="s">
        <v>7</v>
      </c>
      <c r="F281" s="56"/>
      <c r="G281" s="57">
        <v>74250.0</v>
      </c>
      <c r="H281" s="49"/>
      <c r="I281" s="49"/>
      <c r="J281" s="49"/>
      <c r="K281" s="49"/>
      <c r="L281" s="49"/>
      <c r="M281" s="49"/>
      <c r="N281" s="49"/>
      <c r="O281" s="49"/>
      <c r="P281" s="49"/>
    </row>
    <row r="282" ht="12.0" customHeight="1">
      <c r="A282" s="56" t="s">
        <v>85</v>
      </c>
      <c r="B282" s="56" t="s">
        <v>50</v>
      </c>
      <c r="C282" s="56" t="s">
        <v>74</v>
      </c>
      <c r="D282" s="56" t="s">
        <v>27</v>
      </c>
      <c r="E282" s="56" t="s">
        <v>79</v>
      </c>
      <c r="F282" s="56"/>
      <c r="G282" s="57">
        <v>-312.40000000000003</v>
      </c>
      <c r="H282" s="49"/>
      <c r="I282" s="49"/>
      <c r="J282" s="49"/>
      <c r="K282" s="49"/>
      <c r="L282" s="49"/>
      <c r="M282" s="49"/>
      <c r="N282" s="49"/>
      <c r="O282" s="49"/>
      <c r="P282" s="49"/>
    </row>
    <row r="283" ht="12.0" customHeight="1">
      <c r="A283" s="56" t="s">
        <v>85</v>
      </c>
      <c r="B283" s="56" t="s">
        <v>50</v>
      </c>
      <c r="C283" s="56" t="s">
        <v>74</v>
      </c>
      <c r="D283" s="56" t="s">
        <v>27</v>
      </c>
      <c r="E283" s="56" t="s">
        <v>78</v>
      </c>
      <c r="F283" s="56"/>
      <c r="G283" s="57">
        <v>-1566.4</v>
      </c>
      <c r="H283" s="49"/>
      <c r="I283" s="49"/>
      <c r="J283" s="49"/>
      <c r="K283" s="49"/>
      <c r="L283" s="49"/>
      <c r="M283" s="49"/>
      <c r="N283" s="49"/>
      <c r="O283" s="49"/>
      <c r="P283" s="49"/>
    </row>
    <row r="284" ht="12.0" customHeight="1">
      <c r="A284" s="56" t="s">
        <v>85</v>
      </c>
      <c r="B284" s="56" t="s">
        <v>50</v>
      </c>
      <c r="C284" s="56" t="s">
        <v>44</v>
      </c>
      <c r="D284" s="56" t="s">
        <v>28</v>
      </c>
      <c r="E284" s="56" t="s">
        <v>68</v>
      </c>
      <c r="F284" s="56"/>
      <c r="G284" s="57">
        <v>121000.00000000001</v>
      </c>
      <c r="H284" s="49"/>
      <c r="I284" s="49"/>
      <c r="J284" s="49"/>
      <c r="K284" s="49"/>
      <c r="L284" s="49"/>
      <c r="M284" s="49"/>
      <c r="N284" s="49"/>
      <c r="O284" s="49"/>
      <c r="P284" s="49"/>
    </row>
    <row r="285" ht="12.0" customHeight="1">
      <c r="A285" s="56" t="s">
        <v>85</v>
      </c>
      <c r="B285" s="56" t="s">
        <v>50</v>
      </c>
      <c r="C285" s="56" t="s">
        <v>44</v>
      </c>
      <c r="D285" s="56" t="s">
        <v>28</v>
      </c>
      <c r="E285" s="56" t="s">
        <v>68</v>
      </c>
      <c r="F285" s="56"/>
      <c r="G285" s="57">
        <v>176000.0</v>
      </c>
      <c r="H285" s="49"/>
      <c r="I285" s="49"/>
      <c r="J285" s="49"/>
      <c r="K285" s="49"/>
      <c r="L285" s="49"/>
      <c r="M285" s="49"/>
      <c r="N285" s="49"/>
      <c r="O285" s="49"/>
      <c r="P285" s="49"/>
    </row>
    <row r="286" ht="12.0" customHeight="1">
      <c r="A286" s="56" t="s">
        <v>85</v>
      </c>
      <c r="B286" s="56" t="s">
        <v>50</v>
      </c>
      <c r="C286" s="56" t="s">
        <v>44</v>
      </c>
      <c r="D286" s="56" t="s">
        <v>28</v>
      </c>
      <c r="E286" s="56" t="s">
        <v>68</v>
      </c>
      <c r="F286" s="56"/>
      <c r="G286" s="57">
        <v>43929.600000000006</v>
      </c>
      <c r="H286" s="49"/>
      <c r="I286" s="49"/>
      <c r="J286" s="49"/>
      <c r="K286" s="49"/>
      <c r="L286" s="49"/>
      <c r="M286" s="49"/>
      <c r="N286" s="49"/>
      <c r="O286" s="49"/>
      <c r="P286" s="49"/>
    </row>
    <row r="287" ht="12.0" customHeight="1">
      <c r="A287" s="56" t="s">
        <v>85</v>
      </c>
      <c r="B287" s="56" t="s">
        <v>50</v>
      </c>
      <c r="C287" s="56" t="s">
        <v>44</v>
      </c>
      <c r="D287" s="56" t="s">
        <v>28</v>
      </c>
      <c r="E287" s="56" t="s">
        <v>68</v>
      </c>
      <c r="F287" s="56"/>
      <c r="G287" s="57">
        <v>50600.00000000001</v>
      </c>
      <c r="H287" s="49"/>
      <c r="I287" s="49"/>
      <c r="J287" s="49"/>
      <c r="K287" s="49"/>
      <c r="L287" s="49"/>
      <c r="M287" s="49"/>
      <c r="N287" s="49"/>
      <c r="O287" s="49"/>
      <c r="P287" s="49"/>
    </row>
    <row r="288" ht="12.0" customHeight="1">
      <c r="A288" s="56" t="s">
        <v>85</v>
      </c>
      <c r="B288" s="56" t="s">
        <v>50</v>
      </c>
      <c r="C288" s="56" t="s">
        <v>44</v>
      </c>
      <c r="D288" s="56" t="s">
        <v>28</v>
      </c>
      <c r="E288" s="56" t="s">
        <v>68</v>
      </c>
      <c r="F288" s="56"/>
      <c r="G288" s="57">
        <v>110000.00000000001</v>
      </c>
      <c r="H288" s="49"/>
      <c r="I288" s="49"/>
      <c r="J288" s="49"/>
      <c r="K288" s="49"/>
      <c r="L288" s="49"/>
      <c r="M288" s="49"/>
      <c r="N288" s="49"/>
      <c r="O288" s="49"/>
      <c r="P288" s="49"/>
    </row>
    <row r="289" ht="12.0" customHeight="1">
      <c r="A289" s="56" t="s">
        <v>85</v>
      </c>
      <c r="B289" s="56" t="s">
        <v>50</v>
      </c>
      <c r="C289" s="56" t="s">
        <v>44</v>
      </c>
      <c r="D289" s="56" t="s">
        <v>28</v>
      </c>
      <c r="E289" s="56" t="s">
        <v>69</v>
      </c>
      <c r="F289" s="56"/>
      <c r="G289" s="57">
        <v>220000.00000000003</v>
      </c>
      <c r="H289" s="49"/>
      <c r="I289" s="49"/>
      <c r="J289" s="49"/>
      <c r="K289" s="49"/>
      <c r="L289" s="49"/>
      <c r="M289" s="49"/>
      <c r="N289" s="49"/>
      <c r="O289" s="49"/>
      <c r="P289" s="49"/>
    </row>
    <row r="290" ht="12.0" customHeight="1">
      <c r="A290" s="56" t="s">
        <v>85</v>
      </c>
      <c r="B290" s="56" t="s">
        <v>50</v>
      </c>
      <c r="C290" s="56" t="s">
        <v>44</v>
      </c>
      <c r="D290" s="56" t="s">
        <v>28</v>
      </c>
      <c r="E290" s="56" t="s">
        <v>69</v>
      </c>
      <c r="F290" s="56"/>
      <c r="G290" s="57">
        <v>264000.0</v>
      </c>
      <c r="H290" s="49"/>
      <c r="I290" s="49"/>
      <c r="J290" s="49"/>
      <c r="K290" s="49"/>
      <c r="L290" s="49"/>
      <c r="M290" s="49"/>
      <c r="N290" s="49"/>
      <c r="O290" s="49"/>
      <c r="P290" s="49"/>
    </row>
    <row r="291" ht="12.0" customHeight="1">
      <c r="A291" s="56" t="s">
        <v>85</v>
      </c>
      <c r="B291" s="56" t="s">
        <v>50</v>
      </c>
      <c r="C291" s="56" t="s">
        <v>44</v>
      </c>
      <c r="D291" s="56" t="s">
        <v>28</v>
      </c>
      <c r="E291" s="56" t="s">
        <v>69</v>
      </c>
      <c r="F291" s="56"/>
      <c r="G291" s="57">
        <v>264000.0</v>
      </c>
      <c r="H291" s="49"/>
      <c r="I291" s="49"/>
      <c r="J291" s="49"/>
      <c r="K291" s="49"/>
      <c r="L291" s="49"/>
      <c r="M291" s="49"/>
      <c r="N291" s="49"/>
      <c r="O291" s="49"/>
      <c r="P291" s="49"/>
    </row>
    <row r="292" ht="12.0" customHeight="1">
      <c r="A292" s="56" t="s">
        <v>85</v>
      </c>
      <c r="B292" s="56" t="s">
        <v>50</v>
      </c>
      <c r="C292" s="56" t="s">
        <v>44</v>
      </c>
      <c r="D292" s="56" t="s">
        <v>28</v>
      </c>
      <c r="E292" s="56" t="s">
        <v>69</v>
      </c>
      <c r="F292" s="56"/>
      <c r="G292" s="57">
        <v>126500.00000000001</v>
      </c>
      <c r="H292" s="49"/>
      <c r="I292" s="49"/>
      <c r="J292" s="49"/>
      <c r="K292" s="49"/>
      <c r="L292" s="49"/>
      <c r="M292" s="49"/>
      <c r="N292" s="49"/>
      <c r="O292" s="49"/>
      <c r="P292" s="49"/>
    </row>
    <row r="293" ht="12.0" customHeight="1">
      <c r="A293" s="56" t="s">
        <v>85</v>
      </c>
      <c r="B293" s="56" t="s">
        <v>50</v>
      </c>
      <c r="C293" s="56" t="s">
        <v>44</v>
      </c>
      <c r="D293" s="56" t="s">
        <v>28</v>
      </c>
      <c r="E293" s="56" t="s">
        <v>69</v>
      </c>
      <c r="F293" s="56"/>
      <c r="G293" s="57">
        <v>0.0</v>
      </c>
      <c r="H293" s="49"/>
      <c r="I293" s="49"/>
      <c r="J293" s="49"/>
      <c r="K293" s="49"/>
      <c r="L293" s="49"/>
      <c r="M293" s="49"/>
      <c r="N293" s="49"/>
      <c r="O293" s="49"/>
      <c r="P293" s="49"/>
    </row>
    <row r="294" ht="12.0" customHeight="1">
      <c r="A294" s="56" t="s">
        <v>85</v>
      </c>
      <c r="B294" s="56" t="s">
        <v>50</v>
      </c>
      <c r="C294" s="56" t="s">
        <v>44</v>
      </c>
      <c r="D294" s="56" t="s">
        <v>28</v>
      </c>
      <c r="E294" s="56" t="s">
        <v>69</v>
      </c>
      <c r="F294" s="56"/>
      <c r="G294" s="57">
        <v>121000.00000000001</v>
      </c>
      <c r="H294" s="49"/>
      <c r="I294" s="49"/>
      <c r="J294" s="49"/>
      <c r="K294" s="49"/>
      <c r="L294" s="49"/>
      <c r="M294" s="49"/>
      <c r="N294" s="49"/>
      <c r="O294" s="49"/>
      <c r="P294" s="49"/>
    </row>
    <row r="295" ht="12.0" customHeight="1">
      <c r="A295" s="56" t="s">
        <v>85</v>
      </c>
      <c r="B295" s="56" t="s">
        <v>50</v>
      </c>
      <c r="C295" s="56" t="s">
        <v>44</v>
      </c>
      <c r="D295" s="56" t="s">
        <v>28</v>
      </c>
      <c r="E295" s="56" t="s">
        <v>45</v>
      </c>
      <c r="F295" s="56"/>
      <c r="G295" s="57">
        <v>77000.0</v>
      </c>
      <c r="H295" s="49"/>
      <c r="I295" s="49"/>
      <c r="J295" s="49"/>
      <c r="K295" s="49"/>
      <c r="L295" s="49"/>
      <c r="M295" s="49"/>
      <c r="N295" s="49"/>
      <c r="O295" s="49"/>
      <c r="P295" s="49"/>
    </row>
    <row r="296" ht="12.0" customHeight="1">
      <c r="A296" s="56" t="s">
        <v>85</v>
      </c>
      <c r="B296" s="56" t="s">
        <v>50</v>
      </c>
      <c r="C296" s="56" t="s">
        <v>44</v>
      </c>
      <c r="D296" s="56" t="s">
        <v>28</v>
      </c>
      <c r="E296" s="56" t="s">
        <v>45</v>
      </c>
      <c r="F296" s="56"/>
      <c r="G296" s="57">
        <v>77000.0</v>
      </c>
      <c r="H296" s="49"/>
      <c r="I296" s="49"/>
      <c r="J296" s="49"/>
      <c r="K296" s="49"/>
      <c r="L296" s="49"/>
      <c r="M296" s="49"/>
      <c r="N296" s="49"/>
      <c r="O296" s="49"/>
      <c r="P296" s="49"/>
    </row>
    <row r="297" ht="12.0" customHeight="1">
      <c r="A297" s="56" t="s">
        <v>85</v>
      </c>
      <c r="B297" s="56" t="s">
        <v>50</v>
      </c>
      <c r="C297" s="56" t="s">
        <v>44</v>
      </c>
      <c r="D297" s="56" t="s">
        <v>28</v>
      </c>
      <c r="E297" s="56" t="s">
        <v>45</v>
      </c>
      <c r="F297" s="56"/>
      <c r="G297" s="57">
        <v>100100.00000000001</v>
      </c>
      <c r="H297" s="49"/>
      <c r="I297" s="49"/>
      <c r="J297" s="49"/>
      <c r="K297" s="49"/>
      <c r="L297" s="49"/>
      <c r="M297" s="49"/>
      <c r="N297" s="49"/>
      <c r="O297" s="49"/>
      <c r="P297" s="49"/>
    </row>
    <row r="298" ht="12.0" customHeight="1">
      <c r="A298" s="56" t="s">
        <v>85</v>
      </c>
      <c r="B298" s="56" t="s">
        <v>50</v>
      </c>
      <c r="C298" s="56" t="s">
        <v>44</v>
      </c>
      <c r="D298" s="56" t="s">
        <v>28</v>
      </c>
      <c r="E298" s="56" t="s">
        <v>46</v>
      </c>
      <c r="F298" s="56"/>
      <c r="G298" s="57">
        <v>104192.00000000001</v>
      </c>
      <c r="H298" s="49"/>
      <c r="I298" s="49"/>
      <c r="J298" s="49"/>
      <c r="K298" s="49"/>
      <c r="L298" s="49"/>
      <c r="M298" s="49"/>
      <c r="N298" s="49"/>
      <c r="O298" s="49"/>
      <c r="P298" s="49"/>
    </row>
    <row r="299" ht="12.0" customHeight="1">
      <c r="A299" s="56" t="s">
        <v>85</v>
      </c>
      <c r="B299" s="56" t="s">
        <v>50</v>
      </c>
      <c r="C299" s="56" t="s">
        <v>44</v>
      </c>
      <c r="D299" s="56" t="s">
        <v>28</v>
      </c>
      <c r="E299" s="56" t="s">
        <v>46</v>
      </c>
      <c r="F299" s="56"/>
      <c r="G299" s="57">
        <v>46200.00000000001</v>
      </c>
      <c r="H299" s="49"/>
      <c r="I299" s="49"/>
      <c r="J299" s="49"/>
      <c r="K299" s="49"/>
      <c r="L299" s="49"/>
      <c r="M299" s="49"/>
      <c r="N299" s="49"/>
      <c r="O299" s="49"/>
      <c r="P299" s="49"/>
    </row>
    <row r="300" ht="12.0" customHeight="1">
      <c r="A300" s="56" t="s">
        <v>85</v>
      </c>
      <c r="B300" s="56" t="s">
        <v>50</v>
      </c>
      <c r="C300" s="56" t="s">
        <v>44</v>
      </c>
      <c r="D300" s="56" t="s">
        <v>28</v>
      </c>
      <c r="E300" s="56" t="s">
        <v>46</v>
      </c>
      <c r="F300" s="56"/>
      <c r="G300" s="57">
        <v>49258.00000000001</v>
      </c>
      <c r="H300" s="49"/>
      <c r="I300" s="49"/>
      <c r="J300" s="49"/>
      <c r="K300" s="49"/>
      <c r="L300" s="49"/>
      <c r="M300" s="49"/>
      <c r="N300" s="49"/>
      <c r="O300" s="49"/>
      <c r="P300" s="49"/>
    </row>
    <row r="301" ht="12.0" customHeight="1">
      <c r="A301" s="56" t="s">
        <v>85</v>
      </c>
      <c r="B301" s="56" t="s">
        <v>50</v>
      </c>
      <c r="C301" s="56" t="s">
        <v>44</v>
      </c>
      <c r="D301" s="56" t="s">
        <v>28</v>
      </c>
      <c r="E301" s="56" t="s">
        <v>46</v>
      </c>
      <c r="F301" s="56"/>
      <c r="G301" s="57">
        <v>36053.600000000006</v>
      </c>
      <c r="H301" s="49"/>
      <c r="I301" s="49"/>
      <c r="J301" s="49"/>
      <c r="K301" s="49"/>
      <c r="L301" s="49"/>
      <c r="M301" s="49"/>
      <c r="N301" s="49"/>
      <c r="O301" s="49"/>
      <c r="P301" s="49"/>
    </row>
    <row r="302" ht="12.0" customHeight="1">
      <c r="A302" s="56" t="s">
        <v>85</v>
      </c>
      <c r="B302" s="56" t="s">
        <v>50</v>
      </c>
      <c r="C302" s="56" t="s">
        <v>44</v>
      </c>
      <c r="D302" s="56" t="s">
        <v>28</v>
      </c>
      <c r="E302" s="56" t="s">
        <v>46</v>
      </c>
      <c r="F302" s="56"/>
      <c r="G302" s="57">
        <v>42266.4</v>
      </c>
      <c r="H302" s="49"/>
      <c r="I302" s="49"/>
      <c r="J302" s="49"/>
      <c r="K302" s="49"/>
      <c r="L302" s="49"/>
      <c r="M302" s="49"/>
      <c r="N302" s="49"/>
      <c r="O302" s="49"/>
      <c r="P302" s="49"/>
    </row>
    <row r="303" ht="12.0" customHeight="1">
      <c r="A303" s="56" t="s">
        <v>85</v>
      </c>
      <c r="B303" s="56" t="s">
        <v>50</v>
      </c>
      <c r="C303" s="56" t="s">
        <v>44</v>
      </c>
      <c r="D303" s="56" t="s">
        <v>28</v>
      </c>
      <c r="E303" s="56" t="s">
        <v>46</v>
      </c>
      <c r="F303" s="56"/>
      <c r="G303" s="57">
        <v>55000.00000000001</v>
      </c>
      <c r="H303" s="49"/>
      <c r="I303" s="49"/>
      <c r="J303" s="49"/>
      <c r="K303" s="49"/>
      <c r="L303" s="49"/>
      <c r="M303" s="49"/>
      <c r="N303" s="49"/>
      <c r="O303" s="49"/>
      <c r="P303" s="49"/>
    </row>
    <row r="304" ht="12.0" customHeight="1">
      <c r="A304" s="56" t="s">
        <v>85</v>
      </c>
      <c r="B304" s="56" t="s">
        <v>50</v>
      </c>
      <c r="C304" s="56" t="s">
        <v>44</v>
      </c>
      <c r="D304" s="56" t="s">
        <v>28</v>
      </c>
      <c r="E304" s="56" t="s">
        <v>46</v>
      </c>
      <c r="F304" s="56"/>
      <c r="G304" s="57">
        <v>124256.00000000001</v>
      </c>
      <c r="H304" s="49"/>
      <c r="I304" s="49"/>
      <c r="J304" s="49"/>
      <c r="K304" s="49"/>
      <c r="L304" s="49"/>
      <c r="M304" s="49"/>
      <c r="N304" s="49"/>
      <c r="O304" s="49"/>
      <c r="P304" s="49"/>
    </row>
    <row r="305" ht="12.0" customHeight="1">
      <c r="A305" s="56" t="s">
        <v>85</v>
      </c>
      <c r="B305" s="56" t="s">
        <v>50</v>
      </c>
      <c r="C305" s="56" t="s">
        <v>44</v>
      </c>
      <c r="D305" s="56" t="s">
        <v>28</v>
      </c>
      <c r="E305" s="56" t="s">
        <v>46</v>
      </c>
      <c r="F305" s="56"/>
      <c r="G305" s="57">
        <v>44541.200000000004</v>
      </c>
      <c r="H305" s="49"/>
      <c r="I305" s="49"/>
      <c r="J305" s="49"/>
      <c r="K305" s="49"/>
      <c r="L305" s="49"/>
      <c r="M305" s="49"/>
      <c r="N305" s="49"/>
      <c r="O305" s="49"/>
      <c r="P305" s="49"/>
    </row>
    <row r="306" ht="12.0" customHeight="1">
      <c r="A306" s="56" t="s">
        <v>85</v>
      </c>
      <c r="B306" s="56" t="s">
        <v>50</v>
      </c>
      <c r="C306" s="56" t="s">
        <v>44</v>
      </c>
      <c r="D306" s="56" t="s">
        <v>28</v>
      </c>
      <c r="E306" s="56" t="s">
        <v>48</v>
      </c>
      <c r="F306" s="56"/>
      <c r="G306" s="57">
        <v>42499.600000000006</v>
      </c>
      <c r="H306" s="49"/>
      <c r="I306" s="49"/>
      <c r="J306" s="49"/>
      <c r="K306" s="49"/>
      <c r="L306" s="49"/>
      <c r="M306" s="49"/>
      <c r="N306" s="49"/>
      <c r="O306" s="49"/>
      <c r="P306" s="49"/>
    </row>
    <row r="307" ht="12.0" customHeight="1">
      <c r="A307" s="56" t="s">
        <v>85</v>
      </c>
      <c r="B307" s="56" t="s">
        <v>50</v>
      </c>
      <c r="C307" s="56" t="s">
        <v>44</v>
      </c>
      <c r="D307" s="56" t="s">
        <v>28</v>
      </c>
      <c r="E307" s="56" t="s">
        <v>48</v>
      </c>
      <c r="F307" s="56"/>
      <c r="G307" s="57">
        <v>43423.600000000006</v>
      </c>
      <c r="H307" s="49"/>
      <c r="I307" s="49"/>
      <c r="J307" s="49"/>
      <c r="K307" s="49"/>
      <c r="L307" s="49"/>
      <c r="M307" s="49"/>
      <c r="N307" s="49"/>
      <c r="O307" s="49"/>
      <c r="P307" s="49"/>
    </row>
    <row r="308" ht="12.0" customHeight="1">
      <c r="A308" s="56" t="s">
        <v>85</v>
      </c>
      <c r="B308" s="56" t="s">
        <v>50</v>
      </c>
      <c r="C308" s="56" t="s">
        <v>44</v>
      </c>
      <c r="D308" s="56" t="s">
        <v>28</v>
      </c>
      <c r="E308" s="56" t="s">
        <v>48</v>
      </c>
      <c r="F308" s="56"/>
      <c r="G308" s="57">
        <v>88000.0</v>
      </c>
      <c r="H308" s="49"/>
      <c r="I308" s="49"/>
      <c r="J308" s="49"/>
      <c r="K308" s="49"/>
      <c r="L308" s="49"/>
      <c r="M308" s="49"/>
      <c r="N308" s="49"/>
      <c r="O308" s="49"/>
      <c r="P308" s="49"/>
    </row>
    <row r="309" ht="12.0" customHeight="1">
      <c r="A309" s="56" t="s">
        <v>85</v>
      </c>
      <c r="B309" s="56" t="s">
        <v>50</v>
      </c>
      <c r="C309" s="56" t="s">
        <v>44</v>
      </c>
      <c r="D309" s="56" t="s">
        <v>28</v>
      </c>
      <c r="E309" s="56" t="s">
        <v>48</v>
      </c>
      <c r="F309" s="56"/>
      <c r="G309" s="57">
        <v>121000.00000000001</v>
      </c>
      <c r="H309" s="49"/>
      <c r="I309" s="49"/>
      <c r="J309" s="49"/>
      <c r="K309" s="49"/>
      <c r="L309" s="49"/>
      <c r="M309" s="49"/>
      <c r="N309" s="49"/>
      <c r="O309" s="49"/>
      <c r="P309" s="49"/>
    </row>
    <row r="310" ht="12.0" customHeight="1">
      <c r="A310" s="56" t="s">
        <v>85</v>
      </c>
      <c r="B310" s="56" t="s">
        <v>50</v>
      </c>
      <c r="C310" s="56" t="s">
        <v>44</v>
      </c>
      <c r="D310" s="56" t="s">
        <v>28</v>
      </c>
      <c r="E310" s="56" t="s">
        <v>48</v>
      </c>
      <c r="F310" s="56"/>
      <c r="G310" s="57">
        <v>176000.0</v>
      </c>
      <c r="H310" s="49"/>
      <c r="I310" s="49"/>
      <c r="J310" s="49"/>
      <c r="K310" s="49"/>
      <c r="L310" s="49"/>
      <c r="M310" s="49"/>
      <c r="N310" s="49"/>
      <c r="O310" s="49"/>
      <c r="P310" s="49"/>
    </row>
    <row r="311" ht="12.0" customHeight="1">
      <c r="A311" s="56" t="s">
        <v>85</v>
      </c>
      <c r="B311" s="56" t="s">
        <v>50</v>
      </c>
      <c r="C311" s="56" t="s">
        <v>44</v>
      </c>
      <c r="D311" s="56" t="s">
        <v>28</v>
      </c>
      <c r="E311" s="56" t="s">
        <v>48</v>
      </c>
      <c r="F311" s="56"/>
      <c r="G311" s="57">
        <v>41800.0</v>
      </c>
      <c r="H311" s="49"/>
      <c r="I311" s="49"/>
      <c r="J311" s="49"/>
      <c r="K311" s="49"/>
      <c r="L311" s="49"/>
      <c r="M311" s="49"/>
      <c r="N311" s="49"/>
      <c r="O311" s="49"/>
      <c r="P311" s="49"/>
    </row>
    <row r="312" ht="12.0" customHeight="1">
      <c r="A312" s="56" t="s">
        <v>85</v>
      </c>
      <c r="B312" s="56" t="s">
        <v>50</v>
      </c>
      <c r="C312" s="56" t="s">
        <v>44</v>
      </c>
      <c r="D312" s="56" t="s">
        <v>28</v>
      </c>
      <c r="E312" s="56" t="s">
        <v>48</v>
      </c>
      <c r="F312" s="56"/>
      <c r="G312" s="57">
        <v>82500.0</v>
      </c>
      <c r="H312" s="49"/>
      <c r="I312" s="49"/>
      <c r="J312" s="49"/>
      <c r="K312" s="49"/>
      <c r="L312" s="49"/>
      <c r="M312" s="49"/>
      <c r="N312" s="49"/>
      <c r="O312" s="49"/>
      <c r="P312" s="49"/>
    </row>
    <row r="313" ht="12.0" customHeight="1">
      <c r="A313" s="56" t="s">
        <v>85</v>
      </c>
      <c r="B313" s="56" t="s">
        <v>50</v>
      </c>
      <c r="C313" s="56" t="s">
        <v>44</v>
      </c>
      <c r="D313" s="56" t="s">
        <v>28</v>
      </c>
      <c r="E313" s="56" t="s">
        <v>48</v>
      </c>
      <c r="F313" s="56"/>
      <c r="G313" s="57">
        <v>60500.00000000001</v>
      </c>
      <c r="H313" s="49"/>
      <c r="I313" s="49"/>
      <c r="J313" s="49"/>
      <c r="K313" s="49"/>
      <c r="L313" s="49"/>
      <c r="M313" s="49"/>
      <c r="N313" s="49"/>
      <c r="O313" s="49"/>
      <c r="P313" s="49"/>
    </row>
    <row r="314" ht="12.0" customHeight="1">
      <c r="A314" s="56" t="s">
        <v>85</v>
      </c>
      <c r="B314" s="56" t="s">
        <v>50</v>
      </c>
      <c r="C314" s="56" t="s">
        <v>44</v>
      </c>
      <c r="D314" s="56" t="s">
        <v>28</v>
      </c>
      <c r="E314" s="56" t="s">
        <v>48</v>
      </c>
      <c r="F314" s="56"/>
      <c r="G314" s="57">
        <v>121000.00000000001</v>
      </c>
      <c r="H314" s="49"/>
      <c r="I314" s="49"/>
      <c r="J314" s="49"/>
      <c r="K314" s="49"/>
      <c r="L314" s="49"/>
      <c r="M314" s="49"/>
      <c r="N314" s="49"/>
      <c r="O314" s="49"/>
      <c r="P314" s="49"/>
    </row>
    <row r="315" ht="12.0" customHeight="1">
      <c r="A315" s="56" t="s">
        <v>85</v>
      </c>
      <c r="B315" s="56" t="s">
        <v>50</v>
      </c>
      <c r="C315" s="56" t="s">
        <v>44</v>
      </c>
      <c r="D315" s="56" t="s">
        <v>28</v>
      </c>
      <c r="E315" s="56" t="s">
        <v>48</v>
      </c>
      <c r="F315" s="56"/>
      <c r="G315" s="57">
        <v>46657.600000000006</v>
      </c>
      <c r="H315" s="49"/>
      <c r="I315" s="49"/>
      <c r="J315" s="49"/>
      <c r="K315" s="49"/>
      <c r="L315" s="49"/>
      <c r="M315" s="49"/>
      <c r="N315" s="49"/>
      <c r="O315" s="49"/>
      <c r="P315" s="49"/>
    </row>
    <row r="316" ht="12.0" customHeight="1">
      <c r="A316" s="56" t="s">
        <v>85</v>
      </c>
      <c r="B316" s="56" t="s">
        <v>50</v>
      </c>
      <c r="C316" s="56" t="s">
        <v>44</v>
      </c>
      <c r="D316" s="56" t="s">
        <v>28</v>
      </c>
      <c r="E316" s="56" t="s">
        <v>48</v>
      </c>
      <c r="F316" s="56"/>
      <c r="G316" s="57">
        <v>0.0</v>
      </c>
      <c r="H316" s="49"/>
      <c r="I316" s="49"/>
      <c r="J316" s="49"/>
      <c r="K316" s="49"/>
      <c r="L316" s="49"/>
      <c r="M316" s="49"/>
      <c r="N316" s="49"/>
      <c r="O316" s="49"/>
      <c r="P316" s="49"/>
    </row>
    <row r="317" ht="12.0" customHeight="1">
      <c r="A317" s="56" t="s">
        <v>85</v>
      </c>
      <c r="B317" s="56" t="s">
        <v>50</v>
      </c>
      <c r="C317" s="56" t="s">
        <v>44</v>
      </c>
      <c r="D317" s="56" t="s">
        <v>28</v>
      </c>
      <c r="E317" s="56" t="s">
        <v>48</v>
      </c>
      <c r="F317" s="56"/>
      <c r="G317" s="57">
        <v>88937.20000000001</v>
      </c>
      <c r="H317" s="49"/>
      <c r="I317" s="49"/>
      <c r="J317" s="49"/>
      <c r="K317" s="49"/>
      <c r="L317" s="49"/>
      <c r="M317" s="49"/>
      <c r="N317" s="49"/>
      <c r="O317" s="49"/>
      <c r="P317" s="49"/>
    </row>
    <row r="318" ht="12.0" customHeight="1">
      <c r="A318" s="56" t="s">
        <v>85</v>
      </c>
      <c r="B318" s="56" t="s">
        <v>50</v>
      </c>
      <c r="C318" s="56" t="s">
        <v>44</v>
      </c>
      <c r="D318" s="56" t="s">
        <v>28</v>
      </c>
      <c r="E318" s="56" t="s">
        <v>48</v>
      </c>
      <c r="F318" s="56"/>
      <c r="G318" s="57">
        <v>82500.0</v>
      </c>
      <c r="H318" s="49"/>
      <c r="I318" s="49"/>
      <c r="J318" s="49"/>
      <c r="K318" s="49"/>
      <c r="L318" s="49"/>
      <c r="M318" s="49"/>
      <c r="N318" s="49"/>
      <c r="O318" s="49"/>
      <c r="P318" s="49"/>
    </row>
    <row r="319" ht="12.0" customHeight="1">
      <c r="A319" s="56" t="s">
        <v>85</v>
      </c>
      <c r="B319" s="56" t="s">
        <v>50</v>
      </c>
      <c r="C319" s="56" t="s">
        <v>44</v>
      </c>
      <c r="D319" s="56" t="s">
        <v>28</v>
      </c>
      <c r="E319" s="56" t="s">
        <v>48</v>
      </c>
      <c r="F319" s="56"/>
      <c r="G319" s="57">
        <v>156200.0</v>
      </c>
      <c r="H319" s="49"/>
      <c r="I319" s="49"/>
      <c r="J319" s="49"/>
      <c r="K319" s="49"/>
      <c r="L319" s="49"/>
      <c r="M319" s="49"/>
      <c r="N319" s="49"/>
      <c r="O319" s="49"/>
      <c r="P319" s="49"/>
    </row>
    <row r="320" ht="12.0" customHeight="1">
      <c r="A320" s="56" t="s">
        <v>85</v>
      </c>
      <c r="B320" s="56" t="s">
        <v>50</v>
      </c>
      <c r="C320" s="56" t="s">
        <v>44</v>
      </c>
      <c r="D320" s="56" t="s">
        <v>28</v>
      </c>
      <c r="E320" s="56" t="s">
        <v>48</v>
      </c>
      <c r="F320" s="56"/>
      <c r="G320" s="57">
        <v>35213.200000000004</v>
      </c>
      <c r="H320" s="49"/>
      <c r="I320" s="49"/>
      <c r="J320" s="49"/>
      <c r="K320" s="49"/>
      <c r="L320" s="49"/>
      <c r="M320" s="49"/>
      <c r="N320" s="49"/>
      <c r="O320" s="49"/>
      <c r="P320" s="49"/>
    </row>
    <row r="321" ht="12.0" customHeight="1">
      <c r="A321" s="56" t="s">
        <v>85</v>
      </c>
      <c r="B321" s="56" t="s">
        <v>50</v>
      </c>
      <c r="C321" s="56" t="s">
        <v>44</v>
      </c>
      <c r="D321" s="56" t="s">
        <v>28</v>
      </c>
      <c r="E321" s="56" t="s">
        <v>48</v>
      </c>
      <c r="F321" s="56"/>
      <c r="G321" s="57">
        <v>96140.00000000001</v>
      </c>
      <c r="H321" s="49"/>
      <c r="I321" s="49"/>
      <c r="J321" s="49"/>
      <c r="K321" s="49"/>
      <c r="L321" s="49"/>
      <c r="M321" s="49"/>
      <c r="N321" s="49"/>
      <c r="O321" s="49"/>
      <c r="P321" s="49"/>
    </row>
    <row r="322" ht="12.0" customHeight="1">
      <c r="A322" s="56" t="s">
        <v>85</v>
      </c>
      <c r="B322" s="56" t="s">
        <v>50</v>
      </c>
      <c r="C322" s="56" t="s">
        <v>44</v>
      </c>
      <c r="D322" s="56" t="s">
        <v>28</v>
      </c>
      <c r="E322" s="56" t="s">
        <v>51</v>
      </c>
      <c r="F322" s="56"/>
      <c r="G322" s="57">
        <v>23790.800000000003</v>
      </c>
      <c r="H322" s="49"/>
      <c r="I322" s="49"/>
      <c r="J322" s="49"/>
      <c r="K322" s="49"/>
      <c r="L322" s="49"/>
      <c r="M322" s="49"/>
      <c r="N322" s="49"/>
      <c r="O322" s="49"/>
      <c r="P322" s="49"/>
    </row>
    <row r="323" ht="12.0" customHeight="1">
      <c r="A323" s="56" t="s">
        <v>85</v>
      </c>
      <c r="B323" s="56" t="s">
        <v>50</v>
      </c>
      <c r="C323" s="56" t="s">
        <v>44</v>
      </c>
      <c r="D323" s="56" t="s">
        <v>28</v>
      </c>
      <c r="E323" s="56" t="s">
        <v>51</v>
      </c>
      <c r="F323" s="56"/>
      <c r="G323" s="57">
        <v>50833.200000000004</v>
      </c>
      <c r="H323" s="49"/>
      <c r="I323" s="49"/>
      <c r="J323" s="49"/>
      <c r="K323" s="49"/>
      <c r="L323" s="49"/>
      <c r="M323" s="49"/>
      <c r="N323" s="49"/>
      <c r="O323" s="49"/>
      <c r="P323" s="49"/>
    </row>
    <row r="324" ht="12.0" customHeight="1">
      <c r="A324" s="56" t="s">
        <v>85</v>
      </c>
      <c r="B324" s="56" t="s">
        <v>50</v>
      </c>
      <c r="C324" s="56" t="s">
        <v>44</v>
      </c>
      <c r="D324" s="56" t="s">
        <v>28</v>
      </c>
      <c r="E324" s="56" t="s">
        <v>51</v>
      </c>
      <c r="F324" s="56"/>
      <c r="G324" s="57">
        <v>38618.8</v>
      </c>
      <c r="H324" s="49"/>
      <c r="I324" s="49"/>
      <c r="J324" s="49"/>
      <c r="K324" s="49"/>
      <c r="L324" s="49"/>
      <c r="M324" s="49"/>
      <c r="N324" s="49"/>
      <c r="O324" s="49"/>
      <c r="P324" s="49"/>
    </row>
    <row r="325" ht="12.0" customHeight="1">
      <c r="A325" s="56" t="s">
        <v>85</v>
      </c>
      <c r="B325" s="56" t="s">
        <v>50</v>
      </c>
      <c r="C325" s="56" t="s">
        <v>44</v>
      </c>
      <c r="D325" s="56" t="s">
        <v>28</v>
      </c>
      <c r="E325" s="56" t="s">
        <v>62</v>
      </c>
      <c r="F325" s="56"/>
      <c r="G325" s="57">
        <v>39771.600000000006</v>
      </c>
      <c r="H325" s="49"/>
      <c r="I325" s="49"/>
      <c r="J325" s="49"/>
      <c r="K325" s="49"/>
      <c r="L325" s="49"/>
      <c r="M325" s="49"/>
      <c r="N325" s="49"/>
      <c r="O325" s="49"/>
      <c r="P325" s="49"/>
    </row>
    <row r="326" ht="12.0" customHeight="1">
      <c r="A326" s="56" t="s">
        <v>85</v>
      </c>
      <c r="B326" s="56" t="s">
        <v>50</v>
      </c>
      <c r="C326" s="56" t="s">
        <v>44</v>
      </c>
      <c r="D326" s="56" t="s">
        <v>28</v>
      </c>
      <c r="E326" s="56" t="s">
        <v>62</v>
      </c>
      <c r="F326" s="56"/>
      <c r="G326" s="57">
        <v>198000.00000000003</v>
      </c>
      <c r="H326" s="49"/>
      <c r="I326" s="49"/>
      <c r="J326" s="49"/>
      <c r="K326" s="49"/>
      <c r="L326" s="49"/>
      <c r="M326" s="49"/>
      <c r="N326" s="49"/>
      <c r="O326" s="49"/>
      <c r="P326" s="49"/>
    </row>
    <row r="327" ht="12.0" customHeight="1">
      <c r="A327" s="56" t="s">
        <v>85</v>
      </c>
      <c r="B327" s="56" t="s">
        <v>50</v>
      </c>
      <c r="C327" s="56" t="s">
        <v>44</v>
      </c>
      <c r="D327" s="56" t="s">
        <v>28</v>
      </c>
      <c r="E327" s="56" t="s">
        <v>62</v>
      </c>
      <c r="F327" s="56"/>
      <c r="G327" s="57">
        <v>39595.600000000006</v>
      </c>
      <c r="H327" s="49"/>
      <c r="I327" s="49"/>
      <c r="J327" s="49"/>
      <c r="K327" s="49"/>
      <c r="L327" s="49"/>
      <c r="M327" s="49"/>
      <c r="N327" s="49"/>
      <c r="O327" s="49"/>
      <c r="P327" s="49"/>
    </row>
    <row r="328" ht="12.0" customHeight="1">
      <c r="A328" s="56" t="s">
        <v>85</v>
      </c>
      <c r="B328" s="56" t="s">
        <v>50</v>
      </c>
      <c r="C328" s="56" t="s">
        <v>44</v>
      </c>
      <c r="D328" s="56" t="s">
        <v>28</v>
      </c>
      <c r="E328" s="56" t="s">
        <v>62</v>
      </c>
      <c r="F328" s="56"/>
      <c r="G328" s="57">
        <v>110000.00000000001</v>
      </c>
      <c r="H328" s="49"/>
      <c r="I328" s="49"/>
      <c r="J328" s="49"/>
      <c r="K328" s="49"/>
      <c r="L328" s="49"/>
      <c r="M328" s="49"/>
      <c r="N328" s="49"/>
      <c r="O328" s="49"/>
      <c r="P328" s="49"/>
    </row>
    <row r="329" ht="12.0" customHeight="1">
      <c r="A329" s="56" t="s">
        <v>85</v>
      </c>
      <c r="B329" s="56" t="s">
        <v>50</v>
      </c>
      <c r="C329" s="56" t="s">
        <v>44</v>
      </c>
      <c r="D329" s="56" t="s">
        <v>28</v>
      </c>
      <c r="E329" s="56" t="s">
        <v>70</v>
      </c>
      <c r="F329" s="56"/>
      <c r="G329" s="57">
        <v>209000.00000000003</v>
      </c>
      <c r="H329" s="49"/>
      <c r="I329" s="49"/>
      <c r="J329" s="49"/>
      <c r="K329" s="49"/>
      <c r="L329" s="49"/>
      <c r="M329" s="49"/>
      <c r="N329" s="49"/>
      <c r="O329" s="49"/>
      <c r="P329" s="49"/>
    </row>
    <row r="330" ht="12.0" customHeight="1">
      <c r="A330" s="56" t="s">
        <v>85</v>
      </c>
      <c r="B330" s="56" t="s">
        <v>50</v>
      </c>
      <c r="C330" s="56" t="s">
        <v>44</v>
      </c>
      <c r="D330" s="56" t="s">
        <v>28</v>
      </c>
      <c r="E330" s="56" t="s">
        <v>65</v>
      </c>
      <c r="F330" s="56"/>
      <c r="G330" s="57">
        <v>65621.6</v>
      </c>
      <c r="H330" s="49"/>
      <c r="I330" s="49"/>
      <c r="J330" s="49"/>
      <c r="K330" s="49"/>
      <c r="L330" s="49"/>
      <c r="M330" s="49"/>
      <c r="N330" s="49"/>
      <c r="O330" s="49"/>
      <c r="P330" s="49"/>
    </row>
    <row r="331" ht="12.0" customHeight="1">
      <c r="A331" s="56" t="s">
        <v>85</v>
      </c>
      <c r="B331" s="56" t="s">
        <v>50</v>
      </c>
      <c r="C331" s="56" t="s">
        <v>44</v>
      </c>
      <c r="D331" s="56" t="s">
        <v>28</v>
      </c>
      <c r="E331" s="56" t="s">
        <v>65</v>
      </c>
      <c r="F331" s="56"/>
      <c r="G331" s="57">
        <v>181500.00000000003</v>
      </c>
      <c r="H331" s="49"/>
      <c r="I331" s="49"/>
      <c r="J331" s="49"/>
      <c r="K331" s="49"/>
      <c r="L331" s="49"/>
      <c r="M331" s="49"/>
      <c r="N331" s="49"/>
      <c r="O331" s="49"/>
      <c r="P331" s="49"/>
    </row>
    <row r="332" ht="12.0" customHeight="1">
      <c r="A332" s="56" t="s">
        <v>85</v>
      </c>
      <c r="B332" s="56" t="s">
        <v>50</v>
      </c>
      <c r="C332" s="56" t="s">
        <v>44</v>
      </c>
      <c r="D332" s="56" t="s">
        <v>28</v>
      </c>
      <c r="E332" s="56" t="s">
        <v>65</v>
      </c>
      <c r="F332" s="56"/>
      <c r="G332" s="57">
        <v>172713.2</v>
      </c>
      <c r="H332" s="49"/>
      <c r="I332" s="49"/>
      <c r="J332" s="49"/>
      <c r="K332" s="49"/>
      <c r="L332" s="49"/>
      <c r="M332" s="49"/>
      <c r="N332" s="49"/>
      <c r="O332" s="49"/>
      <c r="P332" s="49"/>
    </row>
    <row r="333" ht="12.0" customHeight="1">
      <c r="A333" s="56" t="s">
        <v>85</v>
      </c>
      <c r="B333" s="56" t="s">
        <v>50</v>
      </c>
      <c r="C333" s="56" t="s">
        <v>44</v>
      </c>
      <c r="D333" s="56" t="s">
        <v>28</v>
      </c>
      <c r="E333" s="56" t="s">
        <v>65</v>
      </c>
      <c r="F333" s="56"/>
      <c r="G333" s="57">
        <v>61877.200000000004</v>
      </c>
      <c r="H333" s="49"/>
      <c r="I333" s="49"/>
      <c r="J333" s="49"/>
      <c r="K333" s="49"/>
      <c r="L333" s="49"/>
      <c r="M333" s="49"/>
      <c r="N333" s="49"/>
      <c r="O333" s="49"/>
      <c r="P333" s="49"/>
    </row>
    <row r="334" ht="12.0" customHeight="1">
      <c r="A334" s="56" t="s">
        <v>85</v>
      </c>
      <c r="B334" s="56" t="s">
        <v>50</v>
      </c>
      <c r="C334" s="56" t="s">
        <v>44</v>
      </c>
      <c r="D334" s="56" t="s">
        <v>29</v>
      </c>
      <c r="E334" s="56" t="s">
        <v>56</v>
      </c>
      <c r="F334" s="56"/>
      <c r="G334" s="57">
        <v>55000.00000000001</v>
      </c>
      <c r="H334" s="49"/>
      <c r="I334" s="49"/>
      <c r="J334" s="49"/>
      <c r="K334" s="49"/>
      <c r="L334" s="49"/>
      <c r="M334" s="49"/>
      <c r="N334" s="49"/>
      <c r="O334" s="49"/>
      <c r="P334" s="49"/>
    </row>
    <row r="335" ht="12.0" customHeight="1">
      <c r="A335" s="56" t="s">
        <v>85</v>
      </c>
      <c r="B335" s="56" t="s">
        <v>50</v>
      </c>
      <c r="C335" s="56" t="s">
        <v>44</v>
      </c>
      <c r="D335" s="56" t="s">
        <v>29</v>
      </c>
      <c r="E335" s="56" t="s">
        <v>56</v>
      </c>
      <c r="F335" s="56"/>
      <c r="G335" s="57">
        <v>187000.00000000003</v>
      </c>
      <c r="H335" s="49"/>
      <c r="I335" s="49"/>
      <c r="J335" s="49"/>
      <c r="K335" s="49"/>
      <c r="L335" s="49"/>
      <c r="M335" s="49"/>
      <c r="N335" s="49"/>
      <c r="O335" s="49"/>
      <c r="P335" s="49"/>
    </row>
    <row r="336" ht="12.0" customHeight="1">
      <c r="A336" s="56" t="s">
        <v>85</v>
      </c>
      <c r="B336" s="56" t="s">
        <v>50</v>
      </c>
      <c r="C336" s="56" t="s">
        <v>44</v>
      </c>
      <c r="D336" s="56" t="s">
        <v>29</v>
      </c>
      <c r="E336" s="56" t="s">
        <v>66</v>
      </c>
      <c r="F336" s="56"/>
      <c r="G336" s="57">
        <v>93500.00000000001</v>
      </c>
      <c r="H336" s="49"/>
      <c r="I336" s="49"/>
      <c r="J336" s="49"/>
      <c r="K336" s="49"/>
      <c r="L336" s="49"/>
      <c r="M336" s="49"/>
      <c r="N336" s="49"/>
      <c r="O336" s="49"/>
      <c r="P336" s="49"/>
    </row>
    <row r="337" ht="12.0" customHeight="1">
      <c r="A337" s="56" t="s">
        <v>85</v>
      </c>
      <c r="B337" s="56" t="s">
        <v>50</v>
      </c>
      <c r="C337" s="56" t="s">
        <v>44</v>
      </c>
      <c r="D337" s="56" t="s">
        <v>29</v>
      </c>
      <c r="E337" s="56" t="s">
        <v>59</v>
      </c>
      <c r="F337" s="56"/>
      <c r="G337" s="57">
        <v>146247.2</v>
      </c>
      <c r="H337" s="49"/>
      <c r="I337" s="49"/>
      <c r="J337" s="49"/>
      <c r="K337" s="49"/>
      <c r="L337" s="49"/>
      <c r="M337" s="49"/>
      <c r="N337" s="49"/>
      <c r="O337" s="49"/>
      <c r="P337" s="49"/>
    </row>
    <row r="338" ht="12.0" customHeight="1">
      <c r="A338" s="56" t="s">
        <v>85</v>
      </c>
      <c r="B338" s="56" t="s">
        <v>50</v>
      </c>
      <c r="C338" s="56" t="s">
        <v>44</v>
      </c>
      <c r="D338" s="56" t="s">
        <v>30</v>
      </c>
      <c r="E338" s="56" t="s">
        <v>6</v>
      </c>
      <c r="F338" s="56"/>
      <c r="G338" s="57">
        <v>126500.00000000001</v>
      </c>
      <c r="H338" s="49"/>
      <c r="I338" s="49"/>
      <c r="J338" s="49"/>
      <c r="K338" s="49"/>
      <c r="L338" s="49"/>
      <c r="M338" s="49"/>
      <c r="N338" s="49"/>
      <c r="O338" s="49"/>
      <c r="P338" s="49"/>
    </row>
    <row r="339" ht="12.0" customHeight="1">
      <c r="A339" s="56" t="s">
        <v>85</v>
      </c>
      <c r="B339" s="56" t="s">
        <v>50</v>
      </c>
      <c r="C339" s="56" t="s">
        <v>44</v>
      </c>
      <c r="D339" s="56" t="s">
        <v>30</v>
      </c>
      <c r="E339" s="56" t="s">
        <v>6</v>
      </c>
      <c r="F339" s="56"/>
      <c r="G339" s="57">
        <v>55000.00000000001</v>
      </c>
      <c r="H339" s="49"/>
      <c r="I339" s="49"/>
      <c r="J339" s="49"/>
      <c r="K339" s="49"/>
      <c r="L339" s="49"/>
      <c r="M339" s="49"/>
      <c r="N339" s="49"/>
      <c r="O339" s="49"/>
      <c r="P339" s="49"/>
    </row>
    <row r="340" ht="12.0" customHeight="1">
      <c r="A340" s="56" t="s">
        <v>85</v>
      </c>
      <c r="B340" s="56" t="s">
        <v>50</v>
      </c>
      <c r="C340" s="56" t="s">
        <v>44</v>
      </c>
      <c r="D340" s="56" t="s">
        <v>30</v>
      </c>
      <c r="E340" s="56" t="s">
        <v>6</v>
      </c>
      <c r="F340" s="56"/>
      <c r="G340" s="57">
        <v>0.0</v>
      </c>
      <c r="H340" s="49"/>
      <c r="I340" s="49"/>
      <c r="J340" s="49"/>
      <c r="K340" s="49"/>
      <c r="L340" s="49"/>
      <c r="M340" s="49"/>
      <c r="N340" s="49"/>
      <c r="O340" s="49"/>
      <c r="P340" s="49"/>
    </row>
    <row r="341" ht="12.0" customHeight="1">
      <c r="A341" s="56" t="s">
        <v>85</v>
      </c>
      <c r="B341" s="56" t="s">
        <v>50</v>
      </c>
      <c r="C341" s="56" t="s">
        <v>44</v>
      </c>
      <c r="D341" s="56" t="s">
        <v>30</v>
      </c>
      <c r="E341" s="56" t="s">
        <v>6</v>
      </c>
      <c r="F341" s="56"/>
      <c r="G341" s="57">
        <v>90785.20000000001</v>
      </c>
      <c r="H341" s="49"/>
      <c r="I341" s="49"/>
      <c r="J341" s="49"/>
      <c r="K341" s="49"/>
      <c r="L341" s="49"/>
      <c r="M341" s="49"/>
      <c r="N341" s="49"/>
      <c r="O341" s="49"/>
      <c r="P341" s="49"/>
    </row>
    <row r="342" ht="12.0" customHeight="1">
      <c r="A342" s="56" t="s">
        <v>85</v>
      </c>
      <c r="B342" s="56" t="s">
        <v>50</v>
      </c>
      <c r="C342" s="56" t="s">
        <v>44</v>
      </c>
      <c r="D342" s="56" t="s">
        <v>30</v>
      </c>
      <c r="E342" s="56" t="s">
        <v>5</v>
      </c>
      <c r="F342" s="56"/>
      <c r="G342" s="57">
        <v>50054.4</v>
      </c>
      <c r="H342" s="49"/>
      <c r="I342" s="49"/>
      <c r="J342" s="49"/>
      <c r="K342" s="49"/>
      <c r="L342" s="49"/>
      <c r="M342" s="49"/>
      <c r="N342" s="49"/>
      <c r="O342" s="49"/>
      <c r="P342" s="49"/>
    </row>
    <row r="343" ht="12.0" customHeight="1">
      <c r="A343" s="56" t="s">
        <v>85</v>
      </c>
      <c r="B343" s="56" t="s">
        <v>50</v>
      </c>
      <c r="C343" s="56" t="s">
        <v>44</v>
      </c>
      <c r="D343" s="56" t="s">
        <v>30</v>
      </c>
      <c r="E343" s="56" t="s">
        <v>5</v>
      </c>
      <c r="F343" s="56"/>
      <c r="G343" s="57">
        <v>137500.0</v>
      </c>
      <c r="H343" s="49"/>
      <c r="I343" s="49"/>
      <c r="J343" s="49"/>
      <c r="K343" s="49"/>
      <c r="L343" s="49"/>
      <c r="M343" s="49"/>
      <c r="N343" s="49"/>
      <c r="O343" s="49"/>
      <c r="P343" s="49"/>
    </row>
    <row r="344" ht="12.0" customHeight="1">
      <c r="A344" s="56" t="s">
        <v>85</v>
      </c>
      <c r="B344" s="56" t="s">
        <v>50</v>
      </c>
      <c r="C344" s="56" t="s">
        <v>44</v>
      </c>
      <c r="D344" s="56" t="s">
        <v>30</v>
      </c>
      <c r="E344" s="56" t="s">
        <v>5</v>
      </c>
      <c r="F344" s="56"/>
      <c r="G344" s="57">
        <v>35068.0</v>
      </c>
      <c r="H344" s="49"/>
      <c r="I344" s="49"/>
      <c r="J344" s="49"/>
      <c r="K344" s="49"/>
      <c r="L344" s="49"/>
      <c r="M344" s="49"/>
      <c r="N344" s="49"/>
      <c r="O344" s="49"/>
      <c r="P344" s="49"/>
    </row>
    <row r="345" ht="12.0" customHeight="1">
      <c r="A345" s="56" t="s">
        <v>85</v>
      </c>
      <c r="B345" s="56" t="s">
        <v>50</v>
      </c>
      <c r="C345" s="56" t="s">
        <v>44</v>
      </c>
      <c r="D345" s="56" t="s">
        <v>30</v>
      </c>
      <c r="E345" s="56" t="s">
        <v>5</v>
      </c>
      <c r="F345" s="56"/>
      <c r="G345" s="57">
        <v>24072.4</v>
      </c>
      <c r="H345" s="49"/>
      <c r="I345" s="49"/>
      <c r="J345" s="49"/>
      <c r="K345" s="49"/>
      <c r="L345" s="49"/>
      <c r="M345" s="49"/>
      <c r="N345" s="49"/>
      <c r="O345" s="49"/>
      <c r="P345" s="49"/>
    </row>
    <row r="346" ht="12.0" customHeight="1">
      <c r="A346" s="56" t="s">
        <v>85</v>
      </c>
      <c r="B346" s="56" t="s">
        <v>50</v>
      </c>
      <c r="C346" s="56" t="s">
        <v>44</v>
      </c>
      <c r="D346" s="56" t="s">
        <v>30</v>
      </c>
      <c r="E346" s="56" t="s">
        <v>5</v>
      </c>
      <c r="F346" s="56"/>
      <c r="G346" s="57">
        <v>33083.600000000006</v>
      </c>
      <c r="H346" s="49"/>
      <c r="I346" s="49"/>
      <c r="J346" s="49"/>
      <c r="K346" s="49"/>
      <c r="L346" s="49"/>
      <c r="M346" s="49"/>
      <c r="N346" s="49"/>
      <c r="O346" s="49"/>
      <c r="P346" s="49"/>
    </row>
    <row r="347" ht="12.0" customHeight="1">
      <c r="A347" s="56" t="s">
        <v>85</v>
      </c>
      <c r="B347" s="56" t="s">
        <v>50</v>
      </c>
      <c r="C347" s="56" t="s">
        <v>44</v>
      </c>
      <c r="D347" s="56" t="s">
        <v>30</v>
      </c>
      <c r="E347" s="56" t="s">
        <v>61</v>
      </c>
      <c r="F347" s="56"/>
      <c r="G347" s="57">
        <v>50054.4</v>
      </c>
      <c r="H347" s="49"/>
      <c r="I347" s="49"/>
      <c r="J347" s="49"/>
      <c r="K347" s="49"/>
      <c r="L347" s="49"/>
      <c r="M347" s="49"/>
      <c r="N347" s="49"/>
      <c r="O347" s="49"/>
      <c r="P347" s="49"/>
    </row>
    <row r="348" ht="12.0" customHeight="1">
      <c r="A348" s="56" t="s">
        <v>85</v>
      </c>
      <c r="B348" s="56" t="s">
        <v>50</v>
      </c>
      <c r="C348" s="56" t="s">
        <v>74</v>
      </c>
      <c r="D348" s="56" t="s">
        <v>25</v>
      </c>
      <c r="E348" s="56" t="s">
        <v>75</v>
      </c>
      <c r="F348" s="56"/>
      <c r="G348" s="57">
        <v>88000.0</v>
      </c>
      <c r="H348" s="49"/>
      <c r="I348" s="49"/>
      <c r="J348" s="49"/>
      <c r="K348" s="49"/>
      <c r="L348" s="49"/>
      <c r="M348" s="49"/>
      <c r="N348" s="49"/>
      <c r="O348" s="49"/>
      <c r="P348" s="49"/>
    </row>
    <row r="349" ht="12.0" customHeight="1">
      <c r="A349" s="56" t="s">
        <v>85</v>
      </c>
      <c r="B349" s="56" t="s">
        <v>50</v>
      </c>
      <c r="C349" s="56" t="s">
        <v>74</v>
      </c>
      <c r="D349" s="56" t="s">
        <v>25</v>
      </c>
      <c r="E349" s="56" t="s">
        <v>75</v>
      </c>
      <c r="F349" s="56"/>
      <c r="G349" s="57">
        <v>32150.800000000003</v>
      </c>
      <c r="H349" s="49"/>
      <c r="I349" s="49"/>
      <c r="J349" s="49"/>
      <c r="K349" s="49"/>
      <c r="L349" s="49"/>
      <c r="M349" s="49"/>
      <c r="N349" s="49"/>
      <c r="O349" s="49"/>
      <c r="P349" s="49"/>
    </row>
    <row r="350" ht="12.0" customHeight="1">
      <c r="A350" s="56" t="s">
        <v>85</v>
      </c>
      <c r="B350" s="56" t="s">
        <v>50</v>
      </c>
      <c r="C350" s="56" t="s">
        <v>74</v>
      </c>
      <c r="D350" s="56" t="s">
        <v>25</v>
      </c>
      <c r="E350" s="56" t="s">
        <v>75</v>
      </c>
      <c r="F350" s="56"/>
      <c r="G350" s="57">
        <v>45007.600000000006</v>
      </c>
      <c r="H350" s="49"/>
      <c r="I350" s="49"/>
      <c r="J350" s="49"/>
      <c r="K350" s="49"/>
      <c r="L350" s="49"/>
      <c r="M350" s="49"/>
      <c r="N350" s="49"/>
      <c r="O350" s="49"/>
      <c r="P350" s="49"/>
    </row>
    <row r="351" ht="12.0" customHeight="1">
      <c r="A351" s="56" t="s">
        <v>85</v>
      </c>
      <c r="B351" s="56" t="s">
        <v>50</v>
      </c>
      <c r="C351" s="56" t="s">
        <v>74</v>
      </c>
      <c r="D351" s="56" t="s">
        <v>25</v>
      </c>
      <c r="E351" s="56" t="s">
        <v>75</v>
      </c>
      <c r="F351" s="56"/>
      <c r="G351" s="57">
        <v>0.0</v>
      </c>
      <c r="H351" s="49"/>
      <c r="I351" s="49"/>
      <c r="J351" s="49"/>
      <c r="K351" s="49"/>
      <c r="L351" s="49"/>
      <c r="M351" s="49"/>
      <c r="N351" s="49"/>
      <c r="O351" s="49"/>
      <c r="P351" s="49"/>
    </row>
    <row r="352" ht="12.0" customHeight="1">
      <c r="A352" s="56" t="s">
        <v>85</v>
      </c>
      <c r="B352" s="56" t="s">
        <v>50</v>
      </c>
      <c r="C352" s="56" t="s">
        <v>74</v>
      </c>
      <c r="D352" s="56" t="s">
        <v>25</v>
      </c>
      <c r="E352" s="56" t="s">
        <v>75</v>
      </c>
      <c r="F352" s="56"/>
      <c r="G352" s="57">
        <v>38579.200000000004</v>
      </c>
      <c r="H352" s="49"/>
      <c r="I352" s="49"/>
      <c r="J352" s="49"/>
      <c r="K352" s="49"/>
      <c r="L352" s="49"/>
      <c r="M352" s="49"/>
      <c r="N352" s="49"/>
      <c r="O352" s="49"/>
      <c r="P352" s="49"/>
    </row>
    <row r="353" ht="12.0" customHeight="1">
      <c r="A353" s="56" t="s">
        <v>85</v>
      </c>
      <c r="B353" s="56" t="s">
        <v>50</v>
      </c>
      <c r="C353" s="56" t="s">
        <v>74</v>
      </c>
      <c r="D353" s="56" t="s">
        <v>25</v>
      </c>
      <c r="E353" s="56" t="s">
        <v>75</v>
      </c>
      <c r="F353" s="56"/>
      <c r="G353" s="57">
        <v>0.0</v>
      </c>
      <c r="H353" s="49"/>
      <c r="I353" s="49"/>
      <c r="J353" s="49"/>
      <c r="K353" s="49"/>
      <c r="L353" s="49"/>
      <c r="M353" s="49"/>
      <c r="N353" s="49"/>
      <c r="O353" s="49"/>
      <c r="P353" s="49"/>
    </row>
    <row r="354" ht="12.0" customHeight="1">
      <c r="A354" s="56" t="s">
        <v>85</v>
      </c>
      <c r="B354" s="56" t="s">
        <v>50</v>
      </c>
      <c r="C354" s="56" t="s">
        <v>74</v>
      </c>
      <c r="D354" s="56" t="s">
        <v>25</v>
      </c>
      <c r="E354" s="56" t="s">
        <v>75</v>
      </c>
      <c r="F354" s="56"/>
      <c r="G354" s="57">
        <v>50124.8</v>
      </c>
      <c r="H354" s="49"/>
      <c r="I354" s="49"/>
      <c r="J354" s="49"/>
      <c r="K354" s="49"/>
      <c r="L354" s="49"/>
      <c r="M354" s="49"/>
      <c r="N354" s="49"/>
      <c r="O354" s="49"/>
      <c r="P354" s="49"/>
    </row>
    <row r="355" ht="12.0" customHeight="1">
      <c r="A355" s="56" t="s">
        <v>85</v>
      </c>
      <c r="B355" s="56" t="s">
        <v>50</v>
      </c>
      <c r="C355" s="56" t="s">
        <v>74</v>
      </c>
      <c r="D355" s="56" t="s">
        <v>25</v>
      </c>
      <c r="E355" s="56" t="s">
        <v>75</v>
      </c>
      <c r="F355" s="56"/>
      <c r="G355" s="57">
        <v>56883.200000000004</v>
      </c>
      <c r="H355" s="49"/>
      <c r="I355" s="49"/>
      <c r="J355" s="49"/>
      <c r="K355" s="49"/>
      <c r="L355" s="49"/>
      <c r="M355" s="49"/>
      <c r="N355" s="49"/>
      <c r="O355" s="49"/>
      <c r="P355" s="49"/>
    </row>
    <row r="356" ht="12.0" customHeight="1">
      <c r="A356" s="56" t="s">
        <v>85</v>
      </c>
      <c r="B356" s="56" t="s">
        <v>50</v>
      </c>
      <c r="C356" s="56" t="s">
        <v>74</v>
      </c>
      <c r="D356" s="56" t="s">
        <v>25</v>
      </c>
      <c r="E356" s="56" t="s">
        <v>75</v>
      </c>
      <c r="F356" s="56"/>
      <c r="G356" s="57">
        <v>29062.000000000004</v>
      </c>
      <c r="H356" s="49"/>
      <c r="I356" s="49"/>
      <c r="J356" s="49"/>
      <c r="K356" s="49"/>
      <c r="L356" s="49"/>
      <c r="M356" s="49"/>
      <c r="N356" s="49"/>
      <c r="O356" s="49"/>
      <c r="P356" s="49"/>
    </row>
    <row r="357" ht="12.0" customHeight="1">
      <c r="A357" s="56" t="s">
        <v>85</v>
      </c>
      <c r="B357" s="56" t="s">
        <v>50</v>
      </c>
      <c r="C357" s="56" t="s">
        <v>74</v>
      </c>
      <c r="D357" s="56" t="s">
        <v>25</v>
      </c>
      <c r="E357" s="56" t="s">
        <v>75</v>
      </c>
      <c r="F357" s="56"/>
      <c r="G357" s="57">
        <v>55228.8</v>
      </c>
      <c r="H357" s="49"/>
      <c r="I357" s="49"/>
      <c r="J357" s="49"/>
      <c r="K357" s="49"/>
      <c r="L357" s="49"/>
      <c r="M357" s="49"/>
      <c r="N357" s="49"/>
      <c r="O357" s="49"/>
      <c r="P357" s="49"/>
    </row>
    <row r="358" ht="12.0" customHeight="1">
      <c r="A358" s="56" t="s">
        <v>85</v>
      </c>
      <c r="B358" s="56" t="s">
        <v>50</v>
      </c>
      <c r="C358" s="56" t="s">
        <v>74</v>
      </c>
      <c r="D358" s="56" t="s">
        <v>25</v>
      </c>
      <c r="E358" s="56" t="s">
        <v>75</v>
      </c>
      <c r="F358" s="56"/>
      <c r="G358" s="57">
        <v>29251.2</v>
      </c>
      <c r="H358" s="49"/>
      <c r="I358" s="49"/>
      <c r="J358" s="49"/>
      <c r="K358" s="49"/>
      <c r="L358" s="49"/>
      <c r="M358" s="49"/>
      <c r="N358" s="49"/>
      <c r="O358" s="49"/>
      <c r="P358" s="49"/>
    </row>
    <row r="359" ht="12.0" customHeight="1">
      <c r="A359" s="56" t="s">
        <v>85</v>
      </c>
      <c r="B359" s="56" t="s">
        <v>50</v>
      </c>
      <c r="C359" s="56" t="s">
        <v>74</v>
      </c>
      <c r="D359" s="56" t="s">
        <v>25</v>
      </c>
      <c r="E359" s="56" t="s">
        <v>76</v>
      </c>
      <c r="F359" s="56"/>
      <c r="G359" s="57">
        <v>50036.8</v>
      </c>
      <c r="H359" s="49"/>
      <c r="I359" s="49"/>
      <c r="J359" s="49"/>
      <c r="K359" s="49"/>
      <c r="L359" s="49"/>
      <c r="M359" s="49"/>
      <c r="N359" s="49"/>
      <c r="O359" s="49"/>
      <c r="P359" s="49"/>
    </row>
    <row r="360" ht="12.0" customHeight="1">
      <c r="A360" s="56" t="s">
        <v>85</v>
      </c>
      <c r="B360" s="56" t="s">
        <v>50</v>
      </c>
      <c r="C360" s="56" t="s">
        <v>74</v>
      </c>
      <c r="D360" s="56" t="s">
        <v>25</v>
      </c>
      <c r="E360" s="56" t="s">
        <v>76</v>
      </c>
      <c r="F360" s="56"/>
      <c r="G360" s="57">
        <v>73000.40000000001</v>
      </c>
      <c r="H360" s="49"/>
      <c r="I360" s="49"/>
      <c r="J360" s="49"/>
      <c r="K360" s="49"/>
      <c r="L360" s="49"/>
      <c r="M360" s="49"/>
      <c r="N360" s="49"/>
      <c r="O360" s="49"/>
      <c r="P360" s="49"/>
    </row>
    <row r="361" ht="12.0" customHeight="1">
      <c r="A361" s="56" t="s">
        <v>85</v>
      </c>
      <c r="B361" s="56" t="s">
        <v>50</v>
      </c>
      <c r="C361" s="56" t="s">
        <v>74</v>
      </c>
      <c r="D361" s="56" t="s">
        <v>25</v>
      </c>
      <c r="E361" s="56" t="s">
        <v>76</v>
      </c>
      <c r="F361" s="56"/>
      <c r="G361" s="57">
        <v>110000.00000000001</v>
      </c>
      <c r="H361" s="49"/>
      <c r="I361" s="49"/>
      <c r="J361" s="49"/>
      <c r="K361" s="49"/>
      <c r="L361" s="49"/>
      <c r="M361" s="49"/>
      <c r="N361" s="49"/>
      <c r="O361" s="49"/>
      <c r="P361" s="49"/>
    </row>
    <row r="362" ht="12.0" customHeight="1">
      <c r="A362" s="56" t="s">
        <v>85</v>
      </c>
      <c r="B362" s="56" t="s">
        <v>50</v>
      </c>
      <c r="C362" s="56" t="s">
        <v>74</v>
      </c>
      <c r="D362" s="56" t="s">
        <v>25</v>
      </c>
      <c r="E362" s="56" t="s">
        <v>76</v>
      </c>
      <c r="F362" s="56"/>
      <c r="G362" s="57">
        <v>21529.2</v>
      </c>
      <c r="H362" s="49"/>
      <c r="I362" s="49"/>
      <c r="J362" s="49"/>
      <c r="K362" s="49"/>
      <c r="L362" s="49"/>
      <c r="M362" s="49"/>
      <c r="N362" s="49"/>
      <c r="O362" s="49"/>
      <c r="P362" s="49"/>
    </row>
    <row r="363" ht="12.0" customHeight="1">
      <c r="A363" s="56" t="s">
        <v>85</v>
      </c>
      <c r="B363" s="56" t="s">
        <v>50</v>
      </c>
      <c r="C363" s="56" t="s">
        <v>74</v>
      </c>
      <c r="D363" s="56" t="s">
        <v>25</v>
      </c>
      <c r="E363" s="56" t="s">
        <v>76</v>
      </c>
      <c r="F363" s="56"/>
      <c r="G363" s="57">
        <v>21546.800000000003</v>
      </c>
      <c r="H363" s="49"/>
      <c r="I363" s="49"/>
      <c r="J363" s="49"/>
      <c r="K363" s="49"/>
      <c r="L363" s="49"/>
      <c r="M363" s="49"/>
      <c r="N363" s="49"/>
      <c r="O363" s="49"/>
      <c r="P363" s="49"/>
    </row>
    <row r="364" ht="12.0" customHeight="1">
      <c r="A364" s="56" t="s">
        <v>85</v>
      </c>
      <c r="B364" s="56" t="s">
        <v>50</v>
      </c>
      <c r="C364" s="56" t="s">
        <v>74</v>
      </c>
      <c r="D364" s="56" t="s">
        <v>25</v>
      </c>
      <c r="E364" s="56" t="s">
        <v>76</v>
      </c>
      <c r="F364" s="56"/>
      <c r="G364" s="57">
        <v>70303.20000000001</v>
      </c>
      <c r="H364" s="49"/>
      <c r="I364" s="49"/>
      <c r="J364" s="49"/>
      <c r="K364" s="49"/>
      <c r="L364" s="49"/>
      <c r="M364" s="49"/>
      <c r="N364" s="49"/>
      <c r="O364" s="49"/>
      <c r="P364" s="49"/>
    </row>
    <row r="365" ht="12.0" customHeight="1">
      <c r="A365" s="56" t="s">
        <v>85</v>
      </c>
      <c r="B365" s="56" t="s">
        <v>50</v>
      </c>
      <c r="C365" s="56" t="s">
        <v>74</v>
      </c>
      <c r="D365" s="56" t="s">
        <v>25</v>
      </c>
      <c r="E365" s="56" t="s">
        <v>76</v>
      </c>
      <c r="F365" s="56"/>
      <c r="G365" s="57">
        <v>28758.4</v>
      </c>
      <c r="H365" s="49"/>
      <c r="I365" s="49"/>
      <c r="J365" s="49"/>
      <c r="K365" s="49"/>
      <c r="L365" s="49"/>
      <c r="M365" s="49"/>
      <c r="N365" s="49"/>
      <c r="O365" s="49"/>
      <c r="P365" s="49"/>
    </row>
    <row r="366" ht="12.0" customHeight="1">
      <c r="A366" s="56" t="s">
        <v>85</v>
      </c>
      <c r="B366" s="56" t="s">
        <v>50</v>
      </c>
      <c r="C366" s="56" t="s">
        <v>74</v>
      </c>
      <c r="D366" s="56" t="s">
        <v>25</v>
      </c>
      <c r="E366" s="56" t="s">
        <v>76</v>
      </c>
      <c r="F366" s="56"/>
      <c r="G366" s="57">
        <v>10973.6</v>
      </c>
      <c r="H366" s="49"/>
      <c r="I366" s="49"/>
      <c r="J366" s="49"/>
      <c r="K366" s="49"/>
      <c r="L366" s="49"/>
      <c r="M366" s="49"/>
      <c r="N366" s="49"/>
      <c r="O366" s="49"/>
      <c r="P366" s="49"/>
    </row>
    <row r="367" ht="12.0" customHeight="1">
      <c r="A367" s="56" t="s">
        <v>85</v>
      </c>
      <c r="B367" s="56" t="s">
        <v>50</v>
      </c>
      <c r="C367" s="56" t="s">
        <v>74</v>
      </c>
      <c r="D367" s="56" t="s">
        <v>25</v>
      </c>
      <c r="E367" s="56" t="s">
        <v>76</v>
      </c>
      <c r="F367" s="56"/>
      <c r="G367" s="57">
        <v>44919.600000000006</v>
      </c>
      <c r="H367" s="49"/>
      <c r="I367" s="49"/>
      <c r="J367" s="49"/>
      <c r="K367" s="49"/>
      <c r="L367" s="49"/>
      <c r="M367" s="49"/>
      <c r="N367" s="49"/>
      <c r="O367" s="49"/>
      <c r="P367" s="49"/>
    </row>
    <row r="368" ht="12.0" customHeight="1">
      <c r="A368" s="56" t="s">
        <v>85</v>
      </c>
      <c r="B368" s="56" t="s">
        <v>50</v>
      </c>
      <c r="C368" s="56" t="s">
        <v>74</v>
      </c>
      <c r="D368" s="56" t="s">
        <v>25</v>
      </c>
      <c r="E368" s="56" t="s">
        <v>76</v>
      </c>
      <c r="F368" s="56"/>
      <c r="G368" s="57">
        <v>0.0</v>
      </c>
      <c r="H368" s="49"/>
      <c r="I368" s="49"/>
      <c r="J368" s="49"/>
      <c r="K368" s="49"/>
      <c r="L368" s="49"/>
      <c r="M368" s="49"/>
      <c r="N368" s="49"/>
      <c r="O368" s="49"/>
      <c r="P368" s="49"/>
    </row>
    <row r="369" ht="12.0" customHeight="1">
      <c r="A369" s="56" t="s">
        <v>85</v>
      </c>
      <c r="B369" s="56" t="s">
        <v>50</v>
      </c>
      <c r="C369" s="56" t="s">
        <v>74</v>
      </c>
      <c r="D369" s="56" t="s">
        <v>25</v>
      </c>
      <c r="E369" s="56" t="s">
        <v>76</v>
      </c>
      <c r="F369" s="56"/>
      <c r="G369" s="57">
        <v>-28758.4</v>
      </c>
      <c r="H369" s="49"/>
      <c r="I369" s="49"/>
      <c r="J369" s="49"/>
      <c r="K369" s="49"/>
      <c r="L369" s="49"/>
      <c r="M369" s="49"/>
      <c r="N369" s="49"/>
      <c r="O369" s="49"/>
      <c r="P369" s="49"/>
    </row>
    <row r="370" ht="12.0" customHeight="1">
      <c r="A370" s="56" t="s">
        <v>85</v>
      </c>
      <c r="B370" s="56" t="s">
        <v>50</v>
      </c>
      <c r="C370" s="56" t="s">
        <v>74</v>
      </c>
      <c r="D370" s="56" t="s">
        <v>25</v>
      </c>
      <c r="E370" s="56" t="s">
        <v>76</v>
      </c>
      <c r="F370" s="56"/>
      <c r="G370" s="57">
        <v>0.0</v>
      </c>
      <c r="H370" s="49"/>
      <c r="I370" s="49"/>
      <c r="J370" s="49"/>
      <c r="K370" s="49"/>
      <c r="L370" s="49"/>
      <c r="M370" s="49"/>
      <c r="N370" s="49"/>
      <c r="O370" s="49"/>
      <c r="P370" s="49"/>
    </row>
    <row r="371" ht="12.0" customHeight="1">
      <c r="A371" s="56" t="s">
        <v>85</v>
      </c>
      <c r="B371" s="56" t="s">
        <v>50</v>
      </c>
      <c r="C371" s="56" t="s">
        <v>74</v>
      </c>
      <c r="D371" s="56" t="s">
        <v>25</v>
      </c>
      <c r="E371" s="56" t="s">
        <v>7</v>
      </c>
      <c r="F371" s="56"/>
      <c r="G371" s="57">
        <v>48070.00000000001</v>
      </c>
      <c r="H371" s="49"/>
      <c r="I371" s="49"/>
      <c r="J371" s="49"/>
      <c r="K371" s="49"/>
      <c r="L371" s="49"/>
      <c r="M371" s="49"/>
      <c r="N371" s="49"/>
      <c r="O371" s="49"/>
      <c r="P371" s="49"/>
    </row>
    <row r="372" ht="12.0" customHeight="1">
      <c r="A372" s="56" t="s">
        <v>85</v>
      </c>
      <c r="B372" s="56" t="s">
        <v>50</v>
      </c>
      <c r="C372" s="56" t="s">
        <v>74</v>
      </c>
      <c r="D372" s="56" t="s">
        <v>25</v>
      </c>
      <c r="E372" s="56" t="s">
        <v>7</v>
      </c>
      <c r="F372" s="56"/>
      <c r="G372" s="57">
        <v>40964.0</v>
      </c>
      <c r="H372" s="49"/>
      <c r="I372" s="49"/>
      <c r="J372" s="49"/>
      <c r="K372" s="49"/>
      <c r="L372" s="49"/>
      <c r="M372" s="49"/>
      <c r="N372" s="49"/>
      <c r="O372" s="49"/>
      <c r="P372" s="49"/>
    </row>
    <row r="373" ht="12.0" customHeight="1">
      <c r="A373" s="56" t="s">
        <v>85</v>
      </c>
      <c r="B373" s="56" t="s">
        <v>50</v>
      </c>
      <c r="C373" s="56" t="s">
        <v>74</v>
      </c>
      <c r="D373" s="56" t="s">
        <v>25</v>
      </c>
      <c r="E373" s="56" t="s">
        <v>7</v>
      </c>
      <c r="F373" s="56"/>
      <c r="G373" s="57">
        <v>59479.200000000004</v>
      </c>
      <c r="H373" s="49"/>
      <c r="I373" s="49"/>
      <c r="J373" s="49"/>
      <c r="K373" s="49"/>
      <c r="L373" s="49"/>
      <c r="M373" s="49"/>
      <c r="N373" s="49"/>
      <c r="O373" s="49"/>
      <c r="P373" s="49"/>
    </row>
    <row r="374" ht="12.0" customHeight="1">
      <c r="A374" s="56" t="s">
        <v>85</v>
      </c>
      <c r="B374" s="56" t="s">
        <v>50</v>
      </c>
      <c r="C374" s="56" t="s">
        <v>74</v>
      </c>
      <c r="D374" s="56" t="s">
        <v>25</v>
      </c>
      <c r="E374" s="56" t="s">
        <v>7</v>
      </c>
      <c r="F374" s="56"/>
      <c r="G374" s="57">
        <v>64191.600000000006</v>
      </c>
      <c r="H374" s="49"/>
      <c r="I374" s="49"/>
      <c r="J374" s="49"/>
      <c r="K374" s="49"/>
      <c r="L374" s="49"/>
      <c r="M374" s="49"/>
      <c r="N374" s="49"/>
      <c r="O374" s="49"/>
      <c r="P374" s="49"/>
    </row>
    <row r="375" ht="12.0" customHeight="1">
      <c r="A375" s="56" t="s">
        <v>85</v>
      </c>
      <c r="B375" s="56" t="s">
        <v>50</v>
      </c>
      <c r="C375" s="56" t="s">
        <v>74</v>
      </c>
      <c r="D375" s="56" t="s">
        <v>25</v>
      </c>
      <c r="E375" s="56" t="s">
        <v>7</v>
      </c>
      <c r="F375" s="56"/>
      <c r="G375" s="57">
        <v>40062.0</v>
      </c>
      <c r="H375" s="49"/>
      <c r="I375" s="49"/>
      <c r="J375" s="49"/>
      <c r="K375" s="49"/>
      <c r="L375" s="49"/>
      <c r="M375" s="49"/>
      <c r="N375" s="49"/>
      <c r="O375" s="49"/>
      <c r="P375" s="49"/>
    </row>
    <row r="376" ht="12.0" customHeight="1">
      <c r="A376" s="56" t="s">
        <v>85</v>
      </c>
      <c r="B376" s="56" t="s">
        <v>50</v>
      </c>
      <c r="C376" s="56" t="s">
        <v>74</v>
      </c>
      <c r="D376" s="56" t="s">
        <v>27</v>
      </c>
      <c r="E376" s="56" t="s">
        <v>79</v>
      </c>
      <c r="F376" s="56"/>
      <c r="G376" s="57">
        <v>39626.4</v>
      </c>
      <c r="H376" s="49"/>
      <c r="I376" s="49"/>
      <c r="J376" s="49"/>
      <c r="K376" s="49"/>
      <c r="L376" s="49"/>
      <c r="M376" s="49"/>
      <c r="N376" s="49"/>
      <c r="O376" s="49"/>
      <c r="P376" s="49"/>
    </row>
    <row r="377" ht="12.0" customHeight="1">
      <c r="A377" s="56" t="s">
        <v>85</v>
      </c>
      <c r="B377" s="56" t="s">
        <v>50</v>
      </c>
      <c r="C377" s="56" t="s">
        <v>74</v>
      </c>
      <c r="D377" s="56" t="s">
        <v>27</v>
      </c>
      <c r="E377" s="56" t="s">
        <v>81</v>
      </c>
      <c r="F377" s="56"/>
      <c r="G377" s="57">
        <v>7480.000000000001</v>
      </c>
      <c r="H377" s="49"/>
      <c r="I377" s="49"/>
      <c r="J377" s="49"/>
      <c r="K377" s="49"/>
      <c r="L377" s="49"/>
      <c r="M377" s="49"/>
      <c r="N377" s="49"/>
      <c r="O377" s="49"/>
      <c r="P377" s="49"/>
    </row>
    <row r="378" ht="12.0" customHeight="1">
      <c r="A378" s="56" t="s">
        <v>85</v>
      </c>
      <c r="B378" s="56" t="s">
        <v>50</v>
      </c>
      <c r="C378" s="56" t="s">
        <v>74</v>
      </c>
      <c r="D378" s="56" t="s">
        <v>27</v>
      </c>
      <c r="E378" s="56" t="s">
        <v>78</v>
      </c>
      <c r="F378" s="56"/>
      <c r="G378" s="57">
        <v>0.0</v>
      </c>
      <c r="H378" s="49"/>
      <c r="I378" s="49"/>
      <c r="J378" s="49"/>
      <c r="K378" s="49"/>
      <c r="L378" s="49"/>
      <c r="M378" s="49"/>
      <c r="N378" s="49"/>
      <c r="O378" s="49"/>
      <c r="P378" s="49"/>
    </row>
    <row r="379" ht="12.0" customHeight="1">
      <c r="A379" s="56" t="s">
        <v>85</v>
      </c>
      <c r="B379" s="56" t="s">
        <v>50</v>
      </c>
      <c r="C379" s="56" t="s">
        <v>74</v>
      </c>
      <c r="D379" s="56" t="s">
        <v>27</v>
      </c>
      <c r="E379" s="56" t="s">
        <v>78</v>
      </c>
      <c r="F379" s="56"/>
      <c r="G379" s="57">
        <v>48686.00000000001</v>
      </c>
      <c r="H379" s="49"/>
      <c r="I379" s="49"/>
      <c r="J379" s="49"/>
      <c r="K379" s="49"/>
      <c r="L379" s="49"/>
      <c r="M379" s="49"/>
      <c r="N379" s="49"/>
      <c r="O379" s="49"/>
      <c r="P379" s="49"/>
    </row>
    <row r="380" ht="12.0" customHeight="1">
      <c r="A380" s="56" t="s">
        <v>85</v>
      </c>
      <c r="B380" s="56" t="s">
        <v>50</v>
      </c>
      <c r="C380" s="56" t="s">
        <v>74</v>
      </c>
      <c r="D380" s="56" t="s">
        <v>27</v>
      </c>
      <c r="E380" s="56" t="s">
        <v>78</v>
      </c>
      <c r="F380" s="56"/>
      <c r="G380" s="57">
        <v>47502.4</v>
      </c>
      <c r="H380" s="49"/>
      <c r="I380" s="49"/>
      <c r="J380" s="49"/>
      <c r="K380" s="49"/>
      <c r="L380" s="49"/>
      <c r="M380" s="49"/>
      <c r="N380" s="49"/>
      <c r="O380" s="49"/>
      <c r="P380" s="49"/>
    </row>
    <row r="381" ht="12.0" customHeight="1">
      <c r="A381" s="56" t="s">
        <v>85</v>
      </c>
      <c r="B381" s="56" t="s">
        <v>50</v>
      </c>
      <c r="C381" s="56" t="s">
        <v>74</v>
      </c>
      <c r="D381" s="56" t="s">
        <v>27</v>
      </c>
      <c r="E381" s="56" t="s">
        <v>78</v>
      </c>
      <c r="F381" s="56"/>
      <c r="G381" s="57">
        <v>64583.200000000004</v>
      </c>
      <c r="H381" s="49"/>
      <c r="I381" s="49"/>
      <c r="J381" s="49"/>
      <c r="K381" s="49"/>
      <c r="L381" s="49"/>
      <c r="M381" s="49"/>
      <c r="N381" s="49"/>
      <c r="O381" s="49"/>
      <c r="P381" s="49"/>
    </row>
    <row r="382" ht="12.0" customHeight="1">
      <c r="A382" s="56" t="s">
        <v>85</v>
      </c>
      <c r="B382" s="56" t="s">
        <v>50</v>
      </c>
      <c r="C382" s="56" t="s">
        <v>74</v>
      </c>
      <c r="D382" s="56" t="s">
        <v>27</v>
      </c>
      <c r="E382" s="56" t="s">
        <v>78</v>
      </c>
      <c r="F382" s="56"/>
      <c r="G382" s="57">
        <v>56768.8</v>
      </c>
      <c r="H382" s="49"/>
      <c r="I382" s="49"/>
      <c r="J382" s="49"/>
      <c r="K382" s="49"/>
      <c r="L382" s="49"/>
      <c r="M382" s="49"/>
      <c r="N382" s="49"/>
      <c r="O382" s="49"/>
      <c r="P382" s="49"/>
    </row>
    <row r="383" ht="12.0" customHeight="1">
      <c r="A383" s="56" t="s">
        <v>85</v>
      </c>
      <c r="B383" s="56" t="s">
        <v>50</v>
      </c>
      <c r="C383" s="56" t="s">
        <v>74</v>
      </c>
      <c r="D383" s="56" t="s">
        <v>27</v>
      </c>
      <c r="E383" s="56" t="s">
        <v>78</v>
      </c>
      <c r="F383" s="56"/>
      <c r="G383" s="57">
        <v>77673.20000000001</v>
      </c>
      <c r="H383" s="49"/>
      <c r="I383" s="49"/>
      <c r="J383" s="49"/>
      <c r="K383" s="49"/>
      <c r="L383" s="49"/>
      <c r="M383" s="49"/>
      <c r="N383" s="49"/>
      <c r="O383" s="49"/>
      <c r="P383" s="49"/>
    </row>
    <row r="384" ht="12.0" customHeight="1">
      <c r="A384" s="56" t="s">
        <v>85</v>
      </c>
      <c r="B384" s="56" t="s">
        <v>50</v>
      </c>
      <c r="C384" s="56" t="s">
        <v>74</v>
      </c>
      <c r="D384" s="56" t="s">
        <v>27</v>
      </c>
      <c r="E384" s="56" t="s">
        <v>78</v>
      </c>
      <c r="F384" s="56"/>
      <c r="G384" s="57">
        <v>88000.0</v>
      </c>
      <c r="H384" s="49"/>
      <c r="I384" s="49"/>
      <c r="J384" s="49"/>
      <c r="K384" s="49"/>
      <c r="L384" s="49"/>
      <c r="M384" s="49"/>
      <c r="N384" s="49"/>
      <c r="O384" s="49"/>
      <c r="P384" s="49"/>
    </row>
    <row r="385" ht="12.0" customHeight="1">
      <c r="A385" s="56" t="s">
        <v>85</v>
      </c>
      <c r="B385" s="56" t="s">
        <v>50</v>
      </c>
      <c r="C385" s="56" t="s">
        <v>74</v>
      </c>
      <c r="D385" s="56" t="s">
        <v>27</v>
      </c>
      <c r="E385" s="56" t="s">
        <v>78</v>
      </c>
      <c r="F385" s="56"/>
      <c r="G385" s="57">
        <v>18158.800000000003</v>
      </c>
      <c r="H385" s="49"/>
      <c r="I385" s="49"/>
      <c r="J385" s="49"/>
      <c r="K385" s="49"/>
      <c r="L385" s="49"/>
      <c r="M385" s="49"/>
      <c r="N385" s="49"/>
      <c r="O385" s="49"/>
      <c r="P385" s="49"/>
    </row>
    <row r="386" ht="12.0" customHeight="1">
      <c r="A386" s="56" t="s">
        <v>85</v>
      </c>
      <c r="B386" s="56" t="s">
        <v>50</v>
      </c>
      <c r="C386" s="56" t="s">
        <v>74</v>
      </c>
      <c r="D386" s="56" t="s">
        <v>27</v>
      </c>
      <c r="E386" s="56" t="s">
        <v>78</v>
      </c>
      <c r="F386" s="56"/>
      <c r="G386" s="57">
        <v>44915.200000000004</v>
      </c>
      <c r="H386" s="49"/>
      <c r="I386" s="49"/>
      <c r="J386" s="49"/>
      <c r="K386" s="49"/>
      <c r="L386" s="49"/>
      <c r="M386" s="49"/>
      <c r="N386" s="49"/>
      <c r="O386" s="49"/>
      <c r="P386" s="49"/>
    </row>
    <row r="387" ht="12.0" customHeight="1">
      <c r="A387" s="56" t="s">
        <v>85</v>
      </c>
      <c r="B387" s="56" t="s">
        <v>50</v>
      </c>
      <c r="C387" s="56" t="s">
        <v>74</v>
      </c>
      <c r="D387" s="56" t="s">
        <v>27</v>
      </c>
      <c r="E387" s="56" t="s">
        <v>78</v>
      </c>
      <c r="F387" s="56"/>
      <c r="G387" s="57">
        <v>97020.00000000001</v>
      </c>
      <c r="H387" s="49"/>
      <c r="I387" s="49"/>
      <c r="J387" s="49"/>
      <c r="K387" s="49"/>
      <c r="L387" s="49"/>
      <c r="M387" s="49"/>
      <c r="N387" s="49"/>
      <c r="O387" s="49"/>
      <c r="P387" s="49"/>
    </row>
    <row r="388" ht="12.0" customHeight="1">
      <c r="A388" s="56" t="s">
        <v>85</v>
      </c>
      <c r="B388" s="56" t="s">
        <v>50</v>
      </c>
      <c r="C388" s="56" t="s">
        <v>74</v>
      </c>
      <c r="D388" s="56" t="s">
        <v>27</v>
      </c>
      <c r="E388" s="56" t="s">
        <v>78</v>
      </c>
      <c r="F388" s="56"/>
      <c r="G388" s="57">
        <v>0.0</v>
      </c>
      <c r="H388" s="49"/>
      <c r="I388" s="49"/>
      <c r="J388" s="49"/>
      <c r="K388" s="49"/>
      <c r="L388" s="49"/>
      <c r="M388" s="49"/>
      <c r="N388" s="49"/>
      <c r="O388" s="49"/>
      <c r="P388" s="49"/>
    </row>
    <row r="389" ht="12.0" customHeight="1">
      <c r="A389" s="56" t="s">
        <v>85</v>
      </c>
      <c r="B389" s="56" t="s">
        <v>50</v>
      </c>
      <c r="C389" s="56" t="s">
        <v>74</v>
      </c>
      <c r="D389" s="56" t="s">
        <v>27</v>
      </c>
      <c r="E389" s="56" t="s">
        <v>78</v>
      </c>
      <c r="F389" s="56"/>
      <c r="G389" s="57">
        <v>-11976.800000000001</v>
      </c>
      <c r="H389" s="49"/>
      <c r="I389" s="49"/>
      <c r="J389" s="49"/>
      <c r="K389" s="49"/>
      <c r="L389" s="49"/>
      <c r="M389" s="49"/>
      <c r="N389" s="49"/>
      <c r="O389" s="49"/>
      <c r="P389" s="49"/>
    </row>
    <row r="390" ht="12.0" customHeight="1">
      <c r="A390" s="56" t="s">
        <v>85</v>
      </c>
      <c r="B390" s="56" t="s">
        <v>50</v>
      </c>
      <c r="C390" s="56" t="s">
        <v>74</v>
      </c>
      <c r="D390" s="56" t="s">
        <v>27</v>
      </c>
      <c r="E390" s="56" t="s">
        <v>78</v>
      </c>
      <c r="F390" s="56"/>
      <c r="G390" s="57">
        <v>92712.40000000001</v>
      </c>
      <c r="H390" s="49"/>
      <c r="I390" s="49"/>
      <c r="J390" s="49"/>
      <c r="K390" s="49"/>
      <c r="L390" s="49"/>
      <c r="M390" s="49"/>
      <c r="N390" s="49"/>
      <c r="O390" s="49"/>
      <c r="P390" s="49"/>
    </row>
    <row r="391" ht="12.0" customHeight="1">
      <c r="A391" s="56" t="s">
        <v>85</v>
      </c>
      <c r="B391" s="56" t="s">
        <v>50</v>
      </c>
      <c r="C391" s="56" t="s">
        <v>74</v>
      </c>
      <c r="D391" s="56" t="s">
        <v>27</v>
      </c>
      <c r="E391" s="56" t="s">
        <v>78</v>
      </c>
      <c r="F391" s="56"/>
      <c r="G391" s="57">
        <v>79380.40000000001</v>
      </c>
      <c r="H391" s="49"/>
      <c r="I391" s="49"/>
      <c r="J391" s="49"/>
      <c r="K391" s="49"/>
      <c r="L391" s="49"/>
      <c r="M391" s="49"/>
      <c r="N391" s="49"/>
      <c r="O391" s="49"/>
      <c r="P391" s="49"/>
    </row>
    <row r="392" ht="12.0" customHeight="1">
      <c r="A392" s="56" t="s">
        <v>85</v>
      </c>
      <c r="B392" s="56" t="s">
        <v>50</v>
      </c>
      <c r="C392" s="56" t="s">
        <v>74</v>
      </c>
      <c r="D392" s="56" t="s">
        <v>27</v>
      </c>
      <c r="E392" s="56" t="s">
        <v>78</v>
      </c>
      <c r="F392" s="56"/>
      <c r="G392" s="57">
        <v>64345.600000000006</v>
      </c>
      <c r="H392" s="49"/>
      <c r="I392" s="49"/>
      <c r="J392" s="49"/>
      <c r="K392" s="49"/>
      <c r="L392" s="49"/>
      <c r="M392" s="49"/>
      <c r="N392" s="49"/>
      <c r="O392" s="49"/>
      <c r="P392" s="49"/>
    </row>
    <row r="393" ht="12.0" customHeight="1">
      <c r="A393" s="56" t="s">
        <v>85</v>
      </c>
      <c r="B393" s="56" t="s">
        <v>50</v>
      </c>
      <c r="C393" s="56" t="s">
        <v>74</v>
      </c>
      <c r="D393" s="56" t="s">
        <v>27</v>
      </c>
      <c r="E393" s="56" t="s">
        <v>78</v>
      </c>
      <c r="F393" s="56"/>
      <c r="G393" s="57">
        <v>79279.20000000001</v>
      </c>
      <c r="H393" s="49"/>
      <c r="I393" s="49"/>
      <c r="J393" s="49"/>
      <c r="K393" s="49"/>
      <c r="L393" s="49"/>
      <c r="M393" s="49"/>
      <c r="N393" s="49"/>
      <c r="O393" s="49"/>
      <c r="P393" s="49"/>
    </row>
    <row r="394" ht="12.0" customHeight="1">
      <c r="A394" s="56" t="s">
        <v>85</v>
      </c>
      <c r="B394" s="56" t="s">
        <v>50</v>
      </c>
      <c r="C394" s="56" t="s">
        <v>74</v>
      </c>
      <c r="D394" s="56" t="s">
        <v>27</v>
      </c>
      <c r="E394" s="56" t="s">
        <v>78</v>
      </c>
      <c r="F394" s="56"/>
      <c r="G394" s="57">
        <v>11976.800000000001</v>
      </c>
      <c r="H394" s="49"/>
      <c r="I394" s="49"/>
      <c r="J394" s="49"/>
      <c r="K394" s="49"/>
      <c r="L394" s="49"/>
      <c r="M394" s="49"/>
      <c r="N394" s="49"/>
      <c r="O394" s="49"/>
      <c r="P394" s="49"/>
    </row>
    <row r="395" ht="12.0" customHeight="1">
      <c r="A395" s="56" t="s">
        <v>85</v>
      </c>
      <c r="B395" s="56" t="s">
        <v>50</v>
      </c>
      <c r="C395" s="56" t="s">
        <v>74</v>
      </c>
      <c r="D395" s="56" t="s">
        <v>27</v>
      </c>
      <c r="E395" s="56" t="s">
        <v>78</v>
      </c>
      <c r="F395" s="56"/>
      <c r="G395" s="57">
        <v>66844.8</v>
      </c>
      <c r="H395" s="49"/>
      <c r="I395" s="49"/>
      <c r="J395" s="49"/>
      <c r="K395" s="49"/>
      <c r="L395" s="49"/>
      <c r="M395" s="49"/>
      <c r="N395" s="49"/>
      <c r="O395" s="49"/>
      <c r="P395" s="49"/>
    </row>
    <row r="396" ht="12.0" customHeight="1">
      <c r="A396" s="56" t="s">
        <v>85</v>
      </c>
      <c r="B396" s="56" t="s">
        <v>50</v>
      </c>
      <c r="C396" s="56" t="s">
        <v>44</v>
      </c>
      <c r="D396" s="56" t="s">
        <v>28</v>
      </c>
      <c r="E396" s="56" t="s">
        <v>51</v>
      </c>
      <c r="F396" s="56"/>
      <c r="G396" s="57">
        <v>39789.200000000004</v>
      </c>
      <c r="H396" s="49"/>
      <c r="I396" s="49"/>
      <c r="J396" s="49"/>
      <c r="K396" s="49"/>
      <c r="L396" s="49"/>
      <c r="M396" s="49"/>
      <c r="N396" s="49"/>
      <c r="O396" s="49"/>
      <c r="P396" s="49"/>
    </row>
    <row r="397" ht="12.0" customHeight="1">
      <c r="A397" s="56" t="s">
        <v>85</v>
      </c>
      <c r="B397" s="56" t="s">
        <v>50</v>
      </c>
      <c r="C397" s="56" t="s">
        <v>44</v>
      </c>
      <c r="D397" s="56" t="s">
        <v>28</v>
      </c>
      <c r="E397" s="56" t="s">
        <v>51</v>
      </c>
      <c r="F397" s="56"/>
      <c r="G397" s="57">
        <v>122368.40000000001</v>
      </c>
      <c r="H397" s="49"/>
      <c r="I397" s="49"/>
      <c r="J397" s="49"/>
      <c r="K397" s="49"/>
      <c r="L397" s="49"/>
      <c r="M397" s="49"/>
      <c r="N397" s="49"/>
      <c r="O397" s="49"/>
      <c r="P397" s="49"/>
    </row>
    <row r="398" ht="12.0" customHeight="1">
      <c r="A398" s="56" t="s">
        <v>85</v>
      </c>
      <c r="B398" s="56" t="s">
        <v>50</v>
      </c>
      <c r="C398" s="56" t="s">
        <v>44</v>
      </c>
      <c r="D398" s="56" t="s">
        <v>28</v>
      </c>
      <c r="E398" s="56" t="s">
        <v>71</v>
      </c>
      <c r="F398" s="56"/>
      <c r="G398" s="57">
        <v>28124.800000000003</v>
      </c>
      <c r="H398" s="49"/>
      <c r="I398" s="49"/>
      <c r="J398" s="49"/>
      <c r="K398" s="49"/>
      <c r="L398" s="49"/>
      <c r="M398" s="49"/>
      <c r="N398" s="49"/>
      <c r="O398" s="49"/>
      <c r="P398" s="49"/>
    </row>
    <row r="399" ht="12.0" customHeight="1">
      <c r="A399" s="56" t="s">
        <v>85</v>
      </c>
      <c r="B399" s="56" t="s">
        <v>50</v>
      </c>
      <c r="C399" s="56" t="s">
        <v>44</v>
      </c>
      <c r="D399" s="56" t="s">
        <v>29</v>
      </c>
      <c r="E399" s="56" t="s">
        <v>56</v>
      </c>
      <c r="F399" s="56"/>
      <c r="G399" s="57">
        <v>67883.20000000001</v>
      </c>
      <c r="H399" s="49"/>
      <c r="I399" s="49"/>
      <c r="J399" s="49"/>
      <c r="K399" s="49"/>
      <c r="L399" s="49"/>
      <c r="M399" s="49"/>
      <c r="N399" s="49"/>
      <c r="O399" s="49"/>
      <c r="P399" s="49"/>
    </row>
    <row r="400" ht="12.0" customHeight="1">
      <c r="A400" s="56" t="s">
        <v>85</v>
      </c>
      <c r="B400" s="56" t="s">
        <v>50</v>
      </c>
      <c r="C400" s="56" t="s">
        <v>44</v>
      </c>
      <c r="D400" s="56" t="s">
        <v>29</v>
      </c>
      <c r="E400" s="56" t="s">
        <v>56</v>
      </c>
      <c r="F400" s="56"/>
      <c r="G400" s="57">
        <v>72010.40000000001</v>
      </c>
      <c r="H400" s="49"/>
      <c r="I400" s="49"/>
      <c r="J400" s="49"/>
      <c r="K400" s="49"/>
      <c r="L400" s="49"/>
      <c r="M400" s="49"/>
      <c r="N400" s="49"/>
      <c r="O400" s="49"/>
      <c r="P400" s="49"/>
    </row>
    <row r="401" ht="12.0" customHeight="1">
      <c r="A401" s="56" t="s">
        <v>85</v>
      </c>
      <c r="B401" s="56" t="s">
        <v>50</v>
      </c>
      <c r="C401" s="56" t="s">
        <v>44</v>
      </c>
      <c r="D401" s="56" t="s">
        <v>29</v>
      </c>
      <c r="E401" s="56" t="s">
        <v>56</v>
      </c>
      <c r="F401" s="56"/>
      <c r="G401" s="57">
        <v>139713.2</v>
      </c>
      <c r="H401" s="49"/>
      <c r="I401" s="49"/>
      <c r="J401" s="49"/>
      <c r="K401" s="49"/>
      <c r="L401" s="49"/>
      <c r="M401" s="49"/>
      <c r="N401" s="49"/>
      <c r="O401" s="49"/>
      <c r="P401" s="49"/>
    </row>
    <row r="402" ht="12.0" customHeight="1">
      <c r="A402" s="56" t="s">
        <v>85</v>
      </c>
      <c r="B402" s="56" t="s">
        <v>50</v>
      </c>
      <c r="C402" s="56" t="s">
        <v>44</v>
      </c>
      <c r="D402" s="56" t="s">
        <v>29</v>
      </c>
      <c r="E402" s="56" t="s">
        <v>56</v>
      </c>
      <c r="F402" s="56"/>
      <c r="G402" s="57">
        <v>69247.20000000001</v>
      </c>
      <c r="H402" s="49"/>
      <c r="I402" s="49"/>
      <c r="J402" s="49"/>
      <c r="K402" s="49"/>
      <c r="L402" s="49"/>
      <c r="M402" s="49"/>
      <c r="N402" s="49"/>
      <c r="O402" s="49"/>
      <c r="P402" s="49"/>
    </row>
    <row r="403" ht="12.0" customHeight="1">
      <c r="A403" s="56" t="s">
        <v>85</v>
      </c>
      <c r="B403" s="56" t="s">
        <v>50</v>
      </c>
      <c r="C403" s="56" t="s">
        <v>44</v>
      </c>
      <c r="D403" s="56" t="s">
        <v>29</v>
      </c>
      <c r="E403" s="56" t="s">
        <v>56</v>
      </c>
      <c r="F403" s="56"/>
      <c r="G403" s="57">
        <v>76357.6</v>
      </c>
      <c r="H403" s="49"/>
      <c r="I403" s="49"/>
      <c r="J403" s="49"/>
      <c r="K403" s="49"/>
      <c r="L403" s="49"/>
      <c r="M403" s="49"/>
      <c r="N403" s="49"/>
      <c r="O403" s="49"/>
      <c r="P403" s="49"/>
    </row>
    <row r="404" ht="12.0" customHeight="1">
      <c r="A404" s="56" t="s">
        <v>85</v>
      </c>
      <c r="B404" s="56" t="s">
        <v>50</v>
      </c>
      <c r="C404" s="56" t="s">
        <v>44</v>
      </c>
      <c r="D404" s="56" t="s">
        <v>29</v>
      </c>
      <c r="E404" s="56" t="s">
        <v>56</v>
      </c>
      <c r="F404" s="56"/>
      <c r="G404" s="57">
        <v>72076.40000000001</v>
      </c>
      <c r="H404" s="49"/>
      <c r="I404" s="49"/>
      <c r="J404" s="49"/>
      <c r="K404" s="49"/>
      <c r="L404" s="49"/>
      <c r="M404" s="49"/>
      <c r="N404" s="49"/>
      <c r="O404" s="49"/>
      <c r="P404" s="49"/>
    </row>
    <row r="405" ht="12.0" customHeight="1">
      <c r="A405" s="56" t="s">
        <v>85</v>
      </c>
      <c r="B405" s="56" t="s">
        <v>50</v>
      </c>
      <c r="C405" s="56" t="s">
        <v>44</v>
      </c>
      <c r="D405" s="56" t="s">
        <v>29</v>
      </c>
      <c r="E405" s="56" t="s">
        <v>56</v>
      </c>
      <c r="F405" s="56"/>
      <c r="G405" s="57">
        <v>66145.20000000001</v>
      </c>
      <c r="H405" s="49"/>
      <c r="I405" s="49"/>
      <c r="J405" s="49"/>
      <c r="K405" s="49"/>
      <c r="L405" s="49"/>
      <c r="M405" s="49"/>
      <c r="N405" s="49"/>
      <c r="O405" s="49"/>
      <c r="P405" s="49"/>
    </row>
    <row r="406" ht="12.0" customHeight="1">
      <c r="A406" s="56" t="s">
        <v>85</v>
      </c>
      <c r="B406" s="56" t="s">
        <v>50</v>
      </c>
      <c r="C406" s="56" t="s">
        <v>44</v>
      </c>
      <c r="D406" s="56" t="s">
        <v>29</v>
      </c>
      <c r="E406" s="56" t="s">
        <v>56</v>
      </c>
      <c r="F406" s="56"/>
      <c r="G406" s="57">
        <v>44963.600000000006</v>
      </c>
      <c r="H406" s="49"/>
      <c r="I406" s="49"/>
      <c r="J406" s="49"/>
      <c r="K406" s="49"/>
      <c r="L406" s="49"/>
      <c r="M406" s="49"/>
      <c r="N406" s="49"/>
      <c r="O406" s="49"/>
      <c r="P406" s="49"/>
    </row>
    <row r="407" ht="12.0" customHeight="1">
      <c r="A407" s="56" t="s">
        <v>85</v>
      </c>
      <c r="B407" s="56" t="s">
        <v>50</v>
      </c>
      <c r="C407" s="56" t="s">
        <v>44</v>
      </c>
      <c r="D407" s="56" t="s">
        <v>29</v>
      </c>
      <c r="E407" s="56" t="s">
        <v>56</v>
      </c>
      <c r="F407" s="56"/>
      <c r="G407" s="57">
        <v>101816.00000000001</v>
      </c>
      <c r="H407" s="49"/>
      <c r="I407" s="49"/>
      <c r="J407" s="49"/>
      <c r="K407" s="49"/>
      <c r="L407" s="49"/>
      <c r="M407" s="49"/>
      <c r="N407" s="49"/>
      <c r="O407" s="49"/>
      <c r="P407" s="49"/>
    </row>
    <row r="408" ht="12.0" customHeight="1">
      <c r="A408" s="56" t="s">
        <v>85</v>
      </c>
      <c r="B408" s="56" t="s">
        <v>50</v>
      </c>
      <c r="C408" s="56" t="s">
        <v>44</v>
      </c>
      <c r="D408" s="56" t="s">
        <v>29</v>
      </c>
      <c r="E408" s="56" t="s">
        <v>56</v>
      </c>
      <c r="F408" s="56"/>
      <c r="G408" s="57">
        <v>64094.8</v>
      </c>
      <c r="H408" s="49"/>
      <c r="I408" s="49"/>
      <c r="J408" s="49"/>
      <c r="K408" s="49"/>
      <c r="L408" s="49"/>
      <c r="M408" s="49"/>
      <c r="N408" s="49"/>
      <c r="O408" s="49"/>
      <c r="P408" s="49"/>
    </row>
    <row r="409" ht="12.0" customHeight="1">
      <c r="A409" s="56" t="s">
        <v>85</v>
      </c>
      <c r="B409" s="56" t="s">
        <v>50</v>
      </c>
      <c r="C409" s="56" t="s">
        <v>44</v>
      </c>
      <c r="D409" s="56" t="s">
        <v>29</v>
      </c>
      <c r="E409" s="56" t="s">
        <v>56</v>
      </c>
      <c r="F409" s="56"/>
      <c r="G409" s="57">
        <v>64116.8</v>
      </c>
      <c r="H409" s="49"/>
      <c r="I409" s="49"/>
      <c r="J409" s="49"/>
      <c r="K409" s="49"/>
      <c r="L409" s="49"/>
      <c r="M409" s="49"/>
      <c r="N409" s="49"/>
      <c r="O409" s="49"/>
      <c r="P409" s="49"/>
    </row>
    <row r="410" ht="12.0" customHeight="1">
      <c r="A410" s="56" t="s">
        <v>85</v>
      </c>
      <c r="B410" s="56" t="s">
        <v>50</v>
      </c>
      <c r="C410" s="56" t="s">
        <v>44</v>
      </c>
      <c r="D410" s="56" t="s">
        <v>29</v>
      </c>
      <c r="E410" s="56" t="s">
        <v>56</v>
      </c>
      <c r="F410" s="56"/>
      <c r="G410" s="57">
        <v>52065.200000000004</v>
      </c>
      <c r="H410" s="49"/>
      <c r="I410" s="49"/>
      <c r="J410" s="49"/>
      <c r="K410" s="49"/>
      <c r="L410" s="49"/>
      <c r="M410" s="49"/>
      <c r="N410" s="49"/>
      <c r="O410" s="49"/>
      <c r="P410" s="49"/>
    </row>
    <row r="411" ht="12.0" customHeight="1">
      <c r="A411" s="56" t="s">
        <v>85</v>
      </c>
      <c r="B411" s="56" t="s">
        <v>50</v>
      </c>
      <c r="C411" s="56" t="s">
        <v>44</v>
      </c>
      <c r="D411" s="56" t="s">
        <v>29</v>
      </c>
      <c r="E411" s="56" t="s">
        <v>56</v>
      </c>
      <c r="F411" s="56"/>
      <c r="G411" s="57">
        <v>84251.20000000001</v>
      </c>
      <c r="H411" s="49"/>
      <c r="I411" s="49"/>
      <c r="J411" s="49"/>
      <c r="K411" s="49"/>
      <c r="L411" s="49"/>
      <c r="M411" s="49"/>
      <c r="N411" s="49"/>
      <c r="O411" s="49"/>
      <c r="P411" s="49"/>
    </row>
    <row r="412" ht="12.0" customHeight="1">
      <c r="A412" s="56" t="s">
        <v>85</v>
      </c>
      <c r="B412" s="56" t="s">
        <v>50</v>
      </c>
      <c r="C412" s="56" t="s">
        <v>44</v>
      </c>
      <c r="D412" s="56" t="s">
        <v>29</v>
      </c>
      <c r="E412" s="56" t="s">
        <v>56</v>
      </c>
      <c r="F412" s="56"/>
      <c r="G412" s="57">
        <v>76634.8</v>
      </c>
      <c r="H412" s="49"/>
      <c r="I412" s="49"/>
      <c r="J412" s="49"/>
      <c r="K412" s="49"/>
      <c r="L412" s="49"/>
      <c r="M412" s="49"/>
      <c r="N412" s="49"/>
      <c r="O412" s="49"/>
      <c r="P412" s="49"/>
    </row>
    <row r="413" ht="12.0" customHeight="1">
      <c r="A413" s="56" t="s">
        <v>85</v>
      </c>
      <c r="B413" s="56" t="s">
        <v>50</v>
      </c>
      <c r="C413" s="56" t="s">
        <v>44</v>
      </c>
      <c r="D413" s="56" t="s">
        <v>29</v>
      </c>
      <c r="E413" s="56" t="s">
        <v>66</v>
      </c>
      <c r="F413" s="56"/>
      <c r="G413" s="57">
        <v>80190.0</v>
      </c>
      <c r="H413" s="49"/>
      <c r="I413" s="49"/>
      <c r="J413" s="49"/>
      <c r="K413" s="49"/>
      <c r="L413" s="49"/>
      <c r="M413" s="49"/>
      <c r="N413" s="49"/>
      <c r="O413" s="49"/>
      <c r="P413" s="49"/>
    </row>
    <row r="414" ht="12.0" customHeight="1">
      <c r="A414" s="56" t="s">
        <v>85</v>
      </c>
      <c r="B414" s="56" t="s">
        <v>50</v>
      </c>
      <c r="C414" s="56" t="s">
        <v>44</v>
      </c>
      <c r="D414" s="56" t="s">
        <v>29</v>
      </c>
      <c r="E414" s="56" t="s">
        <v>66</v>
      </c>
      <c r="F414" s="56"/>
      <c r="G414" s="57">
        <v>76111.20000000001</v>
      </c>
      <c r="H414" s="49"/>
      <c r="I414" s="49"/>
      <c r="J414" s="49"/>
      <c r="K414" s="49"/>
      <c r="L414" s="49"/>
      <c r="M414" s="49"/>
      <c r="N414" s="49"/>
      <c r="O414" s="49"/>
      <c r="P414" s="49"/>
    </row>
    <row r="415" ht="12.0" customHeight="1">
      <c r="A415" s="56" t="s">
        <v>85</v>
      </c>
      <c r="B415" s="56" t="s">
        <v>50</v>
      </c>
      <c r="C415" s="56" t="s">
        <v>44</v>
      </c>
      <c r="D415" s="56" t="s">
        <v>29</v>
      </c>
      <c r="E415" s="56" t="s">
        <v>66</v>
      </c>
      <c r="F415" s="56"/>
      <c r="G415" s="57">
        <v>60715.600000000006</v>
      </c>
      <c r="H415" s="49"/>
      <c r="I415" s="49"/>
      <c r="J415" s="49"/>
      <c r="K415" s="49"/>
      <c r="L415" s="49"/>
      <c r="M415" s="49"/>
      <c r="N415" s="49"/>
      <c r="O415" s="49"/>
      <c r="P415" s="49"/>
    </row>
    <row r="416" ht="12.0" customHeight="1">
      <c r="A416" s="56" t="s">
        <v>85</v>
      </c>
      <c r="B416" s="56" t="s">
        <v>50</v>
      </c>
      <c r="C416" s="56" t="s">
        <v>44</v>
      </c>
      <c r="D416" s="56" t="s">
        <v>29</v>
      </c>
      <c r="E416" s="56" t="s">
        <v>66</v>
      </c>
      <c r="F416" s="56"/>
      <c r="G416" s="57">
        <v>72050.0</v>
      </c>
      <c r="H416" s="49"/>
      <c r="I416" s="49"/>
      <c r="J416" s="49"/>
      <c r="K416" s="49"/>
      <c r="L416" s="49"/>
      <c r="M416" s="49"/>
      <c r="N416" s="49"/>
      <c r="O416" s="49"/>
      <c r="P416" s="49"/>
    </row>
    <row r="417" ht="12.0" customHeight="1">
      <c r="A417" s="56" t="s">
        <v>85</v>
      </c>
      <c r="B417" s="56" t="s">
        <v>50</v>
      </c>
      <c r="C417" s="56" t="s">
        <v>44</v>
      </c>
      <c r="D417" s="56" t="s">
        <v>29</v>
      </c>
      <c r="E417" s="56" t="s">
        <v>59</v>
      </c>
      <c r="F417" s="56"/>
      <c r="G417" s="57">
        <v>68802.8</v>
      </c>
      <c r="H417" s="49"/>
      <c r="I417" s="49"/>
      <c r="J417" s="49"/>
      <c r="K417" s="49"/>
      <c r="L417" s="49"/>
      <c r="M417" s="49"/>
      <c r="N417" s="49"/>
      <c r="O417" s="49"/>
      <c r="P417" s="49"/>
    </row>
    <row r="418" ht="12.0" customHeight="1">
      <c r="A418" s="56" t="s">
        <v>85</v>
      </c>
      <c r="B418" s="56" t="s">
        <v>50</v>
      </c>
      <c r="C418" s="56" t="s">
        <v>44</v>
      </c>
      <c r="D418" s="56" t="s">
        <v>29</v>
      </c>
      <c r="E418" s="56" t="s">
        <v>59</v>
      </c>
      <c r="F418" s="56"/>
      <c r="G418" s="57">
        <v>52166.4</v>
      </c>
      <c r="H418" s="49"/>
      <c r="I418" s="49"/>
      <c r="J418" s="49"/>
      <c r="K418" s="49"/>
      <c r="L418" s="49"/>
      <c r="M418" s="49"/>
      <c r="N418" s="49"/>
      <c r="O418" s="49"/>
      <c r="P418" s="49"/>
    </row>
    <row r="419" ht="12.0" customHeight="1">
      <c r="A419" s="56" t="s">
        <v>85</v>
      </c>
      <c r="B419" s="56" t="s">
        <v>50</v>
      </c>
      <c r="C419" s="56" t="s">
        <v>44</v>
      </c>
      <c r="D419" s="56" t="s">
        <v>29</v>
      </c>
      <c r="E419" s="56" t="s">
        <v>59</v>
      </c>
      <c r="F419" s="56"/>
      <c r="G419" s="57">
        <v>51519.600000000006</v>
      </c>
      <c r="H419" s="49"/>
      <c r="I419" s="49"/>
      <c r="J419" s="49"/>
      <c r="K419" s="49"/>
      <c r="L419" s="49"/>
      <c r="M419" s="49"/>
      <c r="N419" s="49"/>
      <c r="O419" s="49"/>
      <c r="P419" s="49"/>
    </row>
    <row r="420" ht="12.0" customHeight="1">
      <c r="A420" s="56" t="s">
        <v>85</v>
      </c>
      <c r="B420" s="56" t="s">
        <v>50</v>
      </c>
      <c r="C420" s="56" t="s">
        <v>44</v>
      </c>
      <c r="D420" s="56" t="s">
        <v>29</v>
      </c>
      <c r="E420" s="56" t="s">
        <v>59</v>
      </c>
      <c r="F420" s="56"/>
      <c r="G420" s="57">
        <v>53869.200000000004</v>
      </c>
      <c r="H420" s="49"/>
      <c r="I420" s="49"/>
      <c r="J420" s="49"/>
      <c r="K420" s="49"/>
      <c r="L420" s="49"/>
      <c r="M420" s="49"/>
      <c r="N420" s="49"/>
      <c r="O420" s="49"/>
      <c r="P420" s="49"/>
    </row>
    <row r="421" ht="12.0" customHeight="1">
      <c r="A421" s="56" t="s">
        <v>85</v>
      </c>
      <c r="B421" s="56" t="s">
        <v>50</v>
      </c>
      <c r="C421" s="56" t="s">
        <v>44</v>
      </c>
      <c r="D421" s="56" t="s">
        <v>29</v>
      </c>
      <c r="E421" s="56" t="s">
        <v>59</v>
      </c>
      <c r="F421" s="56"/>
      <c r="G421" s="57">
        <v>51308.4</v>
      </c>
      <c r="H421" s="49"/>
      <c r="I421" s="49"/>
      <c r="J421" s="49"/>
      <c r="K421" s="49"/>
      <c r="L421" s="49"/>
      <c r="M421" s="49"/>
      <c r="N421" s="49"/>
      <c r="O421" s="49"/>
      <c r="P421" s="49"/>
    </row>
    <row r="422" ht="12.0" customHeight="1">
      <c r="A422" s="56" t="s">
        <v>85</v>
      </c>
      <c r="B422" s="56" t="s">
        <v>50</v>
      </c>
      <c r="C422" s="56" t="s">
        <v>44</v>
      </c>
      <c r="D422" s="56" t="s">
        <v>29</v>
      </c>
      <c r="E422" s="56" t="s">
        <v>59</v>
      </c>
      <c r="F422" s="56"/>
      <c r="G422" s="57">
        <v>41593.200000000004</v>
      </c>
      <c r="H422" s="49"/>
      <c r="I422" s="49"/>
      <c r="J422" s="49"/>
      <c r="K422" s="49"/>
      <c r="L422" s="49"/>
      <c r="M422" s="49"/>
      <c r="N422" s="49"/>
      <c r="O422" s="49"/>
      <c r="P422" s="49"/>
    </row>
    <row r="423" ht="12.0" customHeight="1">
      <c r="A423" s="56" t="s">
        <v>85</v>
      </c>
      <c r="B423" s="56" t="s">
        <v>50</v>
      </c>
      <c r="C423" s="56" t="s">
        <v>44</v>
      </c>
      <c r="D423" s="56" t="s">
        <v>30</v>
      </c>
      <c r="E423" s="56" t="s">
        <v>6</v>
      </c>
      <c r="F423" s="56"/>
      <c r="G423" s="57">
        <v>77220.0</v>
      </c>
      <c r="H423" s="49"/>
      <c r="I423" s="49"/>
      <c r="J423" s="49"/>
      <c r="K423" s="49"/>
      <c r="L423" s="49"/>
      <c r="M423" s="49"/>
      <c r="N423" s="49"/>
      <c r="O423" s="49"/>
      <c r="P423" s="49"/>
    </row>
    <row r="424" ht="12.0" customHeight="1">
      <c r="A424" s="56" t="s">
        <v>85</v>
      </c>
      <c r="B424" s="56" t="s">
        <v>50</v>
      </c>
      <c r="C424" s="56" t="s">
        <v>44</v>
      </c>
      <c r="D424" s="56" t="s">
        <v>30</v>
      </c>
      <c r="E424" s="56" t="s">
        <v>6</v>
      </c>
      <c r="F424" s="56"/>
      <c r="G424" s="57">
        <v>52078.4</v>
      </c>
      <c r="H424" s="49"/>
      <c r="I424" s="49"/>
      <c r="J424" s="49"/>
      <c r="K424" s="49"/>
      <c r="L424" s="49"/>
      <c r="M424" s="49"/>
      <c r="N424" s="49"/>
      <c r="O424" s="49"/>
      <c r="P424" s="49"/>
    </row>
    <row r="425" ht="12.0" customHeight="1">
      <c r="A425" s="56" t="s">
        <v>85</v>
      </c>
      <c r="B425" s="56" t="s">
        <v>50</v>
      </c>
      <c r="C425" s="56" t="s">
        <v>44</v>
      </c>
      <c r="D425" s="56" t="s">
        <v>30</v>
      </c>
      <c r="E425" s="56" t="s">
        <v>5</v>
      </c>
      <c r="F425" s="56"/>
      <c r="G425" s="57">
        <v>0.0</v>
      </c>
      <c r="H425" s="49"/>
      <c r="I425" s="49"/>
      <c r="J425" s="49"/>
      <c r="K425" s="49"/>
      <c r="L425" s="49"/>
      <c r="M425" s="49"/>
      <c r="N425" s="49"/>
      <c r="O425" s="49"/>
      <c r="P425" s="49"/>
    </row>
    <row r="426" ht="12.0" customHeight="1">
      <c r="A426" s="56" t="s">
        <v>85</v>
      </c>
      <c r="B426" s="56" t="s">
        <v>50</v>
      </c>
      <c r="C426" s="56" t="s">
        <v>44</v>
      </c>
      <c r="D426" s="56" t="s">
        <v>30</v>
      </c>
      <c r="E426" s="56" t="s">
        <v>5</v>
      </c>
      <c r="F426" s="56"/>
      <c r="G426" s="57">
        <v>77000.0</v>
      </c>
      <c r="H426" s="49"/>
      <c r="I426" s="49"/>
      <c r="J426" s="49"/>
      <c r="K426" s="49"/>
      <c r="L426" s="49"/>
      <c r="M426" s="49"/>
      <c r="N426" s="49"/>
      <c r="O426" s="49"/>
      <c r="P426" s="49"/>
    </row>
    <row r="427" ht="12.0" customHeight="1">
      <c r="A427" s="56" t="s">
        <v>85</v>
      </c>
      <c r="B427" s="56" t="s">
        <v>50</v>
      </c>
      <c r="C427" s="56" t="s">
        <v>44</v>
      </c>
      <c r="D427" s="56" t="s">
        <v>30</v>
      </c>
      <c r="E427" s="56" t="s">
        <v>5</v>
      </c>
      <c r="F427" s="56"/>
      <c r="G427" s="57">
        <v>0.0</v>
      </c>
      <c r="H427" s="49"/>
      <c r="I427" s="49"/>
      <c r="J427" s="49"/>
      <c r="K427" s="49"/>
      <c r="L427" s="49"/>
      <c r="M427" s="49"/>
      <c r="N427" s="49"/>
      <c r="O427" s="49"/>
      <c r="P427" s="49"/>
    </row>
    <row r="428" ht="12.0" customHeight="1">
      <c r="A428" s="56" t="s">
        <v>85</v>
      </c>
      <c r="B428" s="56" t="s">
        <v>50</v>
      </c>
      <c r="C428" s="56" t="s">
        <v>44</v>
      </c>
      <c r="D428" s="56" t="s">
        <v>30</v>
      </c>
      <c r="E428" s="56" t="s">
        <v>5</v>
      </c>
      <c r="F428" s="56"/>
      <c r="G428" s="57">
        <v>49706.8</v>
      </c>
      <c r="H428" s="49"/>
      <c r="I428" s="49"/>
      <c r="J428" s="49"/>
      <c r="K428" s="49"/>
      <c r="L428" s="49"/>
      <c r="M428" s="49"/>
      <c r="N428" s="49"/>
      <c r="O428" s="49"/>
      <c r="P428" s="49"/>
    </row>
    <row r="429" ht="12.0" customHeight="1">
      <c r="A429" s="56" t="s">
        <v>85</v>
      </c>
      <c r="B429" s="56" t="s">
        <v>50</v>
      </c>
      <c r="C429" s="56" t="s">
        <v>44</v>
      </c>
      <c r="D429" s="56" t="s">
        <v>30</v>
      </c>
      <c r="E429" s="56" t="s">
        <v>5</v>
      </c>
      <c r="F429" s="56"/>
      <c r="G429" s="57">
        <v>34944.8</v>
      </c>
      <c r="H429" s="49"/>
      <c r="I429" s="49"/>
      <c r="J429" s="49"/>
      <c r="K429" s="49"/>
      <c r="L429" s="49"/>
      <c r="M429" s="49"/>
      <c r="N429" s="49"/>
      <c r="O429" s="49"/>
      <c r="P429" s="49"/>
    </row>
    <row r="430" ht="12.0" customHeight="1">
      <c r="A430" s="56" t="s">
        <v>85</v>
      </c>
      <c r="B430" s="56" t="s">
        <v>50</v>
      </c>
      <c r="C430" s="56" t="s">
        <v>44</v>
      </c>
      <c r="D430" s="56" t="s">
        <v>30</v>
      </c>
      <c r="E430" s="56" t="s">
        <v>5</v>
      </c>
      <c r="F430" s="56"/>
      <c r="G430" s="57">
        <v>37056.8</v>
      </c>
      <c r="H430" s="49"/>
      <c r="I430" s="49"/>
      <c r="J430" s="49"/>
      <c r="K430" s="49"/>
      <c r="L430" s="49"/>
      <c r="M430" s="49"/>
      <c r="N430" s="49"/>
      <c r="O430" s="49"/>
      <c r="P430" s="49"/>
    </row>
    <row r="431" ht="12.0" customHeight="1">
      <c r="A431" s="56" t="s">
        <v>85</v>
      </c>
      <c r="B431" s="56" t="s">
        <v>50</v>
      </c>
      <c r="C431" s="56" t="s">
        <v>44</v>
      </c>
      <c r="D431" s="56" t="s">
        <v>30</v>
      </c>
      <c r="E431" s="56" t="s">
        <v>5</v>
      </c>
      <c r="F431" s="56"/>
      <c r="G431" s="57">
        <v>89456.40000000001</v>
      </c>
      <c r="H431" s="49"/>
      <c r="I431" s="49"/>
      <c r="J431" s="49"/>
      <c r="K431" s="49"/>
      <c r="L431" s="49"/>
      <c r="M431" s="49"/>
      <c r="N431" s="49"/>
      <c r="O431" s="49"/>
      <c r="P431" s="49"/>
    </row>
    <row r="432" ht="12.0" customHeight="1">
      <c r="A432" s="56" t="s">
        <v>85</v>
      </c>
      <c r="B432" s="56" t="s">
        <v>50</v>
      </c>
      <c r="C432" s="56" t="s">
        <v>44</v>
      </c>
      <c r="D432" s="56" t="s">
        <v>30</v>
      </c>
      <c r="E432" s="56" t="s">
        <v>61</v>
      </c>
      <c r="F432" s="56"/>
      <c r="G432" s="57">
        <v>107386.40000000001</v>
      </c>
      <c r="H432" s="49"/>
      <c r="I432" s="49"/>
      <c r="J432" s="49"/>
      <c r="K432" s="49"/>
      <c r="L432" s="49"/>
      <c r="M432" s="49"/>
      <c r="N432" s="49"/>
      <c r="O432" s="49"/>
      <c r="P432" s="49"/>
    </row>
    <row r="433" ht="12.0" customHeight="1">
      <c r="A433" s="56" t="s">
        <v>85</v>
      </c>
      <c r="B433" s="56" t="s">
        <v>50</v>
      </c>
      <c r="C433" s="56" t="s">
        <v>44</v>
      </c>
      <c r="D433" s="56" t="s">
        <v>30</v>
      </c>
      <c r="E433" s="56" t="s">
        <v>61</v>
      </c>
      <c r="F433" s="56"/>
      <c r="G433" s="57">
        <v>32898.8</v>
      </c>
      <c r="H433" s="49"/>
      <c r="I433" s="49"/>
      <c r="J433" s="49"/>
      <c r="K433" s="49"/>
      <c r="L433" s="49"/>
      <c r="M433" s="49"/>
      <c r="N433" s="49"/>
      <c r="O433" s="49"/>
      <c r="P433" s="49"/>
    </row>
    <row r="434" ht="12.0" customHeight="1">
      <c r="A434" s="56" t="s">
        <v>85</v>
      </c>
      <c r="B434" s="56" t="s">
        <v>50</v>
      </c>
      <c r="C434" s="56" t="s">
        <v>44</v>
      </c>
      <c r="D434" s="56" t="s">
        <v>30</v>
      </c>
      <c r="E434" s="56" t="s">
        <v>61</v>
      </c>
      <c r="F434" s="56"/>
      <c r="G434" s="57">
        <v>-107386.40000000001</v>
      </c>
      <c r="H434" s="49"/>
      <c r="I434" s="49"/>
      <c r="J434" s="49"/>
      <c r="K434" s="49"/>
      <c r="L434" s="49"/>
      <c r="M434" s="49"/>
      <c r="N434" s="49"/>
      <c r="O434" s="49"/>
      <c r="P434" s="49"/>
    </row>
    <row r="435" ht="12.0" customHeight="1">
      <c r="A435" s="56" t="s">
        <v>85</v>
      </c>
      <c r="B435" s="56" t="s">
        <v>50</v>
      </c>
      <c r="C435" s="56" t="s">
        <v>44</v>
      </c>
      <c r="D435" s="56" t="s">
        <v>30</v>
      </c>
      <c r="E435" s="56" t="s">
        <v>61</v>
      </c>
      <c r="F435" s="56"/>
      <c r="G435" s="57">
        <v>64394.00000000001</v>
      </c>
      <c r="H435" s="49"/>
      <c r="I435" s="49"/>
      <c r="J435" s="49"/>
      <c r="K435" s="49"/>
      <c r="L435" s="49"/>
      <c r="M435" s="49"/>
      <c r="N435" s="49"/>
      <c r="O435" s="49"/>
      <c r="P435" s="49"/>
    </row>
    <row r="436" ht="12.0" customHeight="1">
      <c r="A436" s="56" t="s">
        <v>85</v>
      </c>
      <c r="B436" s="56" t="s">
        <v>50</v>
      </c>
      <c r="C436" s="56" t="s">
        <v>74</v>
      </c>
      <c r="D436" s="56" t="s">
        <v>25</v>
      </c>
      <c r="E436" s="56" t="s">
        <v>75</v>
      </c>
      <c r="F436" s="56"/>
      <c r="G436" s="57">
        <v>84317.20000000001</v>
      </c>
      <c r="H436" s="49"/>
      <c r="I436" s="49"/>
      <c r="J436" s="49"/>
      <c r="K436" s="49"/>
      <c r="L436" s="49"/>
      <c r="M436" s="49"/>
      <c r="N436" s="49"/>
      <c r="O436" s="49"/>
      <c r="P436" s="49"/>
    </row>
    <row r="437" ht="12.0" customHeight="1">
      <c r="A437" s="56" t="s">
        <v>85</v>
      </c>
      <c r="B437" s="56" t="s">
        <v>50</v>
      </c>
      <c r="C437" s="56" t="s">
        <v>74</v>
      </c>
      <c r="D437" s="56" t="s">
        <v>25</v>
      </c>
      <c r="E437" s="56" t="s">
        <v>75</v>
      </c>
      <c r="F437" s="56"/>
      <c r="G437" s="57">
        <v>0.0</v>
      </c>
      <c r="H437" s="49"/>
      <c r="I437" s="49"/>
      <c r="J437" s="49"/>
      <c r="K437" s="49"/>
      <c r="L437" s="49"/>
      <c r="M437" s="49"/>
      <c r="N437" s="49"/>
      <c r="O437" s="49"/>
      <c r="P437" s="49"/>
    </row>
    <row r="438" ht="12.0" customHeight="1">
      <c r="A438" s="56" t="s">
        <v>85</v>
      </c>
      <c r="B438" s="56" t="s">
        <v>50</v>
      </c>
      <c r="C438" s="56" t="s">
        <v>74</v>
      </c>
      <c r="D438" s="56" t="s">
        <v>27</v>
      </c>
      <c r="E438" s="56" t="s">
        <v>78</v>
      </c>
      <c r="F438" s="56"/>
      <c r="G438" s="57">
        <v>109146.40000000001</v>
      </c>
      <c r="H438" s="49"/>
      <c r="I438" s="49"/>
      <c r="J438" s="49"/>
      <c r="K438" s="49"/>
      <c r="L438" s="49"/>
      <c r="M438" s="49"/>
      <c r="N438" s="49"/>
      <c r="O438" s="49"/>
      <c r="P438" s="49"/>
    </row>
    <row r="439" ht="12.0" customHeight="1">
      <c r="A439" s="56" t="s">
        <v>85</v>
      </c>
      <c r="B439" s="56" t="s">
        <v>50</v>
      </c>
      <c r="C439" s="56" t="s">
        <v>74</v>
      </c>
      <c r="D439" s="56" t="s">
        <v>27</v>
      </c>
      <c r="E439" s="56" t="s">
        <v>78</v>
      </c>
      <c r="F439" s="56"/>
      <c r="G439" s="57">
        <v>88981.20000000001</v>
      </c>
      <c r="H439" s="49"/>
      <c r="I439" s="49"/>
      <c r="J439" s="49"/>
      <c r="K439" s="49"/>
      <c r="L439" s="49"/>
      <c r="M439" s="49"/>
      <c r="N439" s="49"/>
      <c r="O439" s="49"/>
      <c r="P439" s="49"/>
    </row>
    <row r="440" ht="12.0" customHeight="1">
      <c r="A440" s="56" t="s">
        <v>85</v>
      </c>
      <c r="B440" s="56" t="s">
        <v>50</v>
      </c>
      <c r="C440" s="56" t="s">
        <v>74</v>
      </c>
      <c r="D440" s="56" t="s">
        <v>27</v>
      </c>
      <c r="E440" s="56" t="s">
        <v>78</v>
      </c>
      <c r="F440" s="56"/>
      <c r="G440" s="57">
        <v>176000.0</v>
      </c>
      <c r="H440" s="49"/>
      <c r="I440" s="49"/>
      <c r="J440" s="49"/>
      <c r="K440" s="49"/>
      <c r="L440" s="49"/>
      <c r="M440" s="49"/>
      <c r="N440" s="49"/>
      <c r="O440" s="49"/>
      <c r="P440" s="49"/>
    </row>
    <row r="441" ht="12.0" customHeight="1">
      <c r="A441" s="56" t="s">
        <v>85</v>
      </c>
      <c r="B441" s="56" t="s">
        <v>50</v>
      </c>
      <c r="C441" s="56" t="s">
        <v>74</v>
      </c>
      <c r="D441" s="56" t="s">
        <v>27</v>
      </c>
      <c r="E441" s="56" t="s">
        <v>78</v>
      </c>
      <c r="F441" s="56"/>
      <c r="G441" s="57">
        <v>70787.20000000001</v>
      </c>
      <c r="H441" s="49"/>
      <c r="I441" s="49"/>
      <c r="J441" s="49"/>
      <c r="K441" s="49"/>
      <c r="L441" s="49"/>
      <c r="M441" s="49"/>
      <c r="N441" s="49"/>
      <c r="O441" s="49"/>
      <c r="P441" s="49"/>
    </row>
    <row r="442" ht="12.0" customHeight="1">
      <c r="A442" s="56" t="s">
        <v>85</v>
      </c>
      <c r="B442" s="56" t="s">
        <v>50</v>
      </c>
      <c r="C442" s="56" t="s">
        <v>74</v>
      </c>
      <c r="D442" s="56" t="s">
        <v>27</v>
      </c>
      <c r="E442" s="56" t="s">
        <v>78</v>
      </c>
      <c r="F442" s="56"/>
      <c r="G442" s="57">
        <v>31200.4</v>
      </c>
      <c r="H442" s="49"/>
      <c r="I442" s="49"/>
      <c r="J442" s="49"/>
      <c r="K442" s="49"/>
      <c r="L442" s="49"/>
      <c r="M442" s="49"/>
      <c r="N442" s="49"/>
      <c r="O442" s="49"/>
      <c r="P442" s="49"/>
    </row>
    <row r="443" ht="12.0" customHeight="1">
      <c r="A443" s="56" t="s">
        <v>85</v>
      </c>
      <c r="B443" s="56" t="s">
        <v>50</v>
      </c>
      <c r="C443" s="56" t="s">
        <v>74</v>
      </c>
      <c r="D443" s="56" t="s">
        <v>27</v>
      </c>
      <c r="E443" s="56" t="s">
        <v>78</v>
      </c>
      <c r="F443" s="56"/>
      <c r="G443" s="57">
        <v>0.0</v>
      </c>
      <c r="H443" s="49"/>
      <c r="I443" s="49"/>
      <c r="J443" s="49"/>
      <c r="K443" s="49"/>
      <c r="L443" s="49"/>
      <c r="M443" s="49"/>
      <c r="N443" s="49"/>
      <c r="O443" s="49"/>
      <c r="P443" s="49"/>
    </row>
    <row r="444" ht="12.0" customHeight="1">
      <c r="A444" s="56" t="s">
        <v>85</v>
      </c>
      <c r="B444" s="56" t="s">
        <v>50</v>
      </c>
      <c r="C444" s="56" t="s">
        <v>74</v>
      </c>
      <c r="D444" s="56" t="s">
        <v>27</v>
      </c>
      <c r="E444" s="56" t="s">
        <v>78</v>
      </c>
      <c r="F444" s="56"/>
      <c r="G444" s="57">
        <v>83248.0</v>
      </c>
      <c r="H444" s="49"/>
      <c r="I444" s="49"/>
      <c r="J444" s="49"/>
      <c r="K444" s="49"/>
      <c r="L444" s="49"/>
      <c r="M444" s="49"/>
      <c r="N444" s="49"/>
      <c r="O444" s="49"/>
      <c r="P444" s="49"/>
    </row>
    <row r="445" ht="12.0" customHeight="1">
      <c r="A445" s="56" t="s">
        <v>85</v>
      </c>
      <c r="B445" s="56" t="s">
        <v>50</v>
      </c>
      <c r="C445" s="56" t="s">
        <v>44</v>
      </c>
      <c r="D445" s="56" t="s">
        <v>28</v>
      </c>
      <c r="E445" s="56" t="s">
        <v>51</v>
      </c>
      <c r="F445" s="56"/>
      <c r="G445" s="57">
        <v>64257.600000000006</v>
      </c>
      <c r="H445" s="49"/>
      <c r="I445" s="49"/>
      <c r="J445" s="49"/>
      <c r="K445" s="49"/>
      <c r="L445" s="49"/>
      <c r="M445" s="49"/>
      <c r="N445" s="49"/>
      <c r="O445" s="49"/>
      <c r="P445" s="49"/>
    </row>
    <row r="446" ht="12.0" customHeight="1">
      <c r="A446" s="56" t="s">
        <v>85</v>
      </c>
      <c r="B446" s="56" t="s">
        <v>50</v>
      </c>
      <c r="C446" s="56" t="s">
        <v>44</v>
      </c>
      <c r="D446" s="56" t="s">
        <v>28</v>
      </c>
      <c r="E446" s="56" t="s">
        <v>51</v>
      </c>
      <c r="F446" s="56"/>
      <c r="G446" s="57">
        <v>197084.80000000002</v>
      </c>
      <c r="H446" s="49"/>
      <c r="I446" s="49"/>
      <c r="J446" s="49"/>
      <c r="K446" s="49"/>
      <c r="L446" s="49"/>
      <c r="M446" s="49"/>
      <c r="N446" s="49"/>
      <c r="O446" s="49"/>
      <c r="P446" s="49"/>
    </row>
    <row r="447" ht="12.0" customHeight="1">
      <c r="A447" s="56" t="s">
        <v>85</v>
      </c>
      <c r="B447" s="56" t="s">
        <v>50</v>
      </c>
      <c r="C447" s="56" t="s">
        <v>44</v>
      </c>
      <c r="D447" s="56" t="s">
        <v>28</v>
      </c>
      <c r="E447" s="56" t="s">
        <v>51</v>
      </c>
      <c r="F447" s="56"/>
      <c r="G447" s="57">
        <v>100940.40000000001</v>
      </c>
      <c r="H447" s="49"/>
      <c r="I447" s="49"/>
      <c r="J447" s="49"/>
      <c r="K447" s="49"/>
      <c r="L447" s="49"/>
      <c r="M447" s="49"/>
      <c r="N447" s="49"/>
      <c r="O447" s="49"/>
      <c r="P447" s="49"/>
    </row>
    <row r="448" ht="12.0" customHeight="1">
      <c r="A448" s="56" t="s">
        <v>85</v>
      </c>
      <c r="B448" s="56" t="s">
        <v>50</v>
      </c>
      <c r="C448" s="56" t="s">
        <v>44</v>
      </c>
      <c r="D448" s="56" t="s">
        <v>28</v>
      </c>
      <c r="E448" s="56" t="s">
        <v>51</v>
      </c>
      <c r="F448" s="56"/>
      <c r="G448" s="57">
        <v>0.0</v>
      </c>
      <c r="H448" s="49"/>
      <c r="I448" s="49"/>
      <c r="J448" s="49"/>
      <c r="K448" s="49"/>
      <c r="L448" s="49"/>
      <c r="M448" s="49"/>
      <c r="N448" s="49"/>
      <c r="O448" s="49"/>
      <c r="P448" s="49"/>
    </row>
    <row r="449" ht="12.0" customHeight="1">
      <c r="A449" s="56" t="s">
        <v>85</v>
      </c>
      <c r="B449" s="56" t="s">
        <v>50</v>
      </c>
      <c r="C449" s="56" t="s">
        <v>44</v>
      </c>
      <c r="D449" s="56" t="s">
        <v>28</v>
      </c>
      <c r="E449" s="56" t="s">
        <v>71</v>
      </c>
      <c r="F449" s="56"/>
      <c r="G449" s="57">
        <v>18748.4</v>
      </c>
      <c r="H449" s="49"/>
      <c r="I449" s="49"/>
      <c r="J449" s="49"/>
      <c r="K449" s="49"/>
      <c r="L449" s="49"/>
      <c r="M449" s="49"/>
      <c r="N449" s="49"/>
      <c r="O449" s="49"/>
      <c r="P449" s="49"/>
    </row>
    <row r="450" ht="12.0" customHeight="1">
      <c r="A450" s="56" t="s">
        <v>85</v>
      </c>
      <c r="B450" s="56" t="s">
        <v>50</v>
      </c>
      <c r="C450" s="56" t="s">
        <v>44</v>
      </c>
      <c r="D450" s="56" t="s">
        <v>29</v>
      </c>
      <c r="E450" s="56" t="s">
        <v>56</v>
      </c>
      <c r="F450" s="56"/>
      <c r="G450" s="57">
        <v>91163.6</v>
      </c>
      <c r="H450" s="49"/>
      <c r="I450" s="49"/>
      <c r="J450" s="49"/>
      <c r="K450" s="49"/>
      <c r="L450" s="49"/>
      <c r="M450" s="49"/>
      <c r="N450" s="49"/>
      <c r="O450" s="49"/>
      <c r="P450" s="49"/>
    </row>
    <row r="451" ht="12.0" customHeight="1">
      <c r="A451" s="56" t="s">
        <v>85</v>
      </c>
      <c r="B451" s="56" t="s">
        <v>50</v>
      </c>
      <c r="C451" s="56" t="s">
        <v>44</v>
      </c>
      <c r="D451" s="56" t="s">
        <v>29</v>
      </c>
      <c r="E451" s="56" t="s">
        <v>56</v>
      </c>
      <c r="F451" s="56"/>
      <c r="G451" s="57">
        <v>105600.00000000001</v>
      </c>
      <c r="H451" s="49"/>
      <c r="I451" s="49"/>
      <c r="J451" s="49"/>
      <c r="K451" s="49"/>
      <c r="L451" s="49"/>
      <c r="M451" s="49"/>
      <c r="N451" s="49"/>
      <c r="O451" s="49"/>
      <c r="P451" s="49"/>
    </row>
    <row r="452" ht="12.0" customHeight="1">
      <c r="A452" s="56" t="s">
        <v>85</v>
      </c>
      <c r="B452" s="56" t="s">
        <v>50</v>
      </c>
      <c r="C452" s="56" t="s">
        <v>44</v>
      </c>
      <c r="D452" s="56" t="s">
        <v>29</v>
      </c>
      <c r="E452" s="56" t="s">
        <v>56</v>
      </c>
      <c r="F452" s="56"/>
      <c r="G452" s="57">
        <v>70787.20000000001</v>
      </c>
      <c r="H452" s="49"/>
      <c r="I452" s="49"/>
      <c r="J452" s="49"/>
      <c r="K452" s="49"/>
      <c r="L452" s="49"/>
      <c r="M452" s="49"/>
      <c r="N452" s="49"/>
      <c r="O452" s="49"/>
      <c r="P452" s="49"/>
    </row>
    <row r="453" ht="12.0" customHeight="1">
      <c r="A453" s="56" t="s">
        <v>85</v>
      </c>
      <c r="B453" s="56" t="s">
        <v>50</v>
      </c>
      <c r="C453" s="56" t="s">
        <v>44</v>
      </c>
      <c r="D453" s="56" t="s">
        <v>29</v>
      </c>
      <c r="E453" s="56" t="s">
        <v>56</v>
      </c>
      <c r="F453" s="56"/>
      <c r="G453" s="57">
        <v>134675.2</v>
      </c>
      <c r="H453" s="49"/>
      <c r="I453" s="49"/>
      <c r="J453" s="49"/>
      <c r="K453" s="49"/>
      <c r="L453" s="49"/>
      <c r="M453" s="49"/>
      <c r="N453" s="49"/>
      <c r="O453" s="49"/>
      <c r="P453" s="49"/>
    </row>
    <row r="454" ht="12.0" customHeight="1">
      <c r="A454" s="56" t="s">
        <v>85</v>
      </c>
      <c r="B454" s="56" t="s">
        <v>50</v>
      </c>
      <c r="C454" s="56" t="s">
        <v>44</v>
      </c>
      <c r="D454" s="56" t="s">
        <v>29</v>
      </c>
      <c r="E454" s="56" t="s">
        <v>56</v>
      </c>
      <c r="F454" s="56"/>
      <c r="G454" s="57">
        <v>101934.8</v>
      </c>
      <c r="H454" s="49"/>
      <c r="I454" s="49"/>
      <c r="J454" s="49"/>
      <c r="K454" s="49"/>
      <c r="L454" s="49"/>
      <c r="M454" s="49"/>
      <c r="N454" s="49"/>
      <c r="O454" s="49"/>
      <c r="P454" s="49"/>
    </row>
    <row r="455" ht="12.0" customHeight="1">
      <c r="A455" s="56" t="s">
        <v>85</v>
      </c>
      <c r="B455" s="56" t="s">
        <v>50</v>
      </c>
      <c r="C455" s="56" t="s">
        <v>44</v>
      </c>
      <c r="D455" s="56" t="s">
        <v>29</v>
      </c>
      <c r="E455" s="56" t="s">
        <v>56</v>
      </c>
      <c r="F455" s="56"/>
      <c r="G455" s="57">
        <v>0.0</v>
      </c>
      <c r="H455" s="49"/>
      <c r="I455" s="49"/>
      <c r="J455" s="49"/>
      <c r="K455" s="49"/>
      <c r="L455" s="49"/>
      <c r="M455" s="49"/>
      <c r="N455" s="49"/>
      <c r="O455" s="49"/>
      <c r="P455" s="49"/>
    </row>
    <row r="456" ht="12.0" customHeight="1">
      <c r="A456" s="56" t="s">
        <v>85</v>
      </c>
      <c r="B456" s="56" t="s">
        <v>50</v>
      </c>
      <c r="C456" s="56" t="s">
        <v>44</v>
      </c>
      <c r="D456" s="56" t="s">
        <v>29</v>
      </c>
      <c r="E456" s="56" t="s">
        <v>56</v>
      </c>
      <c r="F456" s="56"/>
      <c r="G456" s="57">
        <v>198000.00000000003</v>
      </c>
      <c r="H456" s="49"/>
      <c r="I456" s="49"/>
      <c r="J456" s="49"/>
      <c r="K456" s="49"/>
      <c r="L456" s="49"/>
      <c r="M456" s="49"/>
      <c r="N456" s="49"/>
      <c r="O456" s="49"/>
      <c r="P456" s="49"/>
    </row>
    <row r="457" ht="12.0" customHeight="1">
      <c r="A457" s="56" t="s">
        <v>85</v>
      </c>
      <c r="B457" s="56" t="s">
        <v>50</v>
      </c>
      <c r="C457" s="56" t="s">
        <v>44</v>
      </c>
      <c r="D457" s="56" t="s">
        <v>29</v>
      </c>
      <c r="E457" s="56" t="s">
        <v>56</v>
      </c>
      <c r="F457" s="56"/>
      <c r="G457" s="57">
        <v>131040.80000000002</v>
      </c>
      <c r="H457" s="49"/>
      <c r="I457" s="49"/>
      <c r="J457" s="49"/>
      <c r="K457" s="49"/>
      <c r="L457" s="49"/>
      <c r="M457" s="49"/>
      <c r="N457" s="49"/>
      <c r="O457" s="49"/>
      <c r="P457" s="49"/>
    </row>
    <row r="458" ht="12.0" customHeight="1">
      <c r="A458" s="56" t="s">
        <v>85</v>
      </c>
      <c r="B458" s="56" t="s">
        <v>50</v>
      </c>
      <c r="C458" s="56" t="s">
        <v>44</v>
      </c>
      <c r="D458" s="56" t="s">
        <v>29</v>
      </c>
      <c r="E458" s="56" t="s">
        <v>56</v>
      </c>
      <c r="F458" s="56"/>
      <c r="G458" s="57">
        <v>349707.60000000003</v>
      </c>
      <c r="H458" s="49"/>
      <c r="I458" s="49"/>
      <c r="J458" s="49"/>
      <c r="K458" s="49"/>
      <c r="L458" s="49"/>
      <c r="M458" s="49"/>
      <c r="N458" s="49"/>
      <c r="O458" s="49"/>
      <c r="P458" s="49"/>
    </row>
    <row r="459" ht="12.0" customHeight="1">
      <c r="A459" s="56" t="s">
        <v>85</v>
      </c>
      <c r="B459" s="56" t="s">
        <v>50</v>
      </c>
      <c r="C459" s="56" t="s">
        <v>44</v>
      </c>
      <c r="D459" s="56" t="s">
        <v>30</v>
      </c>
      <c r="E459" s="56" t="s">
        <v>5</v>
      </c>
      <c r="F459" s="56"/>
      <c r="G459" s="57">
        <v>64257.600000000006</v>
      </c>
      <c r="H459" s="49"/>
      <c r="I459" s="49"/>
      <c r="J459" s="49"/>
      <c r="K459" s="49"/>
      <c r="L459" s="49"/>
      <c r="M459" s="49"/>
      <c r="N459" s="49"/>
      <c r="O459" s="49"/>
      <c r="P459" s="49"/>
    </row>
    <row r="460" ht="12.0" customHeight="1">
      <c r="A460" s="56" t="s">
        <v>85</v>
      </c>
      <c r="B460" s="56" t="s">
        <v>50</v>
      </c>
      <c r="C460" s="56" t="s">
        <v>44</v>
      </c>
      <c r="D460" s="56" t="s">
        <v>30</v>
      </c>
      <c r="E460" s="56" t="s">
        <v>5</v>
      </c>
      <c r="F460" s="56"/>
      <c r="G460" s="57">
        <v>0.0</v>
      </c>
      <c r="H460" s="49"/>
      <c r="I460" s="49"/>
      <c r="J460" s="49"/>
      <c r="K460" s="49"/>
      <c r="L460" s="49"/>
      <c r="M460" s="49"/>
      <c r="N460" s="49"/>
      <c r="O460" s="49"/>
      <c r="P460" s="49"/>
    </row>
    <row r="461" ht="12.0" customHeight="1">
      <c r="A461" s="56" t="s">
        <v>85</v>
      </c>
      <c r="B461" s="56" t="s">
        <v>50</v>
      </c>
      <c r="C461" s="56" t="s">
        <v>44</v>
      </c>
      <c r="D461" s="56" t="s">
        <v>30</v>
      </c>
      <c r="E461" s="56" t="s">
        <v>5</v>
      </c>
      <c r="F461" s="56"/>
      <c r="G461" s="57">
        <v>60636.4</v>
      </c>
      <c r="H461" s="49"/>
      <c r="I461" s="49"/>
      <c r="J461" s="49"/>
      <c r="K461" s="49"/>
      <c r="L461" s="49"/>
      <c r="M461" s="49"/>
      <c r="N461" s="49"/>
      <c r="O461" s="49"/>
      <c r="P461" s="49"/>
    </row>
    <row r="462" ht="12.0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</row>
    <row r="463" ht="12.0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</row>
    <row r="464" ht="12.0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</row>
    <row r="465" ht="12.0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</row>
    <row r="466" ht="12.0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</row>
    <row r="467" ht="12.0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</row>
    <row r="468" ht="12.0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</row>
    <row r="469" ht="12.0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</row>
    <row r="470" ht="12.0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</row>
    <row r="471" ht="12.0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</row>
    <row r="472" ht="12.0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</row>
    <row r="473" ht="12.0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</row>
    <row r="474" ht="12.0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</row>
    <row r="475" ht="12.0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</row>
    <row r="476" ht="12.0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</row>
    <row r="477" ht="12.0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</row>
    <row r="478" ht="12.0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</row>
    <row r="479" ht="12.0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</row>
    <row r="480" ht="12.0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</row>
    <row r="481" ht="12.0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</row>
    <row r="482" ht="12.0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</row>
    <row r="483" ht="12.0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</row>
    <row r="484" ht="12.0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</row>
    <row r="485" ht="12.0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</row>
    <row r="486" ht="12.0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</row>
    <row r="487" ht="12.0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</row>
    <row r="488" ht="12.0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</row>
    <row r="489" ht="12.0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</row>
    <row r="490" ht="12.0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</row>
    <row r="491" ht="12.0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</row>
    <row r="492" ht="12.0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</row>
    <row r="493" ht="12.0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</row>
    <row r="494" ht="12.0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</row>
    <row r="495" ht="12.0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</row>
    <row r="496" ht="12.0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</row>
    <row r="497" ht="12.0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</row>
    <row r="498" ht="12.0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</row>
    <row r="499" ht="12.0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</row>
    <row r="500" ht="12.0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</row>
    <row r="501" ht="12.0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</row>
    <row r="502" ht="12.0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</row>
    <row r="503" ht="12.0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</row>
    <row r="504" ht="12.0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</row>
    <row r="505" ht="12.0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</row>
    <row r="506" ht="12.0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</row>
    <row r="507" ht="12.0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</row>
    <row r="508" ht="12.0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</row>
    <row r="509" ht="12.0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</row>
    <row r="510" ht="12.0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</row>
    <row r="511" ht="12.0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</row>
    <row r="512" ht="12.0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</row>
    <row r="513" ht="12.0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</row>
    <row r="514" ht="12.0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</row>
    <row r="515" ht="12.0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</row>
    <row r="516" ht="12.0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</row>
    <row r="517" ht="12.0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</row>
    <row r="518" ht="12.0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</row>
    <row r="519" ht="12.0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</row>
    <row r="520" ht="12.0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</row>
    <row r="521" ht="12.0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</row>
    <row r="522" ht="12.0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</row>
    <row r="523" ht="12.0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</row>
    <row r="524" ht="12.0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</row>
    <row r="525" ht="12.0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</row>
    <row r="526" ht="12.0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</row>
    <row r="527" ht="12.0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</row>
    <row r="528" ht="12.0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</row>
    <row r="529" ht="12.0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</row>
    <row r="530" ht="12.0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</row>
    <row r="531" ht="12.0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</row>
    <row r="532" ht="12.0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</row>
    <row r="533" ht="12.0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</row>
    <row r="534" ht="12.0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</row>
    <row r="535" ht="12.0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</row>
    <row r="536" ht="12.0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</row>
    <row r="537" ht="12.0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</row>
    <row r="538" ht="12.0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</row>
    <row r="539" ht="12.0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</row>
    <row r="540" ht="12.0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</row>
    <row r="541" ht="12.0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</row>
    <row r="542" ht="12.0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</row>
    <row r="543" ht="12.0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</row>
    <row r="544" ht="12.0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</row>
    <row r="545" ht="12.0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</row>
    <row r="546" ht="12.0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</row>
    <row r="547" ht="12.0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</row>
    <row r="548" ht="12.0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</row>
    <row r="549" ht="12.0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</row>
    <row r="550" ht="12.0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</row>
    <row r="551" ht="12.0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</row>
    <row r="552" ht="12.0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</row>
    <row r="553" ht="12.0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</row>
    <row r="554" ht="12.0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</row>
    <row r="555" ht="12.0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</row>
    <row r="556" ht="12.0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</row>
    <row r="557" ht="12.0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</row>
    <row r="558" ht="12.0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</row>
    <row r="559" ht="12.0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</row>
    <row r="560" ht="12.0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</row>
    <row r="561" ht="12.0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</row>
    <row r="562" ht="12.0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</row>
    <row r="563" ht="12.0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</row>
    <row r="564" ht="12.0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</row>
    <row r="565" ht="12.0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</row>
    <row r="566" ht="12.0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</row>
    <row r="567" ht="12.0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</row>
    <row r="568" ht="12.0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</row>
    <row r="569" ht="12.0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</row>
    <row r="570" ht="12.0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</row>
    <row r="571" ht="12.0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</row>
    <row r="572" ht="12.0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</row>
    <row r="573" ht="12.0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</row>
    <row r="574" ht="12.0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</row>
    <row r="575" ht="12.0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</row>
    <row r="576" ht="12.0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</row>
    <row r="577" ht="12.0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</row>
    <row r="578" ht="12.0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</row>
    <row r="579" ht="12.0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</row>
    <row r="580" ht="12.0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</row>
    <row r="581" ht="12.0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</row>
    <row r="582" ht="12.0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</row>
    <row r="583" ht="12.0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</row>
    <row r="584" ht="12.0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</row>
    <row r="585" ht="12.0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</row>
    <row r="586" ht="12.0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</row>
    <row r="587" ht="12.0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</row>
    <row r="588" ht="12.0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</row>
    <row r="589" ht="12.0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</row>
    <row r="590" ht="12.0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</row>
    <row r="591" ht="12.0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</row>
    <row r="592" ht="12.0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</row>
    <row r="593" ht="12.0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</row>
    <row r="594" ht="12.0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</row>
    <row r="595" ht="12.0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</row>
    <row r="596" ht="12.0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</row>
    <row r="597" ht="12.0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</row>
    <row r="598" ht="12.0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</row>
    <row r="599" ht="12.0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</row>
    <row r="600" ht="12.0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</row>
    <row r="601" ht="12.0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</row>
    <row r="602" ht="12.0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</row>
    <row r="603" ht="12.0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</row>
    <row r="604" ht="12.0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</row>
    <row r="605" ht="12.0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</row>
    <row r="606" ht="12.0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</row>
    <row r="607" ht="12.0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</row>
    <row r="608" ht="12.0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</row>
    <row r="609" ht="12.0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</row>
    <row r="610" ht="12.0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</row>
    <row r="611" ht="12.0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</row>
    <row r="612" ht="12.0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</row>
    <row r="613" ht="12.0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</row>
    <row r="614" ht="12.0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</row>
    <row r="615" ht="12.0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</row>
    <row r="616" ht="12.0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</row>
    <row r="617" ht="12.0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</row>
    <row r="618" ht="12.0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</row>
    <row r="619" ht="12.0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</row>
    <row r="620" ht="12.0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</row>
    <row r="621" ht="12.0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</row>
    <row r="622" ht="12.0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</row>
    <row r="623" ht="12.0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</row>
    <row r="624" ht="12.0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</row>
    <row r="625" ht="12.0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</row>
    <row r="626" ht="12.0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</row>
    <row r="627" ht="12.0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</row>
    <row r="628" ht="12.0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</row>
    <row r="629" ht="12.0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</row>
    <row r="630" ht="12.0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</row>
    <row r="631" ht="12.0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</row>
    <row r="632" ht="12.0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</row>
    <row r="633" ht="12.0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</row>
    <row r="634" ht="12.0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</row>
    <row r="635" ht="12.0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</row>
    <row r="636" ht="12.0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</row>
    <row r="637" ht="12.0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</row>
    <row r="638" ht="12.0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</row>
    <row r="639" ht="12.0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</row>
    <row r="640" ht="12.0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</row>
    <row r="641" ht="12.0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</row>
    <row r="642" ht="12.0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</row>
    <row r="643" ht="12.0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</row>
    <row r="644" ht="12.0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</row>
    <row r="645" ht="12.0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</row>
    <row r="646" ht="12.0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</row>
    <row r="647" ht="12.0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</row>
    <row r="648" ht="12.0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</row>
    <row r="649" ht="12.0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</row>
    <row r="650" ht="12.0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</row>
    <row r="651" ht="12.0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</row>
    <row r="652" ht="12.0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</row>
    <row r="653" ht="12.0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</row>
    <row r="654" ht="12.0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</row>
    <row r="655" ht="12.0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</row>
    <row r="656" ht="12.0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</row>
    <row r="657" ht="12.0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</row>
    <row r="658" ht="12.0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</row>
    <row r="659" ht="12.0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</row>
    <row r="660" ht="12.0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</row>
    <row r="661" ht="12.0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</row>
    <row r="662" ht="12.0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</row>
    <row r="663" ht="12.0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</row>
    <row r="664" ht="12.0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</row>
    <row r="665" ht="12.0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</row>
    <row r="666" ht="12.0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</row>
    <row r="667" ht="12.0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</row>
    <row r="668" ht="12.0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</row>
    <row r="669" ht="12.0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</row>
    <row r="670" ht="12.0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</row>
    <row r="671" ht="12.0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</row>
    <row r="672" ht="12.0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</row>
    <row r="673" ht="12.0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</row>
    <row r="674" ht="12.0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</row>
    <row r="675" ht="12.0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</row>
    <row r="676" ht="12.0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</row>
    <row r="677" ht="12.0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</row>
    <row r="678" ht="12.0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</row>
    <row r="679" ht="12.0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</row>
    <row r="680" ht="12.0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</row>
    <row r="681" ht="12.0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</row>
    <row r="682" ht="12.0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</row>
    <row r="683" ht="12.0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</row>
    <row r="684" ht="12.0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</row>
    <row r="685" ht="12.0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</row>
    <row r="686" ht="12.0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</row>
    <row r="687" ht="12.0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</row>
    <row r="688" ht="12.0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</row>
    <row r="689" ht="12.0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</row>
    <row r="690" ht="12.0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</row>
    <row r="691" ht="12.0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</row>
    <row r="692" ht="12.0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</row>
    <row r="693" ht="12.0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</row>
    <row r="694" ht="12.0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</row>
    <row r="695" ht="12.0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</row>
    <row r="696" ht="12.0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</row>
    <row r="697" ht="12.0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</row>
    <row r="698" ht="12.0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</row>
    <row r="699" ht="12.0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</row>
    <row r="700" ht="12.0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</row>
    <row r="701" ht="12.0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</row>
    <row r="702" ht="12.0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</row>
    <row r="703" ht="12.0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</row>
    <row r="704" ht="12.0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</row>
    <row r="705" ht="12.0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</row>
    <row r="706" ht="12.0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</row>
    <row r="707" ht="12.0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</row>
    <row r="708" ht="12.0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</row>
    <row r="709" ht="12.0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</row>
    <row r="710" ht="12.0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</row>
    <row r="711" ht="12.0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</row>
    <row r="712" ht="12.0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</row>
    <row r="713" ht="12.0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</row>
    <row r="714" ht="12.0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</row>
    <row r="715" ht="12.0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</row>
    <row r="716" ht="12.0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</row>
    <row r="717" ht="12.0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</row>
    <row r="718" ht="12.0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</row>
    <row r="719" ht="12.0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</row>
    <row r="720" ht="12.0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</row>
    <row r="721" ht="12.0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</row>
    <row r="722" ht="12.0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</row>
    <row r="723" ht="12.0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</row>
    <row r="724" ht="12.0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</row>
    <row r="725" ht="12.0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</row>
    <row r="726" ht="12.0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</row>
    <row r="727" ht="12.0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</row>
    <row r="728" ht="12.0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</row>
    <row r="729" ht="12.0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</row>
    <row r="730" ht="12.0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</row>
    <row r="731" ht="12.0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</row>
    <row r="732" ht="12.0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</row>
    <row r="733" ht="12.0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</row>
    <row r="734" ht="12.0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</row>
    <row r="735" ht="12.0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</row>
    <row r="736" ht="12.0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</row>
    <row r="737" ht="12.0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</row>
    <row r="738" ht="12.0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</row>
    <row r="739" ht="12.0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</row>
    <row r="740" ht="12.0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</row>
    <row r="741" ht="12.0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</row>
    <row r="742" ht="12.0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</row>
    <row r="743" ht="12.0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</row>
    <row r="744" ht="12.0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</row>
    <row r="745" ht="12.0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</row>
    <row r="746" ht="12.0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</row>
    <row r="747" ht="12.0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</row>
    <row r="748" ht="12.0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</row>
    <row r="749" ht="12.0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</row>
    <row r="750" ht="12.0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</row>
    <row r="751" ht="12.0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</row>
    <row r="752" ht="12.0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</row>
    <row r="753" ht="12.0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</row>
    <row r="754" ht="12.0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</row>
    <row r="755" ht="12.0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</row>
    <row r="756" ht="12.0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</row>
    <row r="757" ht="12.0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</row>
    <row r="758" ht="12.0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</row>
    <row r="759" ht="12.0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</row>
    <row r="760" ht="12.0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</row>
    <row r="761" ht="12.0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</row>
    <row r="762" ht="12.0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</row>
    <row r="763" ht="12.0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</row>
    <row r="764" ht="12.0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</row>
    <row r="765" ht="12.0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</row>
    <row r="766" ht="12.0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</row>
    <row r="767" ht="12.0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</row>
    <row r="768" ht="12.0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</row>
    <row r="769" ht="12.0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</row>
    <row r="770" ht="12.0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</row>
    <row r="771" ht="12.0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</row>
    <row r="772" ht="12.0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</row>
    <row r="773" ht="12.0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</row>
    <row r="774" ht="12.0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</row>
    <row r="775" ht="12.0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</row>
    <row r="776" ht="12.0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</row>
    <row r="777" ht="12.0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</row>
    <row r="778" ht="12.0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</row>
    <row r="779" ht="12.0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</row>
    <row r="780" ht="12.0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</row>
    <row r="781" ht="12.0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</row>
    <row r="782" ht="12.0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</row>
    <row r="783" ht="12.0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</row>
    <row r="784" ht="12.0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</row>
    <row r="785" ht="12.0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</row>
    <row r="786" ht="12.0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</row>
    <row r="787" ht="12.0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</row>
    <row r="788" ht="12.0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</row>
    <row r="789" ht="12.0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</row>
    <row r="790" ht="12.0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</row>
    <row r="791" ht="12.0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</row>
    <row r="792" ht="12.0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</row>
    <row r="793" ht="12.0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</row>
    <row r="794" ht="12.0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</row>
    <row r="795" ht="12.0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</row>
    <row r="796" ht="12.0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</row>
    <row r="797" ht="12.0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</row>
    <row r="798" ht="12.0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</row>
    <row r="799" ht="12.0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</row>
    <row r="800" ht="12.0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</row>
    <row r="801" ht="12.0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</row>
    <row r="802" ht="12.0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</row>
    <row r="803" ht="12.0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</row>
    <row r="804" ht="12.0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</row>
    <row r="805" ht="12.0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</row>
    <row r="806" ht="12.0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</row>
    <row r="807" ht="12.0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</row>
    <row r="808" ht="12.0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</row>
    <row r="809" ht="12.0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</row>
    <row r="810" ht="12.0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</row>
    <row r="811" ht="12.0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</row>
    <row r="812" ht="12.0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</row>
    <row r="813" ht="12.0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</row>
    <row r="814" ht="12.0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</row>
    <row r="815" ht="12.0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</row>
    <row r="816" ht="12.0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</row>
    <row r="817" ht="12.0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</row>
    <row r="818" ht="12.0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</row>
    <row r="819" ht="12.0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</row>
    <row r="820" ht="12.0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</row>
    <row r="821" ht="12.0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</row>
    <row r="822" ht="12.0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</row>
    <row r="823" ht="12.0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</row>
    <row r="824" ht="12.0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</row>
    <row r="825" ht="12.0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</row>
    <row r="826" ht="12.0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</row>
    <row r="827" ht="12.0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</row>
    <row r="828" ht="12.0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</row>
    <row r="829" ht="12.0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</row>
    <row r="830" ht="12.0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</row>
    <row r="831" ht="12.0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</row>
    <row r="832" ht="12.0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</row>
    <row r="833" ht="12.0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</row>
    <row r="834" ht="12.0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</row>
    <row r="835" ht="12.0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</row>
    <row r="836" ht="12.0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</row>
    <row r="837" ht="12.0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</row>
    <row r="838" ht="12.0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</row>
    <row r="839" ht="12.0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</row>
    <row r="840" ht="12.0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</row>
    <row r="841" ht="12.0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</row>
    <row r="842" ht="12.0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</row>
    <row r="843" ht="12.0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</row>
    <row r="844" ht="12.0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</row>
    <row r="845" ht="12.0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</row>
    <row r="846" ht="12.0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</row>
    <row r="847" ht="12.0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</row>
    <row r="848" ht="12.0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</row>
    <row r="849" ht="12.0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</row>
    <row r="850" ht="12.0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</row>
    <row r="851" ht="12.0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</row>
    <row r="852" ht="12.0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</row>
    <row r="853" ht="12.0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</row>
    <row r="854" ht="12.0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</row>
    <row r="855" ht="12.0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</row>
    <row r="856" ht="12.0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</row>
    <row r="857" ht="12.0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</row>
    <row r="858" ht="12.0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</row>
    <row r="859" ht="12.0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</row>
    <row r="860" ht="12.0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</row>
    <row r="861" ht="12.0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</row>
    <row r="862" ht="12.0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</row>
    <row r="863" ht="12.0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</row>
    <row r="864" ht="12.0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</row>
    <row r="865" ht="12.0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</row>
    <row r="866" ht="12.0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</row>
    <row r="867" ht="12.0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</row>
    <row r="868" ht="12.0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</row>
    <row r="869" ht="12.0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</row>
    <row r="870" ht="12.0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</row>
    <row r="871" ht="12.0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</row>
    <row r="872" ht="12.0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</row>
    <row r="873" ht="12.0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</row>
    <row r="874" ht="12.0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</row>
    <row r="875" ht="12.0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</row>
    <row r="876" ht="12.0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</row>
    <row r="877" ht="12.0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</row>
    <row r="878" ht="12.0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</row>
    <row r="879" ht="12.0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</row>
    <row r="880" ht="12.0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</row>
    <row r="881" ht="12.0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</row>
    <row r="882" ht="12.0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</row>
    <row r="883" ht="12.0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</row>
    <row r="884" ht="12.0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</row>
    <row r="885" ht="12.0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</row>
    <row r="886" ht="12.0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</row>
    <row r="887" ht="12.0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</row>
    <row r="888" ht="12.0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</row>
    <row r="889" ht="12.0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</row>
    <row r="890" ht="12.0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</row>
    <row r="891" ht="12.0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</row>
    <row r="892" ht="12.0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</row>
    <row r="893" ht="12.0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</row>
    <row r="894" ht="12.0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</row>
    <row r="895" ht="12.0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</row>
    <row r="896" ht="12.0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</row>
    <row r="897" ht="12.0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</row>
    <row r="898" ht="12.0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</row>
    <row r="899" ht="12.0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</row>
    <row r="900" ht="12.0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</row>
    <row r="901" ht="12.0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</row>
    <row r="902" ht="12.0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</row>
    <row r="903" ht="12.0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</row>
    <row r="904" ht="12.0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</row>
    <row r="905" ht="12.0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</row>
    <row r="906" ht="12.0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</row>
    <row r="907" ht="12.0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</row>
    <row r="908" ht="12.0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</row>
    <row r="909" ht="12.0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</row>
    <row r="910" ht="12.0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</row>
    <row r="911" ht="12.0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</row>
    <row r="912" ht="12.0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</row>
    <row r="913" ht="12.0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</row>
    <row r="914" ht="12.0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</row>
    <row r="915" ht="12.0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</row>
    <row r="916" ht="12.0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</row>
    <row r="917" ht="12.0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</row>
    <row r="918" ht="12.0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</row>
    <row r="919" ht="12.0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</row>
    <row r="920" ht="12.0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</row>
    <row r="921" ht="12.0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</row>
    <row r="922" ht="12.0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</row>
    <row r="923" ht="12.0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</row>
    <row r="924" ht="12.0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</row>
    <row r="925" ht="12.0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</row>
    <row r="926" ht="12.0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</row>
    <row r="927" ht="12.0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</row>
    <row r="928" ht="12.0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</row>
    <row r="929" ht="12.0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</row>
    <row r="930" ht="12.0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</row>
    <row r="931" ht="12.0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</row>
    <row r="932" ht="12.0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</row>
    <row r="933" ht="12.0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</row>
    <row r="934" ht="12.0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</row>
    <row r="935" ht="12.0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</row>
    <row r="936" ht="12.0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</row>
    <row r="937" ht="12.0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</row>
    <row r="938" ht="12.0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</row>
    <row r="939" ht="12.0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</row>
    <row r="940" ht="12.0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</row>
    <row r="941" ht="12.0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</row>
    <row r="942" ht="12.0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</row>
    <row r="943" ht="12.0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</row>
    <row r="944" ht="12.0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</row>
    <row r="945" ht="12.0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</row>
    <row r="946" ht="12.0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</row>
    <row r="947" ht="12.0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</row>
    <row r="948" ht="12.0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</row>
    <row r="949" ht="12.0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</row>
    <row r="950" ht="12.0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</row>
    <row r="951" ht="12.0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</row>
    <row r="952" ht="12.0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</row>
    <row r="953" ht="12.0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</row>
    <row r="954" ht="12.0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</row>
    <row r="955" ht="12.0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</row>
    <row r="956" ht="12.0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</row>
    <row r="957" ht="12.0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</row>
    <row r="958" ht="12.0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</row>
    <row r="959" ht="12.0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</row>
    <row r="960" ht="12.0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</row>
    <row r="961" ht="12.0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</row>
    <row r="962" ht="12.0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</row>
    <row r="963" ht="12.0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</row>
    <row r="964" ht="12.0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</row>
    <row r="965" ht="12.0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</row>
    <row r="966" ht="12.0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</row>
    <row r="967" ht="12.0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</row>
    <row r="968" ht="12.0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</row>
    <row r="969" ht="12.0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</row>
    <row r="970" ht="12.0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</row>
    <row r="971" ht="12.0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</row>
    <row r="972" ht="12.0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</row>
    <row r="973" ht="12.0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</row>
    <row r="974" ht="12.0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</row>
    <row r="975" ht="12.0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</row>
    <row r="976" ht="12.0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</row>
    <row r="977" ht="12.0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</row>
    <row r="978" ht="12.0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</row>
    <row r="979" ht="12.0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</row>
    <row r="980" ht="12.0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</row>
    <row r="981" ht="12.0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</row>
    <row r="982" ht="12.0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</row>
    <row r="983" ht="12.0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</row>
    <row r="984" ht="12.0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</row>
    <row r="985" ht="12.0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</row>
    <row r="986" ht="12.0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</row>
    <row r="987" ht="12.0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</row>
    <row r="988" ht="12.0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</row>
    <row r="989" ht="12.0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</row>
    <row r="990" ht="12.0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</row>
    <row r="991" ht="12.0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</row>
    <row r="992" ht="12.0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</row>
    <row r="993" ht="12.0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</row>
    <row r="994" ht="12.0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</row>
    <row r="995" ht="12.0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</row>
    <row r="996" ht="12.0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</row>
    <row r="997" ht="12.0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</row>
    <row r="998" ht="12.0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</row>
    <row r="999" ht="12.0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</row>
    <row r="1000" ht="12.0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FFFF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2" width="9.0"/>
    <col customWidth="1" min="3" max="3" width="23.29"/>
    <col customWidth="1" min="4" max="4" width="12.14"/>
    <col customWidth="1" min="5" max="19" width="8.86"/>
  </cols>
  <sheetData>
    <row r="1" ht="15.75" customHeight="1">
      <c r="A1" s="41" t="s">
        <v>38</v>
      </c>
      <c r="B1" s="41"/>
      <c r="C1" s="14"/>
      <c r="D1" s="58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2.75" customHeight="1">
      <c r="A2" s="14"/>
      <c r="B2" s="14"/>
      <c r="C2" s="59"/>
      <c r="D2" s="60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ht="41.25" customHeight="1">
      <c r="A3" s="61" t="s">
        <v>82</v>
      </c>
      <c r="B3" s="62" t="s">
        <v>86</v>
      </c>
      <c r="C3" s="63" t="s">
        <v>87</v>
      </c>
      <c r="D3" s="64" t="s">
        <v>43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ht="12.75" customHeight="1">
      <c r="A4" s="65" t="s">
        <v>14</v>
      </c>
      <c r="B4" s="65" t="s">
        <v>15</v>
      </c>
      <c r="C4" s="66"/>
      <c r="D4" s="67">
        <v>782392.5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ht="12.75" customHeight="1">
      <c r="A5" s="65" t="s">
        <v>14</v>
      </c>
      <c r="B5" s="65" t="s">
        <v>15</v>
      </c>
      <c r="C5" s="66"/>
      <c r="D5" s="67">
        <v>656253.0</v>
      </c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ht="12.75" customHeight="1">
      <c r="A6" s="65" t="s">
        <v>14</v>
      </c>
      <c r="B6" s="65" t="s">
        <v>15</v>
      </c>
      <c r="C6" s="65"/>
      <c r="D6" s="67">
        <v>563175.0</v>
      </c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</row>
    <row r="7" ht="12.75" customHeight="1">
      <c r="A7" s="65" t="s">
        <v>14</v>
      </c>
      <c r="B7" s="65" t="s">
        <v>15</v>
      </c>
      <c r="C7" s="65"/>
      <c r="D7" s="67">
        <v>413586.0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</row>
    <row r="8" ht="12.75" customHeight="1">
      <c r="A8" s="65" t="s">
        <v>14</v>
      </c>
      <c r="B8" s="65" t="s">
        <v>15</v>
      </c>
      <c r="C8" s="65"/>
      <c r="D8" s="67">
        <v>378427.5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</row>
    <row r="9" ht="12.75" customHeight="1">
      <c r="A9" s="65" t="s">
        <v>14</v>
      </c>
      <c r="B9" s="65" t="s">
        <v>15</v>
      </c>
      <c r="C9" s="65"/>
      <c r="D9" s="67">
        <v>339592.5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</row>
    <row r="10" ht="12.75" customHeight="1">
      <c r="A10" s="65" t="s">
        <v>14</v>
      </c>
      <c r="B10" s="65" t="s">
        <v>15</v>
      </c>
      <c r="C10" s="65"/>
      <c r="D10" s="67">
        <v>322600.5</v>
      </c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</row>
    <row r="11" ht="12.75" customHeight="1">
      <c r="A11" s="65" t="s">
        <v>14</v>
      </c>
      <c r="B11" s="65" t="s">
        <v>15</v>
      </c>
      <c r="C11" s="65"/>
      <c r="D11" s="67">
        <v>309375.0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</row>
    <row r="12" ht="12.75" customHeight="1">
      <c r="A12" s="65" t="s">
        <v>14</v>
      </c>
      <c r="B12" s="65" t="s">
        <v>15</v>
      </c>
      <c r="C12" s="65"/>
      <c r="D12" s="67">
        <v>290682.0</v>
      </c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</row>
    <row r="13" ht="26.25" customHeight="1">
      <c r="A13" s="65" t="s">
        <v>14</v>
      </c>
      <c r="B13" s="65" t="s">
        <v>15</v>
      </c>
      <c r="C13" s="65"/>
      <c r="D13" s="67">
        <v>217876.5</v>
      </c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</row>
    <row r="14" ht="12.75" customHeight="1">
      <c r="A14" s="65" t="s">
        <v>14</v>
      </c>
      <c r="B14" s="65" t="s">
        <v>15</v>
      </c>
      <c r="C14" s="65"/>
      <c r="D14" s="67">
        <v>193230.0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ht="12.75" customHeight="1">
      <c r="A15" s="65" t="s">
        <v>14</v>
      </c>
      <c r="B15" s="65" t="s">
        <v>15</v>
      </c>
      <c r="C15" s="65"/>
      <c r="D15" s="67">
        <v>176944.5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ht="12.75" customHeight="1">
      <c r="A16" s="65" t="s">
        <v>14</v>
      </c>
      <c r="B16" s="65" t="s">
        <v>15</v>
      </c>
      <c r="C16" s="65"/>
      <c r="D16" s="67">
        <v>165820.5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ht="12.75" customHeight="1">
      <c r="A17" s="65" t="s">
        <v>14</v>
      </c>
      <c r="B17" s="65" t="s">
        <v>15</v>
      </c>
      <c r="C17" s="65"/>
      <c r="D17" s="67">
        <v>148279.5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ht="12.75" customHeight="1">
      <c r="A18" s="65" t="s">
        <v>14</v>
      </c>
      <c r="B18" s="65" t="s">
        <v>15</v>
      </c>
      <c r="C18" s="65"/>
      <c r="D18" s="67">
        <v>141741.0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ht="12.75" customHeight="1">
      <c r="A19" s="65" t="s">
        <v>14</v>
      </c>
      <c r="B19" s="65" t="s">
        <v>15</v>
      </c>
      <c r="C19" s="65"/>
      <c r="D19" s="67">
        <v>133942.5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ht="12.75" customHeight="1">
      <c r="A20" s="65" t="s">
        <v>14</v>
      </c>
      <c r="B20" s="65" t="s">
        <v>15</v>
      </c>
      <c r="C20" s="65"/>
      <c r="D20" s="67">
        <v>133299.0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ht="12.75" customHeight="1">
      <c r="A21" s="65" t="s">
        <v>14</v>
      </c>
      <c r="B21" s="65" t="s">
        <v>15</v>
      </c>
      <c r="C21" s="65"/>
      <c r="D21" s="67">
        <v>121162.5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ht="12.75" customHeight="1">
      <c r="A22" s="65" t="s">
        <v>14</v>
      </c>
      <c r="B22" s="65" t="s">
        <v>15</v>
      </c>
      <c r="C22" s="65"/>
      <c r="D22" s="67">
        <v>113589.0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ht="12.75" customHeight="1">
      <c r="A23" s="65" t="s">
        <v>14</v>
      </c>
      <c r="B23" s="65" t="s">
        <v>15</v>
      </c>
      <c r="C23" s="65"/>
      <c r="D23" s="67">
        <v>107716.5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ht="12.75" customHeight="1">
      <c r="A24" s="65" t="s">
        <v>14</v>
      </c>
      <c r="B24" s="65" t="s">
        <v>15</v>
      </c>
      <c r="C24" s="65"/>
      <c r="D24" s="67">
        <v>104413.5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ht="12.75" customHeight="1">
      <c r="A25" s="65" t="s">
        <v>14</v>
      </c>
      <c r="B25" s="65" t="s">
        <v>15</v>
      </c>
      <c r="C25" s="65"/>
      <c r="D25" s="67">
        <v>101749.5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ht="12.75" customHeight="1">
      <c r="A26" s="65" t="s">
        <v>14</v>
      </c>
      <c r="B26" s="65" t="s">
        <v>15</v>
      </c>
      <c r="C26" s="65"/>
      <c r="D26" s="67">
        <v>97326.0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ht="12.75" customHeight="1">
      <c r="A27" s="65" t="s">
        <v>14</v>
      </c>
      <c r="B27" s="65" t="s">
        <v>15</v>
      </c>
      <c r="C27" s="65"/>
      <c r="D27" s="67">
        <v>96934.5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ht="12.75" customHeight="1">
      <c r="A28" s="65" t="s">
        <v>14</v>
      </c>
      <c r="B28" s="65" t="s">
        <v>15</v>
      </c>
      <c r="C28" s="65"/>
      <c r="D28" s="67">
        <v>95850.0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ht="12.75" customHeight="1">
      <c r="A29" s="65" t="s">
        <v>14</v>
      </c>
      <c r="B29" s="65" t="s">
        <v>15</v>
      </c>
      <c r="C29" s="65"/>
      <c r="D29" s="67">
        <v>95152.5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ht="12.75" customHeight="1">
      <c r="A30" s="65" t="s">
        <v>14</v>
      </c>
      <c r="B30" s="65" t="s">
        <v>15</v>
      </c>
      <c r="C30" s="65"/>
      <c r="D30" s="67">
        <v>94630.5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ht="12.75" customHeight="1">
      <c r="A31" s="65" t="s">
        <v>14</v>
      </c>
      <c r="B31" s="65" t="s">
        <v>15</v>
      </c>
      <c r="C31" s="65"/>
      <c r="D31" s="67">
        <v>89770.5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ht="12.75" customHeight="1">
      <c r="A32" s="65" t="s">
        <v>14</v>
      </c>
      <c r="B32" s="65" t="s">
        <v>15</v>
      </c>
      <c r="C32" s="65"/>
      <c r="D32" s="67">
        <v>89275.5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ht="12.75" customHeight="1">
      <c r="A33" s="65" t="s">
        <v>14</v>
      </c>
      <c r="B33" s="65" t="s">
        <v>15</v>
      </c>
      <c r="C33" s="65"/>
      <c r="D33" s="67">
        <v>88398.0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ht="12.75" customHeight="1">
      <c r="A34" s="65" t="s">
        <v>14</v>
      </c>
      <c r="B34" s="65" t="s">
        <v>15</v>
      </c>
      <c r="C34" s="65"/>
      <c r="D34" s="67">
        <v>83826.0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ht="12.75" customHeight="1">
      <c r="A35" s="65" t="s">
        <v>14</v>
      </c>
      <c r="B35" s="65" t="s">
        <v>15</v>
      </c>
      <c r="C35" s="65"/>
      <c r="D35" s="67">
        <v>82620.0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ht="12.75" customHeight="1">
      <c r="A36" s="65" t="s">
        <v>14</v>
      </c>
      <c r="B36" s="65" t="s">
        <v>15</v>
      </c>
      <c r="C36" s="65"/>
      <c r="D36" s="67">
        <v>82561.5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 ht="12.75" customHeight="1">
      <c r="A37" s="65" t="s">
        <v>14</v>
      </c>
      <c r="B37" s="65" t="s">
        <v>15</v>
      </c>
      <c r="C37" s="65"/>
      <c r="D37" s="67">
        <v>78628.5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ht="12.75" customHeight="1">
      <c r="A38" s="65" t="s">
        <v>14</v>
      </c>
      <c r="B38" s="65" t="s">
        <v>15</v>
      </c>
      <c r="C38" s="65"/>
      <c r="D38" s="67">
        <v>77719.5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ht="12.75" customHeight="1">
      <c r="A39" s="65" t="s">
        <v>14</v>
      </c>
      <c r="B39" s="65" t="s">
        <v>15</v>
      </c>
      <c r="C39" s="65"/>
      <c r="D39" s="67">
        <v>76725.0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 ht="12.75" customHeight="1">
      <c r="A40" s="65" t="s">
        <v>14</v>
      </c>
      <c r="B40" s="65" t="s">
        <v>15</v>
      </c>
      <c r="C40" s="65"/>
      <c r="D40" s="67">
        <v>71680.5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ht="12.75" customHeight="1">
      <c r="A41" s="65" t="s">
        <v>14</v>
      </c>
      <c r="B41" s="65" t="s">
        <v>15</v>
      </c>
      <c r="C41" s="65"/>
      <c r="D41" s="67">
        <v>66015.0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</row>
    <row r="42" ht="12.75" customHeight="1">
      <c r="A42" s="65" t="s">
        <v>14</v>
      </c>
      <c r="B42" s="65" t="s">
        <v>15</v>
      </c>
      <c r="C42" s="65"/>
      <c r="D42" s="67">
        <v>65812.5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</row>
    <row r="43" ht="12.75" customHeight="1">
      <c r="A43" s="65" t="s">
        <v>14</v>
      </c>
      <c r="B43" s="65" t="s">
        <v>15</v>
      </c>
      <c r="C43" s="65"/>
      <c r="D43" s="67">
        <v>62811.0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</row>
    <row r="44" ht="12.75" customHeight="1">
      <c r="A44" s="65" t="s">
        <v>14</v>
      </c>
      <c r="B44" s="65" t="s">
        <v>15</v>
      </c>
      <c r="C44" s="65"/>
      <c r="D44" s="67">
        <v>60570.0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</row>
    <row r="45" ht="12.75" customHeight="1">
      <c r="A45" s="65" t="s">
        <v>14</v>
      </c>
      <c r="B45" s="65" t="s">
        <v>15</v>
      </c>
      <c r="C45" s="65"/>
      <c r="D45" s="67">
        <v>59062.5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</row>
    <row r="46" ht="12.75" customHeight="1">
      <c r="A46" s="65" t="s">
        <v>14</v>
      </c>
      <c r="B46" s="65" t="s">
        <v>15</v>
      </c>
      <c r="C46" s="65"/>
      <c r="D46" s="67">
        <v>56542.5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</row>
    <row r="47" ht="12.75" customHeight="1">
      <c r="A47" s="65" t="s">
        <v>14</v>
      </c>
      <c r="B47" s="65" t="s">
        <v>15</v>
      </c>
      <c r="C47" s="65"/>
      <c r="D47" s="67">
        <v>54198.0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</row>
    <row r="48" ht="12.75" customHeight="1">
      <c r="A48" s="65" t="s">
        <v>14</v>
      </c>
      <c r="B48" s="65" t="s">
        <v>15</v>
      </c>
      <c r="C48" s="65"/>
      <c r="D48" s="67">
        <v>45355.5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</row>
    <row r="49" ht="12.75" customHeight="1">
      <c r="A49" s="65" t="s">
        <v>14</v>
      </c>
      <c r="B49" s="65" t="s">
        <v>15</v>
      </c>
      <c r="C49" s="65"/>
      <c r="D49" s="67">
        <v>44280.0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ht="12.75" customHeight="1">
      <c r="A50" s="65" t="s">
        <v>14</v>
      </c>
      <c r="B50" s="65" t="s">
        <v>15</v>
      </c>
      <c r="C50" s="65"/>
      <c r="D50" s="67">
        <v>44136.0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</row>
    <row r="51" ht="12.75" customHeight="1">
      <c r="A51" s="65" t="s">
        <v>14</v>
      </c>
      <c r="B51" s="65" t="s">
        <v>15</v>
      </c>
      <c r="C51" s="65"/>
      <c r="D51" s="67">
        <v>40500.0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</row>
    <row r="52" ht="12.75" customHeight="1">
      <c r="A52" s="65" t="s">
        <v>14</v>
      </c>
      <c r="B52" s="65" t="s">
        <v>15</v>
      </c>
      <c r="C52" s="65"/>
      <c r="D52" s="67">
        <v>39060.0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</row>
    <row r="53" ht="12.75" customHeight="1">
      <c r="A53" s="65" t="s">
        <v>14</v>
      </c>
      <c r="B53" s="65" t="s">
        <v>15</v>
      </c>
      <c r="C53" s="65"/>
      <c r="D53" s="67">
        <v>17550.0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</row>
    <row r="54" ht="12.75" customHeight="1">
      <c r="A54" s="65" t="s">
        <v>14</v>
      </c>
      <c r="B54" s="65" t="s">
        <v>15</v>
      </c>
      <c r="C54" s="65"/>
      <c r="D54" s="67">
        <v>12379.5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</row>
    <row r="55" ht="12.75" customHeight="1">
      <c r="A55" s="65" t="s">
        <v>14</v>
      </c>
      <c r="B55" s="65" t="s">
        <v>15</v>
      </c>
      <c r="C55" s="65"/>
      <c r="D55" s="67">
        <v>9621.0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</row>
    <row r="56" ht="12.75" customHeight="1">
      <c r="A56" s="65" t="s">
        <v>14</v>
      </c>
      <c r="B56" s="65" t="s">
        <v>15</v>
      </c>
      <c r="C56" s="65"/>
      <c r="D56" s="67">
        <v>9171.0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 ht="12.75" customHeight="1">
      <c r="A57" s="65" t="s">
        <v>14</v>
      </c>
      <c r="B57" s="65" t="s">
        <v>15</v>
      </c>
      <c r="C57" s="65"/>
      <c r="D57" s="67">
        <v>6975.0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 ht="12.75" customHeight="1">
      <c r="A58" s="65" t="s">
        <v>14</v>
      </c>
      <c r="B58" s="65" t="s">
        <v>15</v>
      </c>
      <c r="C58" s="65"/>
      <c r="D58" s="67">
        <v>3600.0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ht="12.75" customHeight="1">
      <c r="A59" s="65" t="s">
        <v>14</v>
      </c>
      <c r="B59" s="65" t="s">
        <v>15</v>
      </c>
      <c r="C59" s="65"/>
      <c r="D59" s="67">
        <v>225.0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ht="12.75" customHeight="1">
      <c r="A60" s="65" t="s">
        <v>14</v>
      </c>
      <c r="B60" s="65" t="s">
        <v>15</v>
      </c>
      <c r="C60" s="65"/>
      <c r="D60" s="67">
        <v>0.0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 ht="12.75" customHeight="1">
      <c r="A61" s="65" t="s">
        <v>14</v>
      </c>
      <c r="B61" s="65" t="s">
        <v>15</v>
      </c>
      <c r="C61" s="65"/>
      <c r="D61" s="67">
        <v>1320066.0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 ht="12.75" customHeight="1">
      <c r="A62" s="65" t="s">
        <v>14</v>
      </c>
      <c r="B62" s="65" t="s">
        <v>15</v>
      </c>
      <c r="C62" s="65"/>
      <c r="D62" s="67">
        <v>718200.0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 ht="12.75" customHeight="1">
      <c r="A63" s="65" t="s">
        <v>14</v>
      </c>
      <c r="B63" s="65" t="s">
        <v>15</v>
      </c>
      <c r="C63" s="65"/>
      <c r="D63" s="67">
        <v>448875.0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 ht="12.75" customHeight="1">
      <c r="A64" s="65" t="s">
        <v>14</v>
      </c>
      <c r="B64" s="65" t="s">
        <v>15</v>
      </c>
      <c r="C64" s="65"/>
      <c r="D64" s="67">
        <v>340875.0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 ht="12.75" customHeight="1">
      <c r="A65" s="65" t="s">
        <v>14</v>
      </c>
      <c r="B65" s="65" t="s">
        <v>15</v>
      </c>
      <c r="C65" s="65"/>
      <c r="D65" s="67">
        <v>313312.5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ht="12.75" customHeight="1">
      <c r="A66" s="65" t="s">
        <v>14</v>
      </c>
      <c r="B66" s="65" t="s">
        <v>15</v>
      </c>
      <c r="C66" s="65"/>
      <c r="D66" s="67">
        <v>270000.0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 ht="12.75" customHeight="1">
      <c r="A67" s="65" t="s">
        <v>14</v>
      </c>
      <c r="B67" s="65" t="s">
        <v>15</v>
      </c>
      <c r="C67" s="65"/>
      <c r="D67" s="67">
        <v>270000.0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ht="12.75" customHeight="1">
      <c r="A68" s="65" t="s">
        <v>14</v>
      </c>
      <c r="B68" s="65" t="s">
        <v>15</v>
      </c>
      <c r="C68" s="65"/>
      <c r="D68" s="67">
        <v>247500.0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 ht="12.75" customHeight="1">
      <c r="A69" s="65" t="s">
        <v>14</v>
      </c>
      <c r="B69" s="65" t="s">
        <v>15</v>
      </c>
      <c r="C69" s="65"/>
      <c r="D69" s="67">
        <v>243423.0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ht="12.75" customHeight="1">
      <c r="A70" s="65" t="s">
        <v>14</v>
      </c>
      <c r="B70" s="65" t="s">
        <v>15</v>
      </c>
      <c r="C70" s="65"/>
      <c r="D70" s="67">
        <v>222300.0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 ht="12.75" customHeight="1">
      <c r="A71" s="65" t="s">
        <v>14</v>
      </c>
      <c r="B71" s="65" t="s">
        <v>15</v>
      </c>
      <c r="C71" s="65"/>
      <c r="D71" s="67">
        <v>208237.5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ht="12.75" customHeight="1">
      <c r="A72" s="65" t="s">
        <v>14</v>
      </c>
      <c r="B72" s="65" t="s">
        <v>15</v>
      </c>
      <c r="C72" s="65"/>
      <c r="D72" s="67">
        <v>202500.0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ht="12.75" customHeight="1">
      <c r="A73" s="65" t="s">
        <v>14</v>
      </c>
      <c r="B73" s="65" t="s">
        <v>15</v>
      </c>
      <c r="C73" s="65"/>
      <c r="D73" s="67">
        <v>195750.0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ht="12.75" customHeight="1">
      <c r="A74" s="65" t="s">
        <v>14</v>
      </c>
      <c r="B74" s="65" t="s">
        <v>15</v>
      </c>
      <c r="C74" s="65"/>
      <c r="D74" s="67">
        <v>187713.0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 ht="12.75" customHeight="1">
      <c r="A75" s="65" t="s">
        <v>14</v>
      </c>
      <c r="B75" s="65" t="s">
        <v>15</v>
      </c>
      <c r="C75" s="65"/>
      <c r="D75" s="67">
        <v>178393.5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ht="12.75" customHeight="1">
      <c r="A76" s="65" t="s">
        <v>14</v>
      </c>
      <c r="B76" s="65" t="s">
        <v>15</v>
      </c>
      <c r="C76" s="65"/>
      <c r="D76" s="67">
        <v>177390.0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 ht="12.75" customHeight="1">
      <c r="A77" s="65" t="s">
        <v>14</v>
      </c>
      <c r="B77" s="65" t="s">
        <v>15</v>
      </c>
      <c r="C77" s="65"/>
      <c r="D77" s="67">
        <v>170595.0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 ht="12.75" customHeight="1">
      <c r="A78" s="65" t="s">
        <v>14</v>
      </c>
      <c r="B78" s="65" t="s">
        <v>15</v>
      </c>
      <c r="C78" s="65"/>
      <c r="D78" s="67">
        <v>168750.0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 ht="12.75" customHeight="1">
      <c r="A79" s="65" t="s">
        <v>14</v>
      </c>
      <c r="B79" s="65" t="s">
        <v>15</v>
      </c>
      <c r="C79" s="65"/>
      <c r="D79" s="67">
        <v>168750.0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ht="12.75" customHeight="1">
      <c r="A80" s="65" t="s">
        <v>14</v>
      </c>
      <c r="B80" s="65" t="s">
        <v>15</v>
      </c>
      <c r="C80" s="65"/>
      <c r="D80" s="67">
        <v>103950.0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 ht="12.75" customHeight="1">
      <c r="A81" s="65" t="s">
        <v>14</v>
      </c>
      <c r="B81" s="65" t="s">
        <v>15</v>
      </c>
      <c r="C81" s="65"/>
      <c r="D81" s="67">
        <v>94500.0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ht="12.75" customHeight="1">
      <c r="A82" s="65" t="s">
        <v>14</v>
      </c>
      <c r="B82" s="65" t="s">
        <v>15</v>
      </c>
      <c r="C82" s="65"/>
      <c r="D82" s="67">
        <v>83700.0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 ht="12.75" customHeight="1">
      <c r="A83" s="65" t="s">
        <v>14</v>
      </c>
      <c r="B83" s="65" t="s">
        <v>15</v>
      </c>
      <c r="C83" s="65"/>
      <c r="D83" s="67">
        <v>21262.5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 ht="12.75" customHeight="1">
      <c r="A84" s="65" t="s">
        <v>14</v>
      </c>
      <c r="B84" s="65" t="s">
        <v>15</v>
      </c>
      <c r="C84" s="65"/>
      <c r="D84" s="67">
        <v>10800.0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 ht="12.75" customHeight="1">
      <c r="A85" s="65" t="s">
        <v>14</v>
      </c>
      <c r="B85" s="65" t="s">
        <v>15</v>
      </c>
      <c r="C85" s="65"/>
      <c r="D85" s="67">
        <v>0.0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 ht="12.75" customHeight="1">
      <c r="A86" s="65" t="s">
        <v>14</v>
      </c>
      <c r="B86" s="65" t="s">
        <v>15</v>
      </c>
      <c r="C86" s="65"/>
      <c r="D86" s="67">
        <v>154057.5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ht="12.75" customHeight="1">
      <c r="A87" s="65" t="s">
        <v>14</v>
      </c>
      <c r="B87" s="65" t="s">
        <v>15</v>
      </c>
      <c r="C87" s="65"/>
      <c r="D87" s="67">
        <v>127993.5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ht="12.75" customHeight="1">
      <c r="A88" s="65" t="s">
        <v>14</v>
      </c>
      <c r="B88" s="65" t="s">
        <v>15</v>
      </c>
      <c r="C88" s="65"/>
      <c r="D88" s="67">
        <v>111829.5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ht="12.75" customHeight="1">
      <c r="A89" s="65" t="s">
        <v>14</v>
      </c>
      <c r="B89" s="65" t="s">
        <v>15</v>
      </c>
      <c r="C89" s="65"/>
      <c r="D89" s="67">
        <v>101628.0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 ht="12.75" customHeight="1">
      <c r="A90" s="65" t="s">
        <v>14</v>
      </c>
      <c r="B90" s="65" t="s">
        <v>15</v>
      </c>
      <c r="C90" s="65"/>
      <c r="D90" s="67">
        <v>85275.0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ht="12.75" customHeight="1">
      <c r="A91" s="65" t="s">
        <v>14</v>
      </c>
      <c r="B91" s="65" t="s">
        <v>15</v>
      </c>
      <c r="C91" s="65"/>
      <c r="D91" s="67">
        <v>80388.0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ht="12.75" customHeight="1">
      <c r="A92" s="65" t="s">
        <v>14</v>
      </c>
      <c r="B92" s="65" t="s">
        <v>15</v>
      </c>
      <c r="C92" s="65"/>
      <c r="D92" s="67">
        <v>78993.0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ht="12.75" customHeight="1">
      <c r="A93" s="65" t="s">
        <v>14</v>
      </c>
      <c r="B93" s="65" t="s">
        <v>15</v>
      </c>
      <c r="C93" s="65"/>
      <c r="D93" s="67">
        <v>78678.0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 ht="12.75" customHeight="1">
      <c r="A94" s="65" t="s">
        <v>14</v>
      </c>
      <c r="B94" s="65" t="s">
        <v>15</v>
      </c>
      <c r="C94" s="65"/>
      <c r="D94" s="67">
        <v>78147.0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 ht="12.75" customHeight="1">
      <c r="A95" s="65" t="s">
        <v>14</v>
      </c>
      <c r="B95" s="65" t="s">
        <v>15</v>
      </c>
      <c r="C95" s="65"/>
      <c r="D95" s="67">
        <v>70663.5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ht="12.75" customHeight="1">
      <c r="A96" s="65" t="s">
        <v>14</v>
      </c>
      <c r="B96" s="65" t="s">
        <v>15</v>
      </c>
      <c r="C96" s="65"/>
      <c r="D96" s="67">
        <v>55579.5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 ht="12.75" customHeight="1">
      <c r="A97" s="65" t="s">
        <v>14</v>
      </c>
      <c r="B97" s="65" t="s">
        <v>15</v>
      </c>
      <c r="C97" s="65"/>
      <c r="D97" s="67">
        <v>54675.0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 ht="12.75" customHeight="1">
      <c r="A98" s="65" t="s">
        <v>14</v>
      </c>
      <c r="B98" s="65" t="s">
        <v>15</v>
      </c>
      <c r="C98" s="65"/>
      <c r="D98" s="67">
        <v>50170.5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 ht="12.75" customHeight="1">
      <c r="A99" s="65" t="s">
        <v>14</v>
      </c>
      <c r="B99" s="65" t="s">
        <v>15</v>
      </c>
      <c r="C99" s="65"/>
      <c r="D99" s="67">
        <v>49041.0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 ht="12.75" customHeight="1">
      <c r="A100" s="65" t="s">
        <v>14</v>
      </c>
      <c r="B100" s="65" t="s">
        <v>15</v>
      </c>
      <c r="C100" s="65"/>
      <c r="D100" s="67">
        <v>47655.0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 ht="12.75" customHeight="1">
      <c r="A101" s="65" t="s">
        <v>14</v>
      </c>
      <c r="B101" s="65" t="s">
        <v>15</v>
      </c>
      <c r="C101" s="65"/>
      <c r="D101" s="67">
        <v>45774.0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 ht="12.75" customHeight="1">
      <c r="A102" s="65" t="s">
        <v>14</v>
      </c>
      <c r="B102" s="65" t="s">
        <v>15</v>
      </c>
      <c r="C102" s="65"/>
      <c r="D102" s="67">
        <v>45184.5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 ht="12.75" customHeight="1">
      <c r="A103" s="65" t="s">
        <v>14</v>
      </c>
      <c r="B103" s="65" t="s">
        <v>15</v>
      </c>
      <c r="C103" s="65"/>
      <c r="D103" s="67">
        <v>43249.5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 ht="12.75" customHeight="1">
      <c r="A104" s="65" t="s">
        <v>14</v>
      </c>
      <c r="B104" s="65" t="s">
        <v>15</v>
      </c>
      <c r="C104" s="65"/>
      <c r="D104" s="67">
        <v>41962.5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 ht="12.75" customHeight="1">
      <c r="A105" s="65" t="s">
        <v>14</v>
      </c>
      <c r="B105" s="65" t="s">
        <v>15</v>
      </c>
      <c r="C105" s="65"/>
      <c r="D105" s="67">
        <v>41485.5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 ht="12.75" customHeight="1">
      <c r="A106" s="65" t="s">
        <v>14</v>
      </c>
      <c r="B106" s="65" t="s">
        <v>15</v>
      </c>
      <c r="C106" s="65"/>
      <c r="D106" s="67">
        <v>40716.0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 ht="12.75" customHeight="1">
      <c r="A107" s="65" t="s">
        <v>14</v>
      </c>
      <c r="B107" s="65" t="s">
        <v>15</v>
      </c>
      <c r="C107" s="65"/>
      <c r="D107" s="67">
        <v>40000.5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ht="12.75" customHeight="1">
      <c r="A108" s="65" t="s">
        <v>14</v>
      </c>
      <c r="B108" s="65" t="s">
        <v>15</v>
      </c>
      <c r="C108" s="65"/>
      <c r="D108" s="67">
        <v>39987.0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ht="12.75" customHeight="1">
      <c r="A109" s="65" t="s">
        <v>14</v>
      </c>
      <c r="B109" s="65" t="s">
        <v>15</v>
      </c>
      <c r="C109" s="65"/>
      <c r="D109" s="67">
        <v>38493.0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ht="12.75" customHeight="1">
      <c r="A110" s="65" t="s">
        <v>14</v>
      </c>
      <c r="B110" s="65" t="s">
        <v>15</v>
      </c>
      <c r="C110" s="65"/>
      <c r="D110" s="67">
        <v>37269.0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 ht="12.75" customHeight="1">
      <c r="A111" s="65" t="s">
        <v>14</v>
      </c>
      <c r="B111" s="65" t="s">
        <v>15</v>
      </c>
      <c r="C111" s="65"/>
      <c r="D111" s="67">
        <v>36895.5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 ht="12.75" customHeight="1">
      <c r="A112" s="65" t="s">
        <v>14</v>
      </c>
      <c r="B112" s="65" t="s">
        <v>15</v>
      </c>
      <c r="C112" s="65"/>
      <c r="D112" s="67">
        <v>36733.5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 ht="12.75" customHeight="1">
      <c r="A113" s="65" t="s">
        <v>14</v>
      </c>
      <c r="B113" s="65" t="s">
        <v>15</v>
      </c>
      <c r="C113" s="65"/>
      <c r="D113" s="67">
        <v>34654.5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 ht="12.75" customHeight="1">
      <c r="A114" s="65" t="s">
        <v>14</v>
      </c>
      <c r="B114" s="65" t="s">
        <v>15</v>
      </c>
      <c r="C114" s="65"/>
      <c r="D114" s="67">
        <v>34047.0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 ht="12.75" customHeight="1">
      <c r="A115" s="65" t="s">
        <v>14</v>
      </c>
      <c r="B115" s="65" t="s">
        <v>15</v>
      </c>
      <c r="C115" s="65"/>
      <c r="D115" s="67">
        <v>33979.5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 ht="12.75" customHeight="1">
      <c r="A116" s="65" t="s">
        <v>14</v>
      </c>
      <c r="B116" s="65" t="s">
        <v>15</v>
      </c>
      <c r="C116" s="65"/>
      <c r="D116" s="67">
        <v>32778.0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 ht="12.75" customHeight="1">
      <c r="A117" s="65" t="s">
        <v>14</v>
      </c>
      <c r="B117" s="65" t="s">
        <v>15</v>
      </c>
      <c r="C117" s="65"/>
      <c r="D117" s="67">
        <v>32103.0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 ht="12.75" customHeight="1">
      <c r="A118" s="65" t="s">
        <v>14</v>
      </c>
      <c r="B118" s="65" t="s">
        <v>15</v>
      </c>
      <c r="C118" s="65"/>
      <c r="D118" s="67">
        <v>31662.0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 ht="12.75" customHeight="1">
      <c r="A119" s="65" t="s">
        <v>14</v>
      </c>
      <c r="B119" s="65" t="s">
        <v>15</v>
      </c>
      <c r="C119" s="65"/>
      <c r="D119" s="67">
        <v>31639.5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ht="12.75" customHeight="1">
      <c r="A120" s="65" t="s">
        <v>14</v>
      </c>
      <c r="B120" s="65" t="s">
        <v>15</v>
      </c>
      <c r="C120" s="65"/>
      <c r="D120" s="67">
        <v>30784.5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 ht="12.75" customHeight="1">
      <c r="A121" s="65" t="s">
        <v>14</v>
      </c>
      <c r="B121" s="65" t="s">
        <v>15</v>
      </c>
      <c r="C121" s="65"/>
      <c r="D121" s="67">
        <v>30699.0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 ht="12.75" customHeight="1">
      <c r="A122" s="65" t="s">
        <v>14</v>
      </c>
      <c r="B122" s="65" t="s">
        <v>15</v>
      </c>
      <c r="C122" s="65"/>
      <c r="D122" s="67">
        <v>30694.5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 ht="12.75" customHeight="1">
      <c r="A123" s="65" t="s">
        <v>14</v>
      </c>
      <c r="B123" s="65" t="s">
        <v>15</v>
      </c>
      <c r="C123" s="65"/>
      <c r="D123" s="67">
        <v>30316.5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 ht="12.75" customHeight="1">
      <c r="A124" s="65" t="s">
        <v>14</v>
      </c>
      <c r="B124" s="65" t="s">
        <v>15</v>
      </c>
      <c r="C124" s="65"/>
      <c r="D124" s="67">
        <v>30249.0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 ht="12.75" customHeight="1">
      <c r="A125" s="65" t="s">
        <v>14</v>
      </c>
      <c r="B125" s="65" t="s">
        <v>15</v>
      </c>
      <c r="C125" s="65"/>
      <c r="D125" s="67">
        <v>30010.5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 ht="12.75" customHeight="1">
      <c r="A126" s="65" t="s">
        <v>14</v>
      </c>
      <c r="B126" s="65" t="s">
        <v>15</v>
      </c>
      <c r="C126" s="65"/>
      <c r="D126" s="67">
        <v>29376.0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 ht="12.75" customHeight="1">
      <c r="A127" s="65" t="s">
        <v>14</v>
      </c>
      <c r="B127" s="65" t="s">
        <v>15</v>
      </c>
      <c r="C127" s="65"/>
      <c r="D127" s="67">
        <v>28921.5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 ht="12.75" customHeight="1">
      <c r="A128" s="65" t="s">
        <v>14</v>
      </c>
      <c r="B128" s="65" t="s">
        <v>15</v>
      </c>
      <c r="C128" s="65"/>
      <c r="D128" s="67">
        <v>27900.0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 ht="12.75" customHeight="1">
      <c r="A129" s="65" t="s">
        <v>14</v>
      </c>
      <c r="B129" s="65" t="s">
        <v>15</v>
      </c>
      <c r="C129" s="65"/>
      <c r="D129" s="67">
        <v>26370.0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 ht="12.75" customHeight="1">
      <c r="A130" s="65" t="s">
        <v>14</v>
      </c>
      <c r="B130" s="65" t="s">
        <v>15</v>
      </c>
      <c r="C130" s="65"/>
      <c r="D130" s="67">
        <v>25650.0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 ht="12.75" customHeight="1">
      <c r="A131" s="65" t="s">
        <v>14</v>
      </c>
      <c r="B131" s="65" t="s">
        <v>15</v>
      </c>
      <c r="C131" s="65"/>
      <c r="D131" s="67">
        <v>25645.5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 ht="12.75" customHeight="1">
      <c r="A132" s="65" t="s">
        <v>14</v>
      </c>
      <c r="B132" s="65" t="s">
        <v>15</v>
      </c>
      <c r="C132" s="65"/>
      <c r="D132" s="67">
        <v>25564.5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 ht="12.75" customHeight="1">
      <c r="A133" s="65" t="s">
        <v>14</v>
      </c>
      <c r="B133" s="65" t="s">
        <v>15</v>
      </c>
      <c r="C133" s="65"/>
      <c r="D133" s="67">
        <v>25447.5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 ht="12.75" customHeight="1">
      <c r="A134" s="65" t="s">
        <v>14</v>
      </c>
      <c r="B134" s="65" t="s">
        <v>15</v>
      </c>
      <c r="C134" s="65"/>
      <c r="D134" s="67">
        <v>25258.5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 ht="12.75" customHeight="1">
      <c r="A135" s="65" t="s">
        <v>14</v>
      </c>
      <c r="B135" s="65" t="s">
        <v>15</v>
      </c>
      <c r="C135" s="65"/>
      <c r="D135" s="67">
        <v>25186.5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 ht="12.75" customHeight="1">
      <c r="A136" s="65" t="s">
        <v>14</v>
      </c>
      <c r="B136" s="65" t="s">
        <v>15</v>
      </c>
      <c r="C136" s="65"/>
      <c r="D136" s="67">
        <v>24966.0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 ht="12.75" customHeight="1">
      <c r="A137" s="65" t="s">
        <v>14</v>
      </c>
      <c r="B137" s="65" t="s">
        <v>15</v>
      </c>
      <c r="C137" s="65"/>
      <c r="D137" s="67">
        <v>24885.0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 ht="12.75" customHeight="1">
      <c r="A138" s="65" t="s">
        <v>14</v>
      </c>
      <c r="B138" s="65" t="s">
        <v>15</v>
      </c>
      <c r="C138" s="65"/>
      <c r="D138" s="67">
        <v>24700.5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 ht="12.75" customHeight="1">
      <c r="A139" s="65" t="s">
        <v>14</v>
      </c>
      <c r="B139" s="65" t="s">
        <v>15</v>
      </c>
      <c r="C139" s="65"/>
      <c r="D139" s="67">
        <v>24457.5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 ht="12.75" customHeight="1">
      <c r="A140" s="65" t="s">
        <v>14</v>
      </c>
      <c r="B140" s="65" t="s">
        <v>15</v>
      </c>
      <c r="C140" s="65"/>
      <c r="D140" s="67">
        <v>24250.5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 ht="12.75" customHeight="1">
      <c r="A141" s="65" t="s">
        <v>14</v>
      </c>
      <c r="B141" s="65" t="s">
        <v>15</v>
      </c>
      <c r="C141" s="65"/>
      <c r="D141" s="67">
        <v>23827.5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 ht="12.75" customHeight="1">
      <c r="A142" s="65" t="s">
        <v>14</v>
      </c>
      <c r="B142" s="65" t="s">
        <v>15</v>
      </c>
      <c r="C142" s="65"/>
      <c r="D142" s="67">
        <v>23773.5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 ht="12.75" customHeight="1">
      <c r="A143" s="65" t="s">
        <v>14</v>
      </c>
      <c r="B143" s="65" t="s">
        <v>15</v>
      </c>
      <c r="C143" s="65"/>
      <c r="D143" s="67">
        <v>23724.0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 ht="12.75" customHeight="1">
      <c r="A144" s="65" t="s">
        <v>14</v>
      </c>
      <c r="B144" s="65" t="s">
        <v>15</v>
      </c>
      <c r="C144" s="65"/>
      <c r="D144" s="67">
        <v>22945.5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 ht="12.75" customHeight="1">
      <c r="A145" s="65" t="s">
        <v>14</v>
      </c>
      <c r="B145" s="65" t="s">
        <v>15</v>
      </c>
      <c r="C145" s="65"/>
      <c r="D145" s="67">
        <v>22914.0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 ht="12.75" customHeight="1">
      <c r="A146" s="65" t="s">
        <v>14</v>
      </c>
      <c r="B146" s="65" t="s">
        <v>15</v>
      </c>
      <c r="C146" s="65"/>
      <c r="D146" s="67">
        <v>22833.0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 ht="12.75" customHeight="1">
      <c r="A147" s="65" t="s">
        <v>14</v>
      </c>
      <c r="B147" s="65" t="s">
        <v>15</v>
      </c>
      <c r="C147" s="65"/>
      <c r="D147" s="67">
        <v>22540.5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 ht="12.75" customHeight="1">
      <c r="A148" s="65" t="s">
        <v>14</v>
      </c>
      <c r="B148" s="65" t="s">
        <v>15</v>
      </c>
      <c r="C148" s="65"/>
      <c r="D148" s="67">
        <v>22351.5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 ht="12.75" customHeight="1">
      <c r="A149" s="65" t="s">
        <v>14</v>
      </c>
      <c r="B149" s="65" t="s">
        <v>15</v>
      </c>
      <c r="C149" s="65"/>
      <c r="D149" s="67">
        <v>21753.0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 ht="12.75" customHeight="1">
      <c r="A150" s="65" t="s">
        <v>14</v>
      </c>
      <c r="B150" s="65" t="s">
        <v>15</v>
      </c>
      <c r="C150" s="65"/>
      <c r="D150" s="67">
        <v>21604.5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 ht="12.75" customHeight="1">
      <c r="A151" s="65" t="s">
        <v>14</v>
      </c>
      <c r="B151" s="65" t="s">
        <v>15</v>
      </c>
      <c r="C151" s="65"/>
      <c r="D151" s="67">
        <v>21541.5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 ht="12.75" customHeight="1">
      <c r="A152" s="65" t="s">
        <v>14</v>
      </c>
      <c r="B152" s="65" t="s">
        <v>15</v>
      </c>
      <c r="C152" s="65"/>
      <c r="D152" s="67">
        <v>21528.0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 ht="12.75" customHeight="1">
      <c r="A153" s="65" t="s">
        <v>14</v>
      </c>
      <c r="B153" s="65" t="s">
        <v>15</v>
      </c>
      <c r="C153" s="65"/>
      <c r="D153" s="67">
        <v>21411.0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 ht="12.75" customHeight="1">
      <c r="A154" s="65" t="s">
        <v>14</v>
      </c>
      <c r="B154" s="65" t="s">
        <v>15</v>
      </c>
      <c r="C154" s="65"/>
      <c r="D154" s="67">
        <v>21325.5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 ht="12.75" customHeight="1">
      <c r="A155" s="65" t="s">
        <v>14</v>
      </c>
      <c r="B155" s="65" t="s">
        <v>15</v>
      </c>
      <c r="C155" s="65"/>
      <c r="D155" s="67">
        <v>21037.5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 ht="12.75" customHeight="1">
      <c r="A156" s="65" t="s">
        <v>14</v>
      </c>
      <c r="B156" s="65" t="s">
        <v>15</v>
      </c>
      <c r="C156" s="65"/>
      <c r="D156" s="67">
        <v>20839.5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 ht="12.75" customHeight="1">
      <c r="A157" s="65" t="s">
        <v>14</v>
      </c>
      <c r="B157" s="65" t="s">
        <v>15</v>
      </c>
      <c r="C157" s="65"/>
      <c r="D157" s="67">
        <v>20704.5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 ht="12.75" customHeight="1">
      <c r="A158" s="65" t="s">
        <v>14</v>
      </c>
      <c r="B158" s="65" t="s">
        <v>15</v>
      </c>
      <c r="C158" s="65"/>
      <c r="D158" s="67">
        <v>20619.0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 ht="12.75" customHeight="1">
      <c r="A159" s="65" t="s">
        <v>14</v>
      </c>
      <c r="B159" s="65" t="s">
        <v>15</v>
      </c>
      <c r="C159" s="65"/>
      <c r="D159" s="67">
        <v>20335.5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 ht="12.75" customHeight="1">
      <c r="A160" s="65" t="s">
        <v>14</v>
      </c>
      <c r="B160" s="65" t="s">
        <v>15</v>
      </c>
      <c r="C160" s="65"/>
      <c r="D160" s="67">
        <v>20083.5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 ht="12.75" customHeight="1">
      <c r="A161" s="65" t="s">
        <v>14</v>
      </c>
      <c r="B161" s="65" t="s">
        <v>15</v>
      </c>
      <c r="C161" s="65"/>
      <c r="D161" s="67">
        <v>19966.5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 ht="12.75" customHeight="1">
      <c r="A162" s="65" t="s">
        <v>14</v>
      </c>
      <c r="B162" s="65" t="s">
        <v>15</v>
      </c>
      <c r="C162" s="65"/>
      <c r="D162" s="67">
        <v>19818.0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 ht="12.75" customHeight="1">
      <c r="A163" s="65" t="s">
        <v>14</v>
      </c>
      <c r="B163" s="65" t="s">
        <v>15</v>
      </c>
      <c r="C163" s="65"/>
      <c r="D163" s="67">
        <v>19782.0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 ht="12.75" customHeight="1">
      <c r="A164" s="65" t="s">
        <v>14</v>
      </c>
      <c r="B164" s="65" t="s">
        <v>15</v>
      </c>
      <c r="C164" s="65"/>
      <c r="D164" s="67">
        <v>19435.5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 ht="12.75" customHeight="1">
      <c r="A165" s="65" t="s">
        <v>14</v>
      </c>
      <c r="B165" s="65" t="s">
        <v>15</v>
      </c>
      <c r="C165" s="65"/>
      <c r="D165" s="67">
        <v>19048.5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 ht="12.75" customHeight="1">
      <c r="A166" s="65" t="s">
        <v>14</v>
      </c>
      <c r="B166" s="65" t="s">
        <v>15</v>
      </c>
      <c r="C166" s="65"/>
      <c r="D166" s="67">
        <v>19039.5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 ht="12.75" customHeight="1">
      <c r="A167" s="65" t="s">
        <v>14</v>
      </c>
      <c r="B167" s="65" t="s">
        <v>15</v>
      </c>
      <c r="C167" s="65"/>
      <c r="D167" s="67">
        <v>19026.0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ht="12.75" customHeight="1">
      <c r="A168" s="65" t="s">
        <v>14</v>
      </c>
      <c r="B168" s="65" t="s">
        <v>15</v>
      </c>
      <c r="C168" s="65"/>
      <c r="D168" s="67">
        <v>18918.0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ht="12.75" customHeight="1">
      <c r="A169" s="65" t="s">
        <v>14</v>
      </c>
      <c r="B169" s="65" t="s">
        <v>15</v>
      </c>
      <c r="C169" s="65"/>
      <c r="D169" s="67">
        <v>18810.0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 ht="12.75" customHeight="1">
      <c r="A170" s="65" t="s">
        <v>14</v>
      </c>
      <c r="B170" s="65" t="s">
        <v>15</v>
      </c>
      <c r="C170" s="65"/>
      <c r="D170" s="67">
        <v>18774.0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 ht="12.75" customHeight="1">
      <c r="A171" s="65" t="s">
        <v>14</v>
      </c>
      <c r="B171" s="65" t="s">
        <v>15</v>
      </c>
      <c r="C171" s="65"/>
      <c r="D171" s="67">
        <v>18027.0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 ht="12.75" customHeight="1">
      <c r="A172" s="65" t="s">
        <v>14</v>
      </c>
      <c r="B172" s="65" t="s">
        <v>15</v>
      </c>
      <c r="C172" s="65"/>
      <c r="D172" s="67">
        <v>17959.5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 ht="12.75" customHeight="1">
      <c r="A173" s="65" t="s">
        <v>14</v>
      </c>
      <c r="B173" s="65" t="s">
        <v>15</v>
      </c>
      <c r="C173" s="65"/>
      <c r="D173" s="67">
        <v>17923.5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 ht="12.75" customHeight="1">
      <c r="A174" s="65" t="s">
        <v>14</v>
      </c>
      <c r="B174" s="65" t="s">
        <v>15</v>
      </c>
      <c r="C174" s="65"/>
      <c r="D174" s="67">
        <v>17874.0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 ht="12.75" customHeight="1">
      <c r="A175" s="65" t="s">
        <v>14</v>
      </c>
      <c r="B175" s="65" t="s">
        <v>15</v>
      </c>
      <c r="C175" s="65"/>
      <c r="D175" s="67">
        <v>17770.5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 ht="12.75" customHeight="1">
      <c r="A176" s="65" t="s">
        <v>14</v>
      </c>
      <c r="B176" s="65" t="s">
        <v>15</v>
      </c>
      <c r="C176" s="65"/>
      <c r="D176" s="67">
        <v>17640.0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 ht="12.75" customHeight="1">
      <c r="A177" s="65" t="s">
        <v>14</v>
      </c>
      <c r="B177" s="65" t="s">
        <v>15</v>
      </c>
      <c r="C177" s="65"/>
      <c r="D177" s="67">
        <v>17379.0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 ht="12.75" customHeight="1">
      <c r="A178" s="65" t="s">
        <v>14</v>
      </c>
      <c r="B178" s="65" t="s">
        <v>15</v>
      </c>
      <c r="C178" s="65"/>
      <c r="D178" s="67">
        <v>17356.5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 ht="12.75" customHeight="1">
      <c r="A179" s="65" t="s">
        <v>14</v>
      </c>
      <c r="B179" s="65" t="s">
        <v>15</v>
      </c>
      <c r="C179" s="65"/>
      <c r="D179" s="67">
        <v>17127.0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ht="12.75" customHeight="1">
      <c r="A180" s="65" t="s">
        <v>14</v>
      </c>
      <c r="B180" s="65" t="s">
        <v>15</v>
      </c>
      <c r="C180" s="65"/>
      <c r="D180" s="67">
        <v>16924.5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 ht="12.75" customHeight="1">
      <c r="A181" s="65" t="s">
        <v>14</v>
      </c>
      <c r="B181" s="65" t="s">
        <v>15</v>
      </c>
      <c r="C181" s="65"/>
      <c r="D181" s="67">
        <v>16915.5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 ht="12.75" customHeight="1">
      <c r="A182" s="65" t="s">
        <v>14</v>
      </c>
      <c r="B182" s="65" t="s">
        <v>15</v>
      </c>
      <c r="C182" s="65"/>
      <c r="D182" s="67">
        <v>16744.5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 ht="12.75" customHeight="1">
      <c r="A183" s="65" t="s">
        <v>14</v>
      </c>
      <c r="B183" s="65" t="s">
        <v>15</v>
      </c>
      <c r="C183" s="65"/>
      <c r="D183" s="67">
        <v>16272.0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 ht="12.75" customHeight="1">
      <c r="A184" s="65" t="s">
        <v>14</v>
      </c>
      <c r="B184" s="65" t="s">
        <v>15</v>
      </c>
      <c r="C184" s="65"/>
      <c r="D184" s="67">
        <v>15858.0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 ht="12.75" customHeight="1">
      <c r="A185" s="65" t="s">
        <v>14</v>
      </c>
      <c r="B185" s="65" t="s">
        <v>15</v>
      </c>
      <c r="C185" s="65"/>
      <c r="D185" s="67">
        <v>15520.5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 ht="12.75" customHeight="1">
      <c r="A186" s="65" t="s">
        <v>14</v>
      </c>
      <c r="B186" s="65" t="s">
        <v>15</v>
      </c>
      <c r="C186" s="65"/>
      <c r="D186" s="67">
        <v>15493.5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 ht="12.75" customHeight="1">
      <c r="A187" s="65" t="s">
        <v>14</v>
      </c>
      <c r="B187" s="65" t="s">
        <v>15</v>
      </c>
      <c r="C187" s="65"/>
      <c r="D187" s="67">
        <v>14746.5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 ht="12.75" customHeight="1">
      <c r="A188" s="65" t="s">
        <v>14</v>
      </c>
      <c r="B188" s="65" t="s">
        <v>15</v>
      </c>
      <c r="C188" s="65"/>
      <c r="D188" s="67">
        <v>14517.0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 ht="12.75" customHeight="1">
      <c r="A189" s="65" t="s">
        <v>14</v>
      </c>
      <c r="B189" s="65" t="s">
        <v>15</v>
      </c>
      <c r="C189" s="65"/>
      <c r="D189" s="67">
        <v>14274.0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  <row r="190" ht="12.75" customHeight="1">
      <c r="A190" s="65" t="s">
        <v>14</v>
      </c>
      <c r="B190" s="65" t="s">
        <v>15</v>
      </c>
      <c r="C190" s="65"/>
      <c r="D190" s="67">
        <v>14139.0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</row>
    <row r="191" ht="12.75" customHeight="1">
      <c r="A191" s="65" t="s">
        <v>14</v>
      </c>
      <c r="B191" s="65" t="s">
        <v>15</v>
      </c>
      <c r="C191" s="65"/>
      <c r="D191" s="67">
        <v>14107.5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</row>
    <row r="192" ht="12.75" customHeight="1">
      <c r="A192" s="65" t="s">
        <v>14</v>
      </c>
      <c r="B192" s="65" t="s">
        <v>15</v>
      </c>
      <c r="C192" s="65"/>
      <c r="D192" s="67">
        <v>14085.0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</row>
    <row r="193" ht="12.75" customHeight="1">
      <c r="A193" s="65" t="s">
        <v>14</v>
      </c>
      <c r="B193" s="65" t="s">
        <v>15</v>
      </c>
      <c r="C193" s="65"/>
      <c r="D193" s="67">
        <v>13828.5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</row>
    <row r="194" ht="12.75" customHeight="1">
      <c r="A194" s="65" t="s">
        <v>14</v>
      </c>
      <c r="B194" s="65" t="s">
        <v>15</v>
      </c>
      <c r="C194" s="65"/>
      <c r="D194" s="67">
        <v>13765.5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</row>
    <row r="195" ht="12.75" customHeight="1">
      <c r="A195" s="65" t="s">
        <v>14</v>
      </c>
      <c r="B195" s="65" t="s">
        <v>15</v>
      </c>
      <c r="C195" s="65"/>
      <c r="D195" s="67">
        <v>13158.0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</row>
    <row r="196" ht="12.75" customHeight="1">
      <c r="A196" s="65" t="s">
        <v>14</v>
      </c>
      <c r="B196" s="65" t="s">
        <v>15</v>
      </c>
      <c r="C196" s="65"/>
      <c r="D196" s="67">
        <v>13144.5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</row>
    <row r="197" ht="12.75" customHeight="1">
      <c r="A197" s="65" t="s">
        <v>14</v>
      </c>
      <c r="B197" s="65" t="s">
        <v>15</v>
      </c>
      <c r="C197" s="65"/>
      <c r="D197" s="67">
        <v>12973.5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</row>
    <row r="198" ht="12.75" customHeight="1">
      <c r="A198" s="65" t="s">
        <v>14</v>
      </c>
      <c r="B198" s="65" t="s">
        <v>15</v>
      </c>
      <c r="C198" s="65"/>
      <c r="D198" s="67">
        <v>12708.0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</row>
    <row r="199" ht="12.75" customHeight="1">
      <c r="A199" s="65" t="s">
        <v>14</v>
      </c>
      <c r="B199" s="65" t="s">
        <v>15</v>
      </c>
      <c r="C199" s="65"/>
      <c r="D199" s="67">
        <v>12325.5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</row>
    <row r="200" ht="12.75" customHeight="1">
      <c r="A200" s="65" t="s">
        <v>14</v>
      </c>
      <c r="B200" s="65" t="s">
        <v>15</v>
      </c>
      <c r="C200" s="65"/>
      <c r="D200" s="67">
        <v>12271.5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</row>
    <row r="201" ht="12.75" customHeight="1">
      <c r="A201" s="65" t="s">
        <v>14</v>
      </c>
      <c r="B201" s="65" t="s">
        <v>15</v>
      </c>
      <c r="C201" s="65"/>
      <c r="D201" s="67">
        <v>12150.0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</row>
    <row r="202" ht="12.75" customHeight="1">
      <c r="A202" s="65" t="s">
        <v>14</v>
      </c>
      <c r="B202" s="65" t="s">
        <v>15</v>
      </c>
      <c r="C202" s="65"/>
      <c r="D202" s="67">
        <v>12069.0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</row>
    <row r="203" ht="12.75" customHeight="1">
      <c r="A203" s="65" t="s">
        <v>14</v>
      </c>
      <c r="B203" s="65" t="s">
        <v>15</v>
      </c>
      <c r="C203" s="65"/>
      <c r="D203" s="67">
        <v>11902.5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</row>
    <row r="204" ht="12.75" customHeight="1">
      <c r="A204" s="65" t="s">
        <v>14</v>
      </c>
      <c r="B204" s="65" t="s">
        <v>15</v>
      </c>
      <c r="C204" s="65"/>
      <c r="D204" s="67">
        <v>11853.0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</row>
    <row r="205" ht="12.75" customHeight="1">
      <c r="A205" s="65" t="s">
        <v>14</v>
      </c>
      <c r="B205" s="65" t="s">
        <v>15</v>
      </c>
      <c r="C205" s="65"/>
      <c r="D205" s="67">
        <v>11790.0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</row>
    <row r="206" ht="12.75" customHeight="1">
      <c r="A206" s="65" t="s">
        <v>14</v>
      </c>
      <c r="B206" s="65" t="s">
        <v>15</v>
      </c>
      <c r="C206" s="65"/>
      <c r="D206" s="67">
        <v>11578.5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</row>
    <row r="207" ht="12.75" customHeight="1">
      <c r="A207" s="65" t="s">
        <v>14</v>
      </c>
      <c r="B207" s="65" t="s">
        <v>15</v>
      </c>
      <c r="C207" s="65"/>
      <c r="D207" s="67">
        <v>11551.5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</row>
    <row r="208" ht="12.75" customHeight="1">
      <c r="A208" s="65" t="s">
        <v>14</v>
      </c>
      <c r="B208" s="65" t="s">
        <v>15</v>
      </c>
      <c r="C208" s="65"/>
      <c r="D208" s="67">
        <v>11407.5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</row>
    <row r="209" ht="12.75" customHeight="1">
      <c r="A209" s="65" t="s">
        <v>14</v>
      </c>
      <c r="B209" s="65" t="s">
        <v>15</v>
      </c>
      <c r="C209" s="65"/>
      <c r="D209" s="67">
        <v>11290.5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</row>
    <row r="210" ht="12.75" customHeight="1">
      <c r="A210" s="65" t="s">
        <v>14</v>
      </c>
      <c r="B210" s="65" t="s">
        <v>15</v>
      </c>
      <c r="C210" s="65"/>
      <c r="D210" s="67">
        <v>11259.0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</row>
    <row r="211" ht="12.75" customHeight="1">
      <c r="A211" s="65" t="s">
        <v>14</v>
      </c>
      <c r="B211" s="65" t="s">
        <v>15</v>
      </c>
      <c r="C211" s="65"/>
      <c r="D211" s="67">
        <v>11101.5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</row>
    <row r="212" ht="12.75" customHeight="1">
      <c r="A212" s="65" t="s">
        <v>14</v>
      </c>
      <c r="B212" s="65" t="s">
        <v>15</v>
      </c>
      <c r="C212" s="65"/>
      <c r="D212" s="67">
        <v>10975.5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</row>
    <row r="213" ht="12.75" customHeight="1">
      <c r="A213" s="65" t="s">
        <v>14</v>
      </c>
      <c r="B213" s="65" t="s">
        <v>15</v>
      </c>
      <c r="C213" s="65"/>
      <c r="D213" s="67">
        <v>10854.0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</row>
    <row r="214" ht="12.75" customHeight="1">
      <c r="A214" s="65" t="s">
        <v>14</v>
      </c>
      <c r="B214" s="65" t="s">
        <v>15</v>
      </c>
      <c r="C214" s="65"/>
      <c r="D214" s="67">
        <v>10656.0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</row>
    <row r="215" ht="12.75" customHeight="1">
      <c r="A215" s="65" t="s">
        <v>14</v>
      </c>
      <c r="B215" s="65" t="s">
        <v>15</v>
      </c>
      <c r="C215" s="65"/>
      <c r="D215" s="67">
        <v>10480.5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</row>
    <row r="216" ht="12.75" customHeight="1">
      <c r="A216" s="65" t="s">
        <v>14</v>
      </c>
      <c r="B216" s="65" t="s">
        <v>15</v>
      </c>
      <c r="C216" s="65"/>
      <c r="D216" s="67">
        <v>10282.5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</row>
    <row r="217" ht="12.75" customHeight="1">
      <c r="A217" s="65" t="s">
        <v>14</v>
      </c>
      <c r="B217" s="65" t="s">
        <v>15</v>
      </c>
      <c r="C217" s="65"/>
      <c r="D217" s="67">
        <v>10179.0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</row>
    <row r="218" ht="12.75" customHeight="1">
      <c r="A218" s="65" t="s">
        <v>14</v>
      </c>
      <c r="B218" s="65" t="s">
        <v>15</v>
      </c>
      <c r="C218" s="65"/>
      <c r="D218" s="67">
        <v>10102.5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</row>
    <row r="219" ht="12.75" customHeight="1">
      <c r="A219" s="65" t="s">
        <v>14</v>
      </c>
      <c r="B219" s="65" t="s">
        <v>15</v>
      </c>
      <c r="C219" s="65"/>
      <c r="D219" s="67">
        <v>10098.0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</row>
    <row r="220" ht="12.75" customHeight="1">
      <c r="A220" s="65" t="s">
        <v>14</v>
      </c>
      <c r="B220" s="65" t="s">
        <v>15</v>
      </c>
      <c r="C220" s="65"/>
      <c r="D220" s="67">
        <v>10093.5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</row>
    <row r="221" ht="12.75" customHeight="1">
      <c r="A221" s="65" t="s">
        <v>14</v>
      </c>
      <c r="B221" s="65" t="s">
        <v>15</v>
      </c>
      <c r="C221" s="65"/>
      <c r="D221" s="67">
        <v>10012.5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</row>
    <row r="222" ht="12.75" customHeight="1">
      <c r="A222" s="65" t="s">
        <v>14</v>
      </c>
      <c r="B222" s="65" t="s">
        <v>15</v>
      </c>
      <c r="C222" s="65"/>
      <c r="D222" s="67">
        <v>9747.0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</row>
    <row r="223" ht="12.75" customHeight="1">
      <c r="A223" s="65" t="s">
        <v>14</v>
      </c>
      <c r="B223" s="65" t="s">
        <v>15</v>
      </c>
      <c r="C223" s="65"/>
      <c r="D223" s="67">
        <v>9319.5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</row>
    <row r="224" ht="12.75" customHeight="1">
      <c r="A224" s="65" t="s">
        <v>14</v>
      </c>
      <c r="B224" s="65" t="s">
        <v>15</v>
      </c>
      <c r="C224" s="65"/>
      <c r="D224" s="67">
        <v>9288.0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</row>
    <row r="225" ht="12.75" customHeight="1">
      <c r="A225" s="65" t="s">
        <v>14</v>
      </c>
      <c r="B225" s="65" t="s">
        <v>15</v>
      </c>
      <c r="C225" s="65"/>
      <c r="D225" s="67">
        <v>9265.5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</row>
    <row r="226" ht="12.75" customHeight="1">
      <c r="A226" s="65" t="s">
        <v>14</v>
      </c>
      <c r="B226" s="65" t="s">
        <v>15</v>
      </c>
      <c r="C226" s="65"/>
      <c r="D226" s="67">
        <v>9067.5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</row>
    <row r="227" ht="12.75" customHeight="1">
      <c r="A227" s="65" t="s">
        <v>14</v>
      </c>
      <c r="B227" s="65" t="s">
        <v>15</v>
      </c>
      <c r="C227" s="65"/>
      <c r="D227" s="67">
        <v>8883.0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</row>
    <row r="228" ht="12.75" customHeight="1">
      <c r="A228" s="65" t="s">
        <v>14</v>
      </c>
      <c r="B228" s="65" t="s">
        <v>15</v>
      </c>
      <c r="C228" s="65"/>
      <c r="D228" s="67">
        <v>8352.0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</row>
    <row r="229" ht="12.75" customHeight="1">
      <c r="A229" s="65" t="s">
        <v>14</v>
      </c>
      <c r="B229" s="65" t="s">
        <v>15</v>
      </c>
      <c r="C229" s="65"/>
      <c r="D229" s="67">
        <v>8284.5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</row>
    <row r="230" ht="12.75" customHeight="1">
      <c r="A230" s="65" t="s">
        <v>14</v>
      </c>
      <c r="B230" s="65" t="s">
        <v>15</v>
      </c>
      <c r="C230" s="65"/>
      <c r="D230" s="67">
        <v>8284.5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</row>
    <row r="231" ht="12.75" customHeight="1">
      <c r="A231" s="65" t="s">
        <v>14</v>
      </c>
      <c r="B231" s="65" t="s">
        <v>15</v>
      </c>
      <c r="C231" s="65"/>
      <c r="D231" s="67">
        <v>8154.0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</row>
    <row r="232" ht="12.75" customHeight="1">
      <c r="A232" s="65" t="s">
        <v>14</v>
      </c>
      <c r="B232" s="65" t="s">
        <v>15</v>
      </c>
      <c r="C232" s="65"/>
      <c r="D232" s="67">
        <v>7915.5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</row>
    <row r="233" ht="12.75" customHeight="1">
      <c r="A233" s="65" t="s">
        <v>14</v>
      </c>
      <c r="B233" s="65" t="s">
        <v>15</v>
      </c>
      <c r="C233" s="65"/>
      <c r="D233" s="67">
        <v>7866.0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</row>
    <row r="234" ht="12.75" customHeight="1">
      <c r="A234" s="65" t="s">
        <v>14</v>
      </c>
      <c r="B234" s="65" t="s">
        <v>15</v>
      </c>
      <c r="C234" s="65"/>
      <c r="D234" s="67">
        <v>7047.0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</row>
    <row r="235" ht="12.75" customHeight="1">
      <c r="A235" s="65" t="s">
        <v>14</v>
      </c>
      <c r="B235" s="65" t="s">
        <v>15</v>
      </c>
      <c r="C235" s="65"/>
      <c r="D235" s="67">
        <v>6637.5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</row>
    <row r="236" ht="12.75" customHeight="1">
      <c r="A236" s="65" t="s">
        <v>14</v>
      </c>
      <c r="B236" s="65" t="s">
        <v>15</v>
      </c>
      <c r="C236" s="65"/>
      <c r="D236" s="67">
        <v>6331.5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</row>
    <row r="237" ht="12.75" customHeight="1">
      <c r="A237" s="65" t="s">
        <v>14</v>
      </c>
      <c r="B237" s="65" t="s">
        <v>15</v>
      </c>
      <c r="C237" s="65"/>
      <c r="D237" s="67">
        <v>6007.5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</row>
    <row r="238" ht="12.75" customHeight="1">
      <c r="A238" s="65" t="s">
        <v>14</v>
      </c>
      <c r="B238" s="65" t="s">
        <v>15</v>
      </c>
      <c r="C238" s="65"/>
      <c r="D238" s="67">
        <v>5769.0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</row>
    <row r="239" ht="12.75" customHeight="1">
      <c r="A239" s="65" t="s">
        <v>14</v>
      </c>
      <c r="B239" s="65" t="s">
        <v>15</v>
      </c>
      <c r="C239" s="65"/>
      <c r="D239" s="67">
        <v>5193.0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</row>
    <row r="240" ht="12.75" customHeight="1">
      <c r="A240" s="65" t="s">
        <v>14</v>
      </c>
      <c r="B240" s="65" t="s">
        <v>15</v>
      </c>
      <c r="C240" s="65"/>
      <c r="D240" s="67">
        <v>4590.0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</row>
    <row r="241" ht="12.75" customHeight="1">
      <c r="A241" s="65" t="s">
        <v>14</v>
      </c>
      <c r="B241" s="65" t="s">
        <v>15</v>
      </c>
      <c r="C241" s="65"/>
      <c r="D241" s="67">
        <v>4446.0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</row>
    <row r="242" ht="12.75" customHeight="1">
      <c r="A242" s="65" t="s">
        <v>14</v>
      </c>
      <c r="B242" s="65" t="s">
        <v>15</v>
      </c>
      <c r="C242" s="65"/>
      <c r="D242" s="67">
        <v>4207.5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</row>
    <row r="243" ht="12.75" customHeight="1">
      <c r="A243" s="65" t="s">
        <v>14</v>
      </c>
      <c r="B243" s="65" t="s">
        <v>15</v>
      </c>
      <c r="C243" s="65"/>
      <c r="D243" s="67">
        <v>4140.0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</row>
    <row r="244" ht="12.75" customHeight="1">
      <c r="A244" s="65" t="s">
        <v>14</v>
      </c>
      <c r="B244" s="65" t="s">
        <v>15</v>
      </c>
      <c r="C244" s="65"/>
      <c r="D244" s="67">
        <v>4081.5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</row>
    <row r="245" ht="12.75" customHeight="1">
      <c r="A245" s="65" t="s">
        <v>14</v>
      </c>
      <c r="B245" s="65" t="s">
        <v>15</v>
      </c>
      <c r="C245" s="65"/>
      <c r="D245" s="67">
        <v>3933.0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</row>
    <row r="246" ht="12.75" customHeight="1">
      <c r="A246" s="65" t="s">
        <v>14</v>
      </c>
      <c r="B246" s="65" t="s">
        <v>15</v>
      </c>
      <c r="C246" s="65"/>
      <c r="D246" s="67">
        <v>3195.0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</row>
    <row r="247" ht="12.75" customHeight="1">
      <c r="A247" s="65" t="s">
        <v>14</v>
      </c>
      <c r="B247" s="65" t="s">
        <v>15</v>
      </c>
      <c r="C247" s="65"/>
      <c r="D247" s="67">
        <v>3150.0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</row>
    <row r="248" ht="12.75" customHeight="1">
      <c r="A248" s="65" t="s">
        <v>14</v>
      </c>
      <c r="B248" s="65" t="s">
        <v>15</v>
      </c>
      <c r="C248" s="65"/>
      <c r="D248" s="67">
        <v>2646.0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</row>
    <row r="249" ht="12.75" customHeight="1">
      <c r="A249" s="65" t="s">
        <v>14</v>
      </c>
      <c r="B249" s="65" t="s">
        <v>15</v>
      </c>
      <c r="C249" s="65"/>
      <c r="D249" s="67">
        <v>2047.5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</row>
    <row r="250" ht="12.75" customHeight="1">
      <c r="A250" s="65" t="s">
        <v>14</v>
      </c>
      <c r="B250" s="65" t="s">
        <v>15</v>
      </c>
      <c r="C250" s="65"/>
      <c r="D250" s="67">
        <v>1683.0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</row>
    <row r="251" ht="12.75" customHeight="1">
      <c r="A251" s="65" t="s">
        <v>14</v>
      </c>
      <c r="B251" s="65" t="s">
        <v>15</v>
      </c>
      <c r="C251" s="65"/>
      <c r="D251" s="67">
        <v>1503.0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</row>
    <row r="252" ht="12.75" customHeight="1">
      <c r="A252" s="65" t="s">
        <v>14</v>
      </c>
      <c r="B252" s="65" t="s">
        <v>15</v>
      </c>
      <c r="C252" s="65"/>
      <c r="D252" s="67">
        <v>0.0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</row>
    <row r="253" ht="12.75" customHeight="1">
      <c r="A253" s="65" t="s">
        <v>14</v>
      </c>
      <c r="B253" s="65" t="s">
        <v>15</v>
      </c>
      <c r="C253" s="65"/>
      <c r="D253" s="67">
        <v>214798.5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</row>
    <row r="254" ht="12.75" customHeight="1">
      <c r="A254" s="65" t="s">
        <v>14</v>
      </c>
      <c r="B254" s="65" t="s">
        <v>15</v>
      </c>
      <c r="C254" s="65"/>
      <c r="D254" s="67">
        <v>145647.0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</row>
    <row r="255" ht="12.75" customHeight="1">
      <c r="A255" s="65" t="s">
        <v>14</v>
      </c>
      <c r="B255" s="65" t="s">
        <v>15</v>
      </c>
      <c r="C255" s="65"/>
      <c r="D255" s="67">
        <v>142254.0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</row>
    <row r="256" ht="12.75" customHeight="1">
      <c r="A256" s="65" t="s">
        <v>14</v>
      </c>
      <c r="B256" s="65" t="s">
        <v>15</v>
      </c>
      <c r="C256" s="65"/>
      <c r="D256" s="67">
        <v>92812.5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</row>
    <row r="257" ht="12.75" customHeight="1">
      <c r="A257" s="65" t="s">
        <v>14</v>
      </c>
      <c r="B257" s="65" t="s">
        <v>15</v>
      </c>
      <c r="C257" s="65"/>
      <c r="D257" s="67">
        <v>78817.5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</row>
    <row r="258" ht="12.75" customHeight="1">
      <c r="A258" s="65" t="s">
        <v>14</v>
      </c>
      <c r="B258" s="65" t="s">
        <v>15</v>
      </c>
      <c r="C258" s="65"/>
      <c r="D258" s="67">
        <v>77661.0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</row>
    <row r="259" ht="12.75" customHeight="1">
      <c r="A259" s="65" t="s">
        <v>14</v>
      </c>
      <c r="B259" s="65" t="s">
        <v>15</v>
      </c>
      <c r="C259" s="65"/>
      <c r="D259" s="67">
        <v>73957.5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</row>
    <row r="260" ht="12.75" customHeight="1">
      <c r="A260" s="65" t="s">
        <v>14</v>
      </c>
      <c r="B260" s="65" t="s">
        <v>15</v>
      </c>
      <c r="C260" s="65"/>
      <c r="D260" s="67">
        <v>64260.0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</row>
    <row r="261" ht="12.75" customHeight="1">
      <c r="A261" s="65" t="s">
        <v>14</v>
      </c>
      <c r="B261" s="65" t="s">
        <v>15</v>
      </c>
      <c r="C261" s="65"/>
      <c r="D261" s="67">
        <v>57870.0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</row>
    <row r="262" ht="12.75" customHeight="1">
      <c r="A262" s="65" t="s">
        <v>14</v>
      </c>
      <c r="B262" s="65" t="s">
        <v>15</v>
      </c>
      <c r="C262" s="65"/>
      <c r="D262" s="67">
        <v>45882.0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</row>
    <row r="263" ht="12.75" customHeight="1">
      <c r="A263" s="65" t="s">
        <v>14</v>
      </c>
      <c r="B263" s="65" t="s">
        <v>15</v>
      </c>
      <c r="C263" s="65"/>
      <c r="D263" s="67">
        <v>45405.0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</row>
    <row r="264" ht="12.75" customHeight="1">
      <c r="A264" s="65" t="s">
        <v>14</v>
      </c>
      <c r="B264" s="65" t="s">
        <v>15</v>
      </c>
      <c r="C264" s="65"/>
      <c r="D264" s="67">
        <v>41634.0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</row>
    <row r="265" ht="12.75" customHeight="1">
      <c r="A265" s="65" t="s">
        <v>14</v>
      </c>
      <c r="B265" s="65" t="s">
        <v>15</v>
      </c>
      <c r="C265" s="65"/>
      <c r="D265" s="67">
        <v>38574.0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</row>
    <row r="266" ht="12.75" customHeight="1">
      <c r="A266" s="65" t="s">
        <v>14</v>
      </c>
      <c r="B266" s="65" t="s">
        <v>15</v>
      </c>
      <c r="C266" s="65"/>
      <c r="D266" s="67">
        <v>35221.5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</row>
    <row r="267" ht="12.75" customHeight="1">
      <c r="A267" s="65" t="s">
        <v>14</v>
      </c>
      <c r="B267" s="65" t="s">
        <v>15</v>
      </c>
      <c r="C267" s="65"/>
      <c r="D267" s="67">
        <v>34501.5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</row>
    <row r="268" ht="12.75" customHeight="1">
      <c r="A268" s="65" t="s">
        <v>14</v>
      </c>
      <c r="B268" s="65" t="s">
        <v>15</v>
      </c>
      <c r="C268" s="65"/>
      <c r="D268" s="67">
        <v>31783.5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</row>
    <row r="269" ht="12.75" customHeight="1">
      <c r="A269" s="65" t="s">
        <v>14</v>
      </c>
      <c r="B269" s="65" t="s">
        <v>15</v>
      </c>
      <c r="C269" s="65"/>
      <c r="D269" s="67">
        <v>31752.0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</row>
    <row r="270" ht="12.75" customHeight="1">
      <c r="A270" s="65" t="s">
        <v>14</v>
      </c>
      <c r="B270" s="65" t="s">
        <v>15</v>
      </c>
      <c r="C270" s="65"/>
      <c r="D270" s="67">
        <v>31617.0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</row>
    <row r="271" ht="12.75" customHeight="1">
      <c r="A271" s="65" t="s">
        <v>14</v>
      </c>
      <c r="B271" s="65" t="s">
        <v>15</v>
      </c>
      <c r="C271" s="65"/>
      <c r="D271" s="67">
        <v>31500.0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</row>
    <row r="272" ht="12.75" customHeight="1">
      <c r="A272" s="65" t="s">
        <v>14</v>
      </c>
      <c r="B272" s="65" t="s">
        <v>15</v>
      </c>
      <c r="C272" s="65"/>
      <c r="D272" s="67">
        <v>27954.0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</row>
    <row r="273" ht="12.75" customHeight="1">
      <c r="A273" s="65" t="s">
        <v>14</v>
      </c>
      <c r="B273" s="65" t="s">
        <v>15</v>
      </c>
      <c r="C273" s="65"/>
      <c r="D273" s="67">
        <v>26523.0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</row>
    <row r="274" ht="12.75" customHeight="1">
      <c r="A274" s="65" t="s">
        <v>14</v>
      </c>
      <c r="B274" s="65" t="s">
        <v>15</v>
      </c>
      <c r="C274" s="65"/>
      <c r="D274" s="67">
        <v>25605.0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</row>
    <row r="275" ht="12.75" customHeight="1">
      <c r="A275" s="65" t="s">
        <v>14</v>
      </c>
      <c r="B275" s="65" t="s">
        <v>15</v>
      </c>
      <c r="C275" s="65"/>
      <c r="D275" s="67">
        <v>25272.0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</row>
    <row r="276" ht="12.75" customHeight="1">
      <c r="A276" s="65" t="s">
        <v>14</v>
      </c>
      <c r="B276" s="65" t="s">
        <v>15</v>
      </c>
      <c r="C276" s="65"/>
      <c r="D276" s="67">
        <v>25200.0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</row>
    <row r="277" ht="12.75" customHeight="1">
      <c r="A277" s="65" t="s">
        <v>14</v>
      </c>
      <c r="B277" s="65" t="s">
        <v>15</v>
      </c>
      <c r="C277" s="65"/>
      <c r="D277" s="67">
        <v>25182.0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</row>
    <row r="278" ht="12.75" customHeight="1">
      <c r="A278" s="65" t="s">
        <v>14</v>
      </c>
      <c r="B278" s="65" t="s">
        <v>15</v>
      </c>
      <c r="C278" s="65"/>
      <c r="D278" s="67">
        <v>24579.0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</row>
    <row r="279" ht="12.75" customHeight="1">
      <c r="A279" s="65" t="s">
        <v>14</v>
      </c>
      <c r="B279" s="65" t="s">
        <v>15</v>
      </c>
      <c r="C279" s="65"/>
      <c r="D279" s="67">
        <v>21712.5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</row>
    <row r="280" ht="12.75" customHeight="1">
      <c r="A280" s="65" t="s">
        <v>14</v>
      </c>
      <c r="B280" s="65" t="s">
        <v>15</v>
      </c>
      <c r="C280" s="65"/>
      <c r="D280" s="67">
        <v>21060.0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</row>
    <row r="281" ht="12.75" customHeight="1">
      <c r="A281" s="65" t="s">
        <v>14</v>
      </c>
      <c r="B281" s="65" t="s">
        <v>15</v>
      </c>
      <c r="C281" s="65"/>
      <c r="D281" s="67">
        <v>19341.0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</row>
    <row r="282" ht="12.75" customHeight="1">
      <c r="A282" s="65" t="s">
        <v>14</v>
      </c>
      <c r="B282" s="65" t="s">
        <v>15</v>
      </c>
      <c r="C282" s="65"/>
      <c r="D282" s="67">
        <v>19008.0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</row>
    <row r="283" ht="12.75" customHeight="1">
      <c r="A283" s="65" t="s">
        <v>14</v>
      </c>
      <c r="B283" s="65" t="s">
        <v>15</v>
      </c>
      <c r="C283" s="65"/>
      <c r="D283" s="67">
        <v>18895.5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</row>
    <row r="284" ht="12.75" customHeight="1">
      <c r="A284" s="65" t="s">
        <v>14</v>
      </c>
      <c r="B284" s="65" t="s">
        <v>15</v>
      </c>
      <c r="C284" s="65"/>
      <c r="D284" s="67">
        <v>18405.0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</row>
    <row r="285" ht="12.75" customHeight="1">
      <c r="A285" s="65" t="s">
        <v>14</v>
      </c>
      <c r="B285" s="65" t="s">
        <v>15</v>
      </c>
      <c r="C285" s="65"/>
      <c r="D285" s="67">
        <v>18067.5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</row>
    <row r="286" ht="12.75" customHeight="1">
      <c r="A286" s="65" t="s">
        <v>14</v>
      </c>
      <c r="B286" s="65" t="s">
        <v>15</v>
      </c>
      <c r="C286" s="65"/>
      <c r="D286" s="67">
        <v>17955.0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</row>
    <row r="287" ht="12.75" customHeight="1">
      <c r="A287" s="65" t="s">
        <v>14</v>
      </c>
      <c r="B287" s="65" t="s">
        <v>15</v>
      </c>
      <c r="C287" s="65"/>
      <c r="D287" s="67">
        <v>17640.0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</row>
    <row r="288" ht="12.75" customHeight="1">
      <c r="A288" s="65" t="s">
        <v>14</v>
      </c>
      <c r="B288" s="65" t="s">
        <v>15</v>
      </c>
      <c r="C288" s="65"/>
      <c r="D288" s="67">
        <v>17401.5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</row>
    <row r="289" ht="12.75" customHeight="1">
      <c r="A289" s="65" t="s">
        <v>14</v>
      </c>
      <c r="B289" s="65" t="s">
        <v>15</v>
      </c>
      <c r="C289" s="65"/>
      <c r="D289" s="67">
        <v>16245.0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</row>
    <row r="290" ht="12.75" customHeight="1">
      <c r="A290" s="65" t="s">
        <v>14</v>
      </c>
      <c r="B290" s="65" t="s">
        <v>15</v>
      </c>
      <c r="C290" s="65"/>
      <c r="D290" s="67">
        <v>15957.0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</row>
    <row r="291" ht="12.75" customHeight="1">
      <c r="A291" s="65" t="s">
        <v>14</v>
      </c>
      <c r="B291" s="65" t="s">
        <v>15</v>
      </c>
      <c r="C291" s="65"/>
      <c r="D291" s="67">
        <v>15858.0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</row>
    <row r="292" ht="12.75" customHeight="1">
      <c r="A292" s="65" t="s">
        <v>14</v>
      </c>
      <c r="B292" s="65" t="s">
        <v>15</v>
      </c>
      <c r="C292" s="65"/>
      <c r="D292" s="67">
        <v>14184.0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</row>
    <row r="293" ht="12.75" customHeight="1">
      <c r="A293" s="65" t="s">
        <v>14</v>
      </c>
      <c r="B293" s="65" t="s">
        <v>15</v>
      </c>
      <c r="C293" s="65"/>
      <c r="D293" s="67">
        <v>13914.0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</row>
    <row r="294" ht="12.75" customHeight="1">
      <c r="A294" s="65" t="s">
        <v>14</v>
      </c>
      <c r="B294" s="65" t="s">
        <v>15</v>
      </c>
      <c r="C294" s="65"/>
      <c r="D294" s="67">
        <v>12964.5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</row>
    <row r="295" ht="12.75" customHeight="1">
      <c r="A295" s="65" t="s">
        <v>14</v>
      </c>
      <c r="B295" s="65" t="s">
        <v>15</v>
      </c>
      <c r="C295" s="65"/>
      <c r="D295" s="67">
        <v>12681.0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</row>
    <row r="296" ht="12.75" customHeight="1">
      <c r="A296" s="65" t="s">
        <v>14</v>
      </c>
      <c r="B296" s="65" t="s">
        <v>15</v>
      </c>
      <c r="C296" s="65"/>
      <c r="D296" s="67">
        <v>12469.5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</row>
    <row r="297" ht="12.75" customHeight="1">
      <c r="A297" s="65" t="s">
        <v>14</v>
      </c>
      <c r="B297" s="65" t="s">
        <v>15</v>
      </c>
      <c r="C297" s="65"/>
      <c r="D297" s="67">
        <v>12222.0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</row>
    <row r="298" ht="12.75" customHeight="1">
      <c r="A298" s="65" t="s">
        <v>14</v>
      </c>
      <c r="B298" s="65" t="s">
        <v>15</v>
      </c>
      <c r="C298" s="65"/>
      <c r="D298" s="67">
        <v>11817.0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</row>
    <row r="299" ht="12.75" customHeight="1">
      <c r="A299" s="65" t="s">
        <v>14</v>
      </c>
      <c r="B299" s="65" t="s">
        <v>15</v>
      </c>
      <c r="C299" s="65"/>
      <c r="D299" s="67">
        <v>11439.0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</row>
    <row r="300" ht="12.75" customHeight="1">
      <c r="A300" s="65" t="s">
        <v>14</v>
      </c>
      <c r="B300" s="65" t="s">
        <v>15</v>
      </c>
      <c r="C300" s="65"/>
      <c r="D300" s="67">
        <v>11353.5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</row>
    <row r="301" ht="12.75" customHeight="1">
      <c r="A301" s="65" t="s">
        <v>14</v>
      </c>
      <c r="B301" s="65" t="s">
        <v>15</v>
      </c>
      <c r="C301" s="65"/>
      <c r="D301" s="67">
        <v>11250.0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</row>
    <row r="302" ht="12.75" customHeight="1">
      <c r="A302" s="65" t="s">
        <v>14</v>
      </c>
      <c r="B302" s="65" t="s">
        <v>15</v>
      </c>
      <c r="C302" s="65"/>
      <c r="D302" s="67">
        <v>11178.0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</row>
    <row r="303" ht="12.75" customHeight="1">
      <c r="A303" s="65" t="s">
        <v>14</v>
      </c>
      <c r="B303" s="65" t="s">
        <v>15</v>
      </c>
      <c r="C303" s="65"/>
      <c r="D303" s="67">
        <v>10440.0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</row>
    <row r="304" ht="12.75" customHeight="1">
      <c r="A304" s="65" t="s">
        <v>14</v>
      </c>
      <c r="B304" s="65" t="s">
        <v>15</v>
      </c>
      <c r="C304" s="65"/>
      <c r="D304" s="67">
        <v>10021.5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</row>
    <row r="305" ht="12.75" customHeight="1">
      <c r="A305" s="65" t="s">
        <v>14</v>
      </c>
      <c r="B305" s="65" t="s">
        <v>15</v>
      </c>
      <c r="C305" s="65"/>
      <c r="D305" s="67">
        <v>9306.0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</row>
    <row r="306" ht="12.75" customHeight="1">
      <c r="A306" s="65" t="s">
        <v>14</v>
      </c>
      <c r="B306" s="65" t="s">
        <v>15</v>
      </c>
      <c r="C306" s="65"/>
      <c r="D306" s="67">
        <v>9135.0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</row>
    <row r="307" ht="12.75" customHeight="1">
      <c r="A307" s="65" t="s">
        <v>14</v>
      </c>
      <c r="B307" s="65" t="s">
        <v>15</v>
      </c>
      <c r="C307" s="65"/>
      <c r="D307" s="67">
        <v>9000.0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</row>
    <row r="308" ht="12.75" customHeight="1">
      <c r="A308" s="65" t="s">
        <v>14</v>
      </c>
      <c r="B308" s="65" t="s">
        <v>15</v>
      </c>
      <c r="C308" s="65"/>
      <c r="D308" s="67">
        <v>8820.0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</row>
    <row r="309" ht="12.75" customHeight="1">
      <c r="A309" s="65" t="s">
        <v>14</v>
      </c>
      <c r="B309" s="65" t="s">
        <v>15</v>
      </c>
      <c r="C309" s="65"/>
      <c r="D309" s="67">
        <v>8707.5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</row>
    <row r="310" ht="12.75" customHeight="1">
      <c r="A310" s="65" t="s">
        <v>14</v>
      </c>
      <c r="B310" s="65" t="s">
        <v>15</v>
      </c>
      <c r="C310" s="65"/>
      <c r="D310" s="67">
        <v>8640.0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</row>
    <row r="311" ht="12.75" customHeight="1">
      <c r="A311" s="65" t="s">
        <v>14</v>
      </c>
      <c r="B311" s="65" t="s">
        <v>15</v>
      </c>
      <c r="C311" s="65"/>
      <c r="D311" s="67">
        <v>8415.0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</row>
    <row r="312" ht="12.75" customHeight="1">
      <c r="A312" s="65" t="s">
        <v>14</v>
      </c>
      <c r="B312" s="65" t="s">
        <v>15</v>
      </c>
      <c r="C312" s="65"/>
      <c r="D312" s="67">
        <v>8370.0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</row>
    <row r="313" ht="12.75" customHeight="1">
      <c r="A313" s="65" t="s">
        <v>14</v>
      </c>
      <c r="B313" s="65" t="s">
        <v>15</v>
      </c>
      <c r="C313" s="65"/>
      <c r="D313" s="67">
        <v>8361.0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</row>
    <row r="314" ht="12.75" customHeight="1">
      <c r="A314" s="65" t="s">
        <v>14</v>
      </c>
      <c r="B314" s="65" t="s">
        <v>15</v>
      </c>
      <c r="C314" s="65"/>
      <c r="D314" s="67">
        <v>7803.0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</row>
    <row r="315" ht="12.75" customHeight="1">
      <c r="A315" s="65" t="s">
        <v>14</v>
      </c>
      <c r="B315" s="65" t="s">
        <v>15</v>
      </c>
      <c r="C315" s="65"/>
      <c r="D315" s="67">
        <v>7767.0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</row>
    <row r="316" ht="12.75" customHeight="1">
      <c r="A316" s="65" t="s">
        <v>14</v>
      </c>
      <c r="B316" s="65" t="s">
        <v>15</v>
      </c>
      <c r="C316" s="65"/>
      <c r="D316" s="67">
        <v>7560.0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</row>
    <row r="317" ht="12.75" customHeight="1">
      <c r="A317" s="65" t="s">
        <v>14</v>
      </c>
      <c r="B317" s="65" t="s">
        <v>15</v>
      </c>
      <c r="C317" s="65"/>
      <c r="D317" s="67">
        <v>7560.0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</row>
    <row r="318" ht="12.75" customHeight="1">
      <c r="A318" s="65" t="s">
        <v>14</v>
      </c>
      <c r="B318" s="65" t="s">
        <v>15</v>
      </c>
      <c r="C318" s="65"/>
      <c r="D318" s="67">
        <v>7348.5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ht="12.75" customHeight="1">
      <c r="A319" s="65" t="s">
        <v>14</v>
      </c>
      <c r="B319" s="65" t="s">
        <v>15</v>
      </c>
      <c r="C319" s="65"/>
      <c r="D319" s="67">
        <v>7344.0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</row>
    <row r="320" ht="12.75" customHeight="1">
      <c r="A320" s="65" t="s">
        <v>14</v>
      </c>
      <c r="B320" s="65" t="s">
        <v>15</v>
      </c>
      <c r="C320" s="65"/>
      <c r="D320" s="67">
        <v>7042.5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</row>
    <row r="321" ht="12.75" customHeight="1">
      <c r="A321" s="65" t="s">
        <v>14</v>
      </c>
      <c r="B321" s="65" t="s">
        <v>15</v>
      </c>
      <c r="C321" s="65"/>
      <c r="D321" s="67">
        <v>6966.0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</row>
    <row r="322" ht="12.75" customHeight="1">
      <c r="A322" s="65" t="s">
        <v>14</v>
      </c>
      <c r="B322" s="65" t="s">
        <v>15</v>
      </c>
      <c r="C322" s="65"/>
      <c r="D322" s="67">
        <v>6957.0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</row>
    <row r="323" ht="12.75" customHeight="1">
      <c r="A323" s="65" t="s">
        <v>14</v>
      </c>
      <c r="B323" s="65" t="s">
        <v>15</v>
      </c>
      <c r="C323" s="65"/>
      <c r="D323" s="67">
        <v>6916.5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</row>
    <row r="324" ht="12.75" customHeight="1">
      <c r="A324" s="65" t="s">
        <v>14</v>
      </c>
      <c r="B324" s="65" t="s">
        <v>15</v>
      </c>
      <c r="C324" s="65"/>
      <c r="D324" s="67">
        <v>6853.5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</row>
    <row r="325" ht="12.75" customHeight="1">
      <c r="A325" s="65" t="s">
        <v>14</v>
      </c>
      <c r="B325" s="65" t="s">
        <v>15</v>
      </c>
      <c r="C325" s="65"/>
      <c r="D325" s="67">
        <v>6439.5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</row>
    <row r="326" ht="12.75" customHeight="1">
      <c r="A326" s="65" t="s">
        <v>14</v>
      </c>
      <c r="B326" s="65" t="s">
        <v>15</v>
      </c>
      <c r="C326" s="65"/>
      <c r="D326" s="67">
        <v>6291.0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</row>
    <row r="327" ht="12.75" customHeight="1">
      <c r="A327" s="65" t="s">
        <v>14</v>
      </c>
      <c r="B327" s="65" t="s">
        <v>15</v>
      </c>
      <c r="C327" s="65"/>
      <c r="D327" s="67">
        <v>6030.0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</row>
    <row r="328" ht="12.75" customHeight="1">
      <c r="A328" s="65" t="s">
        <v>14</v>
      </c>
      <c r="B328" s="65" t="s">
        <v>15</v>
      </c>
      <c r="C328" s="65"/>
      <c r="D328" s="67">
        <v>6003.0</v>
      </c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</row>
    <row r="329" ht="12.75" customHeight="1">
      <c r="A329" s="65" t="s">
        <v>14</v>
      </c>
      <c r="B329" s="65" t="s">
        <v>15</v>
      </c>
      <c r="C329" s="65"/>
      <c r="D329" s="67">
        <v>5926.5</v>
      </c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</row>
    <row r="330" ht="12.75" customHeight="1">
      <c r="A330" s="65" t="s">
        <v>14</v>
      </c>
      <c r="B330" s="65" t="s">
        <v>15</v>
      </c>
      <c r="C330" s="65"/>
      <c r="D330" s="67">
        <v>5890.5</v>
      </c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</row>
    <row r="331" ht="12.75" customHeight="1">
      <c r="A331" s="65" t="s">
        <v>14</v>
      </c>
      <c r="B331" s="65" t="s">
        <v>15</v>
      </c>
      <c r="C331" s="65"/>
      <c r="D331" s="67">
        <v>5881.5</v>
      </c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</row>
    <row r="332" ht="12.75" customHeight="1">
      <c r="A332" s="65" t="s">
        <v>14</v>
      </c>
      <c r="B332" s="65" t="s">
        <v>15</v>
      </c>
      <c r="C332" s="65"/>
      <c r="D332" s="67">
        <v>5805.0</v>
      </c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</row>
    <row r="333" ht="12.75" customHeight="1">
      <c r="A333" s="65" t="s">
        <v>14</v>
      </c>
      <c r="B333" s="65" t="s">
        <v>15</v>
      </c>
      <c r="C333" s="65"/>
      <c r="D333" s="67">
        <v>5701.5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</row>
    <row r="334" ht="12.75" customHeight="1">
      <c r="A334" s="65" t="s">
        <v>14</v>
      </c>
      <c r="B334" s="65" t="s">
        <v>15</v>
      </c>
      <c r="C334" s="65"/>
      <c r="D334" s="67">
        <v>5580.0</v>
      </c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</row>
    <row r="335" ht="12.75" customHeight="1">
      <c r="A335" s="65" t="s">
        <v>14</v>
      </c>
      <c r="B335" s="65" t="s">
        <v>15</v>
      </c>
      <c r="C335" s="65"/>
      <c r="D335" s="67">
        <v>5512.5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</row>
    <row r="336" ht="12.75" customHeight="1">
      <c r="A336" s="65" t="s">
        <v>14</v>
      </c>
      <c r="B336" s="65" t="s">
        <v>15</v>
      </c>
      <c r="C336" s="65"/>
      <c r="D336" s="67">
        <v>5400.0</v>
      </c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</row>
    <row r="337" ht="12.75" customHeight="1">
      <c r="A337" s="65" t="s">
        <v>14</v>
      </c>
      <c r="B337" s="65" t="s">
        <v>15</v>
      </c>
      <c r="C337" s="65"/>
      <c r="D337" s="67">
        <v>5287.5</v>
      </c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</row>
    <row r="338" ht="12.75" customHeight="1">
      <c r="A338" s="65" t="s">
        <v>14</v>
      </c>
      <c r="B338" s="65" t="s">
        <v>15</v>
      </c>
      <c r="C338" s="65"/>
      <c r="D338" s="67">
        <v>5278.5</v>
      </c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</row>
    <row r="339" ht="12.75" customHeight="1">
      <c r="A339" s="65" t="s">
        <v>14</v>
      </c>
      <c r="B339" s="65" t="s">
        <v>15</v>
      </c>
      <c r="C339" s="65"/>
      <c r="D339" s="67">
        <v>5175.0</v>
      </c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</row>
    <row r="340" ht="12.75" customHeight="1">
      <c r="A340" s="65" t="s">
        <v>14</v>
      </c>
      <c r="B340" s="65" t="s">
        <v>15</v>
      </c>
      <c r="C340" s="65"/>
      <c r="D340" s="67">
        <v>5098.5</v>
      </c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</row>
    <row r="341" ht="12.75" customHeight="1">
      <c r="A341" s="65" t="s">
        <v>14</v>
      </c>
      <c r="B341" s="65" t="s">
        <v>15</v>
      </c>
      <c r="C341" s="65"/>
      <c r="D341" s="67">
        <v>5071.5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</row>
    <row r="342" ht="12.75" customHeight="1">
      <c r="A342" s="65" t="s">
        <v>14</v>
      </c>
      <c r="B342" s="65" t="s">
        <v>15</v>
      </c>
      <c r="C342" s="65"/>
      <c r="D342" s="67">
        <v>4950.0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</row>
    <row r="343" ht="12.75" customHeight="1">
      <c r="A343" s="65" t="s">
        <v>14</v>
      </c>
      <c r="B343" s="65" t="s">
        <v>15</v>
      </c>
      <c r="C343" s="65"/>
      <c r="D343" s="67">
        <v>4824.0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</row>
    <row r="344" ht="12.75" customHeight="1">
      <c r="A344" s="65" t="s">
        <v>14</v>
      </c>
      <c r="B344" s="65" t="s">
        <v>15</v>
      </c>
      <c r="C344" s="65"/>
      <c r="D344" s="67">
        <v>4725.0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</row>
    <row r="345" ht="12.75" customHeight="1">
      <c r="A345" s="65" t="s">
        <v>14</v>
      </c>
      <c r="B345" s="65" t="s">
        <v>15</v>
      </c>
      <c r="C345" s="65"/>
      <c r="D345" s="67">
        <v>4608.0</v>
      </c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</row>
    <row r="346" ht="12.75" customHeight="1">
      <c r="A346" s="65" t="s">
        <v>14</v>
      </c>
      <c r="B346" s="65" t="s">
        <v>15</v>
      </c>
      <c r="C346" s="65"/>
      <c r="D346" s="67">
        <v>4396.5</v>
      </c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</row>
    <row r="347" ht="12.75" customHeight="1">
      <c r="A347" s="65" t="s">
        <v>14</v>
      </c>
      <c r="B347" s="65" t="s">
        <v>15</v>
      </c>
      <c r="C347" s="65"/>
      <c r="D347" s="67">
        <v>4342.5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</row>
    <row r="348" ht="12.75" customHeight="1">
      <c r="A348" s="65" t="s">
        <v>14</v>
      </c>
      <c r="B348" s="65" t="s">
        <v>15</v>
      </c>
      <c r="C348" s="65"/>
      <c r="D348" s="67">
        <v>4108.5</v>
      </c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</row>
    <row r="349" ht="12.75" customHeight="1">
      <c r="A349" s="65" t="s">
        <v>14</v>
      </c>
      <c r="B349" s="65" t="s">
        <v>15</v>
      </c>
      <c r="C349" s="65"/>
      <c r="D349" s="67">
        <v>4036.5</v>
      </c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</row>
    <row r="350" ht="12.75" customHeight="1">
      <c r="A350" s="65" t="s">
        <v>14</v>
      </c>
      <c r="B350" s="65" t="s">
        <v>15</v>
      </c>
      <c r="C350" s="65"/>
      <c r="D350" s="67">
        <v>3906.0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</row>
    <row r="351" ht="12.75" customHeight="1">
      <c r="A351" s="65" t="s">
        <v>14</v>
      </c>
      <c r="B351" s="65" t="s">
        <v>15</v>
      </c>
      <c r="C351" s="65"/>
      <c r="D351" s="67">
        <v>3712.5</v>
      </c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</row>
    <row r="352" ht="12.75" customHeight="1">
      <c r="A352" s="65" t="s">
        <v>14</v>
      </c>
      <c r="B352" s="65" t="s">
        <v>15</v>
      </c>
      <c r="C352" s="65"/>
      <c r="D352" s="67">
        <v>3654.0</v>
      </c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</row>
    <row r="353" ht="12.75" customHeight="1">
      <c r="A353" s="65" t="s">
        <v>14</v>
      </c>
      <c r="B353" s="65" t="s">
        <v>15</v>
      </c>
      <c r="C353" s="65"/>
      <c r="D353" s="67">
        <v>3600.0</v>
      </c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</row>
    <row r="354" ht="12.75" customHeight="1">
      <c r="A354" s="65" t="s">
        <v>14</v>
      </c>
      <c r="B354" s="65" t="s">
        <v>15</v>
      </c>
      <c r="C354" s="65"/>
      <c r="D354" s="67">
        <v>3465.0</v>
      </c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</row>
    <row r="355" ht="12.75" customHeight="1">
      <c r="A355" s="65" t="s">
        <v>14</v>
      </c>
      <c r="B355" s="65" t="s">
        <v>15</v>
      </c>
      <c r="C355" s="65"/>
      <c r="D355" s="67">
        <v>3379.5</v>
      </c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</row>
    <row r="356" ht="12.75" customHeight="1">
      <c r="A356" s="65" t="s">
        <v>14</v>
      </c>
      <c r="B356" s="65" t="s">
        <v>15</v>
      </c>
      <c r="C356" s="65"/>
      <c r="D356" s="67">
        <v>3357.0</v>
      </c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</row>
    <row r="357" ht="12.75" customHeight="1">
      <c r="A357" s="65" t="s">
        <v>14</v>
      </c>
      <c r="B357" s="65" t="s">
        <v>15</v>
      </c>
      <c r="C357" s="65"/>
      <c r="D357" s="67">
        <v>3339.0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</row>
    <row r="358" ht="12.75" customHeight="1">
      <c r="A358" s="65" t="s">
        <v>14</v>
      </c>
      <c r="B358" s="65" t="s">
        <v>15</v>
      </c>
      <c r="C358" s="65"/>
      <c r="D358" s="67">
        <v>3276.0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</row>
    <row r="359" ht="12.75" customHeight="1">
      <c r="A359" s="65" t="s">
        <v>14</v>
      </c>
      <c r="B359" s="65" t="s">
        <v>15</v>
      </c>
      <c r="C359" s="65"/>
      <c r="D359" s="67">
        <v>2830.5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</row>
    <row r="360" ht="12.75" customHeight="1">
      <c r="A360" s="65" t="s">
        <v>14</v>
      </c>
      <c r="B360" s="65" t="s">
        <v>15</v>
      </c>
      <c r="C360" s="65"/>
      <c r="D360" s="67">
        <v>2677.5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</row>
    <row r="361" ht="12.75" customHeight="1">
      <c r="A361" s="65" t="s">
        <v>14</v>
      </c>
      <c r="B361" s="65" t="s">
        <v>15</v>
      </c>
      <c r="C361" s="65"/>
      <c r="D361" s="67">
        <v>2227.5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</row>
    <row r="362" ht="12.75" customHeight="1">
      <c r="A362" s="65" t="s">
        <v>14</v>
      </c>
      <c r="B362" s="65" t="s">
        <v>15</v>
      </c>
      <c r="C362" s="65"/>
      <c r="D362" s="67">
        <v>2205.0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</row>
    <row r="363" ht="12.75" customHeight="1">
      <c r="A363" s="65" t="s">
        <v>14</v>
      </c>
      <c r="B363" s="65" t="s">
        <v>15</v>
      </c>
      <c r="C363" s="65"/>
      <c r="D363" s="67">
        <v>2137.5</v>
      </c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</row>
    <row r="364" ht="12.75" customHeight="1">
      <c r="A364" s="65" t="s">
        <v>14</v>
      </c>
      <c r="B364" s="65" t="s">
        <v>15</v>
      </c>
      <c r="C364" s="65"/>
      <c r="D364" s="67">
        <v>1984.5</v>
      </c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</row>
    <row r="365" ht="12.75" customHeight="1">
      <c r="A365" s="65" t="s">
        <v>14</v>
      </c>
      <c r="B365" s="65" t="s">
        <v>15</v>
      </c>
      <c r="C365" s="65"/>
      <c r="D365" s="67">
        <v>1827.0</v>
      </c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</row>
    <row r="366" ht="12.75" customHeight="1">
      <c r="A366" s="65" t="s">
        <v>14</v>
      </c>
      <c r="B366" s="65" t="s">
        <v>15</v>
      </c>
      <c r="C366" s="65"/>
      <c r="D366" s="67">
        <v>1786.5</v>
      </c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</row>
    <row r="367" ht="12.75" customHeight="1">
      <c r="A367" s="65" t="s">
        <v>14</v>
      </c>
      <c r="B367" s="65" t="s">
        <v>15</v>
      </c>
      <c r="C367" s="65"/>
      <c r="D367" s="67">
        <v>1669.5</v>
      </c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</row>
    <row r="368" ht="12.75" customHeight="1">
      <c r="A368" s="65" t="s">
        <v>14</v>
      </c>
      <c r="B368" s="65" t="s">
        <v>15</v>
      </c>
      <c r="C368" s="65"/>
      <c r="D368" s="67">
        <v>1647.0</v>
      </c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</row>
    <row r="369" ht="12.75" customHeight="1">
      <c r="A369" s="65" t="s">
        <v>14</v>
      </c>
      <c r="B369" s="65" t="s">
        <v>15</v>
      </c>
      <c r="C369" s="65"/>
      <c r="D369" s="67">
        <v>1566.0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</row>
    <row r="370" ht="12.75" customHeight="1">
      <c r="A370" s="65" t="s">
        <v>14</v>
      </c>
      <c r="B370" s="65" t="s">
        <v>15</v>
      </c>
      <c r="C370" s="65"/>
      <c r="D370" s="67">
        <v>1381.5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</row>
    <row r="371" ht="12.75" customHeight="1">
      <c r="A371" s="65" t="s">
        <v>14</v>
      </c>
      <c r="B371" s="65" t="s">
        <v>15</v>
      </c>
      <c r="C371" s="65"/>
      <c r="D371" s="67">
        <v>1201.5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ht="12.75" customHeight="1">
      <c r="A372" s="65" t="s">
        <v>14</v>
      </c>
      <c r="B372" s="65" t="s">
        <v>15</v>
      </c>
      <c r="C372" s="65"/>
      <c r="D372" s="67">
        <v>918.0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</row>
    <row r="373" ht="12.75" customHeight="1">
      <c r="A373" s="65" t="s">
        <v>14</v>
      </c>
      <c r="B373" s="65" t="s">
        <v>15</v>
      </c>
      <c r="C373" s="65"/>
      <c r="D373" s="67">
        <v>729.0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</row>
    <row r="374" ht="12.75" customHeight="1">
      <c r="A374" s="65" t="s">
        <v>14</v>
      </c>
      <c r="B374" s="65" t="s">
        <v>15</v>
      </c>
      <c r="C374" s="65"/>
      <c r="D374" s="67">
        <v>418.5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</row>
    <row r="375" ht="12.75" customHeight="1">
      <c r="A375" s="65" t="s">
        <v>14</v>
      </c>
      <c r="B375" s="65" t="s">
        <v>15</v>
      </c>
      <c r="C375" s="65"/>
      <c r="D375" s="67">
        <v>342.0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</row>
    <row r="376" ht="12.75" customHeight="1">
      <c r="A376" s="65" t="s">
        <v>14</v>
      </c>
      <c r="B376" s="65" t="s">
        <v>15</v>
      </c>
      <c r="C376" s="65"/>
      <c r="D376" s="67">
        <v>166.5</v>
      </c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</row>
    <row r="377" ht="12.75" customHeight="1">
      <c r="A377" s="65" t="s">
        <v>14</v>
      </c>
      <c r="B377" s="65" t="s">
        <v>15</v>
      </c>
      <c r="C377" s="65"/>
      <c r="D377" s="67">
        <v>153.0</v>
      </c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</row>
    <row r="378" ht="12.75" customHeight="1">
      <c r="A378" s="65" t="s">
        <v>14</v>
      </c>
      <c r="B378" s="65" t="s">
        <v>15</v>
      </c>
      <c r="C378" s="65"/>
      <c r="D378" s="67">
        <v>0.0</v>
      </c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</row>
    <row r="379" ht="12.75" customHeight="1">
      <c r="A379" s="65" t="s">
        <v>14</v>
      </c>
      <c r="B379" s="65" t="s">
        <v>15</v>
      </c>
      <c r="C379" s="65"/>
      <c r="D379" s="67">
        <v>0.0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</row>
    <row r="380" ht="12.75" customHeight="1">
      <c r="A380" s="65" t="s">
        <v>14</v>
      </c>
      <c r="B380" s="65" t="s">
        <v>15</v>
      </c>
      <c r="C380" s="65"/>
      <c r="D380" s="67">
        <v>669636.0</v>
      </c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</row>
    <row r="381" ht="12.75" customHeight="1">
      <c r="A381" s="65" t="s">
        <v>14</v>
      </c>
      <c r="B381" s="65" t="s">
        <v>15</v>
      </c>
      <c r="C381" s="65"/>
      <c r="D381" s="67">
        <v>450904.5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</row>
    <row r="382" ht="12.75" customHeight="1">
      <c r="A382" s="65" t="s">
        <v>14</v>
      </c>
      <c r="B382" s="65" t="s">
        <v>15</v>
      </c>
      <c r="C382" s="65"/>
      <c r="D382" s="67">
        <v>351810.0</v>
      </c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</row>
    <row r="383" ht="12.75" customHeight="1">
      <c r="A383" s="65" t="s">
        <v>14</v>
      </c>
      <c r="B383" s="65" t="s">
        <v>15</v>
      </c>
      <c r="C383" s="65"/>
      <c r="D383" s="67">
        <v>164488.5</v>
      </c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</row>
    <row r="384" ht="12.75" customHeight="1">
      <c r="A384" s="65" t="s">
        <v>14</v>
      </c>
      <c r="B384" s="65" t="s">
        <v>15</v>
      </c>
      <c r="C384" s="65"/>
      <c r="D384" s="67">
        <v>162742.5</v>
      </c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</row>
    <row r="385" ht="12.75" customHeight="1">
      <c r="A385" s="65" t="s">
        <v>14</v>
      </c>
      <c r="B385" s="65" t="s">
        <v>15</v>
      </c>
      <c r="C385" s="65"/>
      <c r="D385" s="67">
        <v>116811.0</v>
      </c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</row>
    <row r="386" ht="12.75" customHeight="1">
      <c r="A386" s="65" t="s">
        <v>14</v>
      </c>
      <c r="B386" s="65" t="s">
        <v>15</v>
      </c>
      <c r="C386" s="65"/>
      <c r="D386" s="67">
        <v>92596.5</v>
      </c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</row>
    <row r="387" ht="12.75" customHeight="1">
      <c r="A387" s="65" t="s">
        <v>14</v>
      </c>
      <c r="B387" s="65" t="s">
        <v>15</v>
      </c>
      <c r="C387" s="65"/>
      <c r="D387" s="67">
        <v>90567.0</v>
      </c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</row>
    <row r="388" ht="12.75" customHeight="1">
      <c r="A388" s="65" t="s">
        <v>14</v>
      </c>
      <c r="B388" s="65" t="s">
        <v>15</v>
      </c>
      <c r="C388" s="65"/>
      <c r="D388" s="67">
        <v>81121.5</v>
      </c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</row>
    <row r="389" ht="12.75" customHeight="1">
      <c r="A389" s="65" t="s">
        <v>14</v>
      </c>
      <c r="B389" s="65" t="s">
        <v>15</v>
      </c>
      <c r="C389" s="65"/>
      <c r="D389" s="67">
        <v>78763.5</v>
      </c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</row>
    <row r="390" ht="12.75" customHeight="1">
      <c r="A390" s="65" t="s">
        <v>14</v>
      </c>
      <c r="B390" s="65" t="s">
        <v>15</v>
      </c>
      <c r="C390" s="65"/>
      <c r="D390" s="67">
        <v>77211.0</v>
      </c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</row>
    <row r="391" ht="12.75" customHeight="1">
      <c r="A391" s="65" t="s">
        <v>14</v>
      </c>
      <c r="B391" s="65" t="s">
        <v>15</v>
      </c>
      <c r="C391" s="65"/>
      <c r="D391" s="67">
        <v>76918.5</v>
      </c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</row>
    <row r="392" ht="12.75" customHeight="1">
      <c r="A392" s="65" t="s">
        <v>14</v>
      </c>
      <c r="B392" s="65" t="s">
        <v>15</v>
      </c>
      <c r="C392" s="65"/>
      <c r="D392" s="67">
        <v>74979.0</v>
      </c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</row>
    <row r="393" ht="12.75" customHeight="1">
      <c r="A393" s="65" t="s">
        <v>14</v>
      </c>
      <c r="B393" s="65" t="s">
        <v>15</v>
      </c>
      <c r="C393" s="65"/>
      <c r="D393" s="67">
        <v>60543.0</v>
      </c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</row>
    <row r="394" ht="12.75" customHeight="1">
      <c r="A394" s="65" t="s">
        <v>14</v>
      </c>
      <c r="B394" s="65" t="s">
        <v>15</v>
      </c>
      <c r="C394" s="65"/>
      <c r="D394" s="67">
        <v>56430.0</v>
      </c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</row>
    <row r="395" ht="12.75" customHeight="1">
      <c r="A395" s="65" t="s">
        <v>14</v>
      </c>
      <c r="B395" s="65" t="s">
        <v>15</v>
      </c>
      <c r="C395" s="65"/>
      <c r="D395" s="67">
        <v>55381.5</v>
      </c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</row>
    <row r="396" ht="12.75" customHeight="1">
      <c r="A396" s="65" t="s">
        <v>14</v>
      </c>
      <c r="B396" s="65" t="s">
        <v>15</v>
      </c>
      <c r="C396" s="65"/>
      <c r="D396" s="67">
        <v>54139.5</v>
      </c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</row>
    <row r="397" ht="12.75" customHeight="1">
      <c r="A397" s="65" t="s">
        <v>14</v>
      </c>
      <c r="B397" s="65" t="s">
        <v>15</v>
      </c>
      <c r="C397" s="65"/>
      <c r="D397" s="67">
        <v>53365.5</v>
      </c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</row>
    <row r="398" ht="12.75" customHeight="1">
      <c r="A398" s="65" t="s">
        <v>14</v>
      </c>
      <c r="B398" s="65" t="s">
        <v>15</v>
      </c>
      <c r="C398" s="65"/>
      <c r="D398" s="67">
        <v>52915.5</v>
      </c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</row>
    <row r="399" ht="12.75" customHeight="1">
      <c r="A399" s="65" t="s">
        <v>14</v>
      </c>
      <c r="B399" s="65" t="s">
        <v>15</v>
      </c>
      <c r="C399" s="65"/>
      <c r="D399" s="67">
        <v>52294.5</v>
      </c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</row>
    <row r="400" ht="12.75" customHeight="1">
      <c r="A400" s="65" t="s">
        <v>14</v>
      </c>
      <c r="B400" s="65" t="s">
        <v>15</v>
      </c>
      <c r="C400" s="65"/>
      <c r="D400" s="67">
        <v>47677.5</v>
      </c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</row>
    <row r="401" ht="12.75" customHeight="1">
      <c r="A401" s="65" t="s">
        <v>14</v>
      </c>
      <c r="B401" s="65" t="s">
        <v>15</v>
      </c>
      <c r="C401" s="65"/>
      <c r="D401" s="67">
        <v>45900.0</v>
      </c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</row>
    <row r="402" ht="12.75" customHeight="1">
      <c r="A402" s="65" t="s">
        <v>14</v>
      </c>
      <c r="B402" s="65" t="s">
        <v>15</v>
      </c>
      <c r="C402" s="65"/>
      <c r="D402" s="67">
        <v>41202.0</v>
      </c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</row>
    <row r="403" ht="12.75" customHeight="1">
      <c r="A403" s="65" t="s">
        <v>14</v>
      </c>
      <c r="B403" s="65" t="s">
        <v>15</v>
      </c>
      <c r="C403" s="65"/>
      <c r="D403" s="67">
        <v>38857.5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</row>
    <row r="404" ht="12.75" customHeight="1">
      <c r="A404" s="65" t="s">
        <v>14</v>
      </c>
      <c r="B404" s="65" t="s">
        <v>15</v>
      </c>
      <c r="C404" s="65"/>
      <c r="D404" s="67">
        <v>38650.5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</row>
    <row r="405" ht="12.75" customHeight="1">
      <c r="A405" s="65" t="s">
        <v>14</v>
      </c>
      <c r="B405" s="65" t="s">
        <v>15</v>
      </c>
      <c r="C405" s="65"/>
      <c r="D405" s="67">
        <v>36486.0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</row>
    <row r="406" ht="12.75" customHeight="1">
      <c r="A406" s="65" t="s">
        <v>14</v>
      </c>
      <c r="B406" s="65" t="s">
        <v>15</v>
      </c>
      <c r="C406" s="65"/>
      <c r="D406" s="67">
        <v>36243.0</v>
      </c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</row>
    <row r="407" ht="12.75" customHeight="1">
      <c r="A407" s="65" t="s">
        <v>14</v>
      </c>
      <c r="B407" s="65" t="s">
        <v>15</v>
      </c>
      <c r="C407" s="65"/>
      <c r="D407" s="67">
        <v>36063.0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</row>
    <row r="408" ht="12.75" customHeight="1">
      <c r="A408" s="65" t="s">
        <v>14</v>
      </c>
      <c r="B408" s="65" t="s">
        <v>15</v>
      </c>
      <c r="C408" s="65"/>
      <c r="D408" s="67">
        <v>34267.5</v>
      </c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</row>
    <row r="409" ht="12.75" customHeight="1">
      <c r="A409" s="65" t="s">
        <v>14</v>
      </c>
      <c r="B409" s="65" t="s">
        <v>15</v>
      </c>
      <c r="C409" s="65"/>
      <c r="D409" s="67">
        <v>34024.5</v>
      </c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</row>
    <row r="410" ht="12.75" customHeight="1">
      <c r="A410" s="65" t="s">
        <v>14</v>
      </c>
      <c r="B410" s="65" t="s">
        <v>15</v>
      </c>
      <c r="C410" s="65"/>
      <c r="D410" s="67">
        <v>33750.0</v>
      </c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</row>
    <row r="411" ht="12.75" customHeight="1">
      <c r="A411" s="65" t="s">
        <v>14</v>
      </c>
      <c r="B411" s="65" t="s">
        <v>15</v>
      </c>
      <c r="C411" s="65"/>
      <c r="D411" s="67">
        <v>32778.0</v>
      </c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</row>
    <row r="412" ht="12.75" customHeight="1">
      <c r="A412" s="65" t="s">
        <v>14</v>
      </c>
      <c r="B412" s="65" t="s">
        <v>15</v>
      </c>
      <c r="C412" s="65"/>
      <c r="D412" s="67">
        <v>32166.0</v>
      </c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</row>
    <row r="413" ht="12.75" customHeight="1">
      <c r="A413" s="65" t="s">
        <v>14</v>
      </c>
      <c r="B413" s="65" t="s">
        <v>15</v>
      </c>
      <c r="C413" s="65"/>
      <c r="D413" s="67">
        <v>31747.5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</row>
    <row r="414" ht="12.75" customHeight="1">
      <c r="A414" s="65" t="s">
        <v>14</v>
      </c>
      <c r="B414" s="65" t="s">
        <v>15</v>
      </c>
      <c r="C414" s="65"/>
      <c r="D414" s="67">
        <v>31585.5</v>
      </c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</row>
    <row r="415" ht="12.75" customHeight="1">
      <c r="A415" s="65" t="s">
        <v>14</v>
      </c>
      <c r="B415" s="65" t="s">
        <v>15</v>
      </c>
      <c r="C415" s="65"/>
      <c r="D415" s="67">
        <v>31288.5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</row>
    <row r="416" ht="12.75" customHeight="1">
      <c r="A416" s="65" t="s">
        <v>14</v>
      </c>
      <c r="B416" s="65" t="s">
        <v>15</v>
      </c>
      <c r="C416" s="65"/>
      <c r="D416" s="67">
        <v>30915.0</v>
      </c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</row>
    <row r="417" ht="12.75" customHeight="1">
      <c r="A417" s="65" t="s">
        <v>14</v>
      </c>
      <c r="B417" s="65" t="s">
        <v>15</v>
      </c>
      <c r="C417" s="65"/>
      <c r="D417" s="67">
        <v>30618.0</v>
      </c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</row>
    <row r="418" ht="12.75" customHeight="1">
      <c r="A418" s="65" t="s">
        <v>14</v>
      </c>
      <c r="B418" s="65" t="s">
        <v>15</v>
      </c>
      <c r="C418" s="65"/>
      <c r="D418" s="67">
        <v>30519.0</v>
      </c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</row>
    <row r="419" ht="12.75" customHeight="1">
      <c r="A419" s="65" t="s">
        <v>14</v>
      </c>
      <c r="B419" s="65" t="s">
        <v>15</v>
      </c>
      <c r="C419" s="65"/>
      <c r="D419" s="67">
        <v>29803.5</v>
      </c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</row>
    <row r="420" ht="12.75" customHeight="1">
      <c r="A420" s="65" t="s">
        <v>14</v>
      </c>
      <c r="B420" s="65" t="s">
        <v>15</v>
      </c>
      <c r="C420" s="65"/>
      <c r="D420" s="67">
        <v>28611.0</v>
      </c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</row>
    <row r="421" ht="12.75" customHeight="1">
      <c r="A421" s="65" t="s">
        <v>14</v>
      </c>
      <c r="B421" s="65" t="s">
        <v>15</v>
      </c>
      <c r="C421" s="65"/>
      <c r="D421" s="67">
        <v>27328.5</v>
      </c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</row>
    <row r="422" ht="12.75" customHeight="1">
      <c r="A422" s="65" t="s">
        <v>14</v>
      </c>
      <c r="B422" s="65" t="s">
        <v>15</v>
      </c>
      <c r="C422" s="65"/>
      <c r="D422" s="67">
        <v>27301.5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</row>
    <row r="423" ht="12.75" customHeight="1">
      <c r="A423" s="65" t="s">
        <v>14</v>
      </c>
      <c r="B423" s="65" t="s">
        <v>15</v>
      </c>
      <c r="C423" s="65"/>
      <c r="D423" s="67">
        <v>26919.0</v>
      </c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</row>
    <row r="424" ht="12.75" customHeight="1">
      <c r="A424" s="65" t="s">
        <v>14</v>
      </c>
      <c r="B424" s="65" t="s">
        <v>15</v>
      </c>
      <c r="C424" s="65"/>
      <c r="D424" s="67">
        <v>26793.0</v>
      </c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</row>
    <row r="425" ht="12.75" customHeight="1">
      <c r="A425" s="65" t="s">
        <v>14</v>
      </c>
      <c r="B425" s="65" t="s">
        <v>15</v>
      </c>
      <c r="C425" s="65"/>
      <c r="D425" s="67">
        <v>26716.5</v>
      </c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</row>
    <row r="426" ht="12.75" customHeight="1">
      <c r="A426" s="65" t="s">
        <v>14</v>
      </c>
      <c r="B426" s="65" t="s">
        <v>15</v>
      </c>
      <c r="C426" s="65"/>
      <c r="D426" s="67">
        <v>26374.5</v>
      </c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</row>
    <row r="427" ht="12.75" customHeight="1">
      <c r="A427" s="65" t="s">
        <v>14</v>
      </c>
      <c r="B427" s="65" t="s">
        <v>15</v>
      </c>
      <c r="C427" s="65"/>
      <c r="D427" s="67">
        <v>26280.0</v>
      </c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</row>
    <row r="428" ht="12.75" customHeight="1">
      <c r="A428" s="65" t="s">
        <v>14</v>
      </c>
      <c r="B428" s="65" t="s">
        <v>15</v>
      </c>
      <c r="C428" s="65"/>
      <c r="D428" s="67">
        <v>25852.5</v>
      </c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</row>
    <row r="429" ht="12.75" customHeight="1">
      <c r="A429" s="65" t="s">
        <v>14</v>
      </c>
      <c r="B429" s="65" t="s">
        <v>15</v>
      </c>
      <c r="C429" s="65"/>
      <c r="D429" s="67">
        <v>25735.5</v>
      </c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</row>
    <row r="430" ht="12.75" customHeight="1">
      <c r="A430" s="65" t="s">
        <v>14</v>
      </c>
      <c r="B430" s="65" t="s">
        <v>15</v>
      </c>
      <c r="C430" s="65"/>
      <c r="D430" s="67">
        <v>25393.5</v>
      </c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</row>
    <row r="431" ht="12.75" customHeight="1">
      <c r="A431" s="65" t="s">
        <v>14</v>
      </c>
      <c r="B431" s="65" t="s">
        <v>15</v>
      </c>
      <c r="C431" s="65"/>
      <c r="D431" s="67">
        <v>25173.0</v>
      </c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</row>
    <row r="432" ht="12.75" customHeight="1">
      <c r="A432" s="65" t="s">
        <v>14</v>
      </c>
      <c r="B432" s="65" t="s">
        <v>15</v>
      </c>
      <c r="C432" s="65"/>
      <c r="D432" s="67">
        <v>24160.5</v>
      </c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</row>
    <row r="433" ht="12.75" customHeight="1">
      <c r="A433" s="65" t="s">
        <v>14</v>
      </c>
      <c r="B433" s="65" t="s">
        <v>15</v>
      </c>
      <c r="C433" s="65"/>
      <c r="D433" s="67">
        <v>23530.5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</row>
    <row r="434" ht="12.75" customHeight="1">
      <c r="A434" s="65" t="s">
        <v>14</v>
      </c>
      <c r="B434" s="65" t="s">
        <v>15</v>
      </c>
      <c r="C434" s="65"/>
      <c r="D434" s="67">
        <v>23427.0</v>
      </c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</row>
    <row r="435" ht="12.75" customHeight="1">
      <c r="A435" s="65" t="s">
        <v>14</v>
      </c>
      <c r="B435" s="65" t="s">
        <v>15</v>
      </c>
      <c r="C435" s="65"/>
      <c r="D435" s="67">
        <v>22896.0</v>
      </c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</row>
    <row r="436" ht="12.75" customHeight="1">
      <c r="A436" s="65" t="s">
        <v>14</v>
      </c>
      <c r="B436" s="65" t="s">
        <v>15</v>
      </c>
      <c r="C436" s="65"/>
      <c r="D436" s="67">
        <v>22810.5</v>
      </c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</row>
    <row r="437" ht="12.75" customHeight="1">
      <c r="A437" s="65" t="s">
        <v>14</v>
      </c>
      <c r="B437" s="65" t="s">
        <v>15</v>
      </c>
      <c r="C437" s="65"/>
      <c r="D437" s="67">
        <v>21127.5</v>
      </c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</row>
    <row r="438" ht="12.75" customHeight="1">
      <c r="A438" s="65" t="s">
        <v>14</v>
      </c>
      <c r="B438" s="65" t="s">
        <v>15</v>
      </c>
      <c r="C438" s="65"/>
      <c r="D438" s="67">
        <v>20700.0</v>
      </c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</row>
    <row r="439" ht="12.75" customHeight="1">
      <c r="A439" s="65" t="s">
        <v>14</v>
      </c>
      <c r="B439" s="65" t="s">
        <v>15</v>
      </c>
      <c r="C439" s="65"/>
      <c r="D439" s="67">
        <v>20250.0</v>
      </c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</row>
    <row r="440" ht="12.75" customHeight="1">
      <c r="A440" s="65" t="s">
        <v>14</v>
      </c>
      <c r="B440" s="65" t="s">
        <v>15</v>
      </c>
      <c r="C440" s="65"/>
      <c r="D440" s="67">
        <v>20164.5</v>
      </c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</row>
    <row r="441" ht="12.75" customHeight="1">
      <c r="A441" s="65" t="s">
        <v>14</v>
      </c>
      <c r="B441" s="65" t="s">
        <v>15</v>
      </c>
      <c r="C441" s="65"/>
      <c r="D441" s="67">
        <v>20128.5</v>
      </c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</row>
    <row r="442" ht="12.75" customHeight="1">
      <c r="A442" s="65" t="s">
        <v>14</v>
      </c>
      <c r="B442" s="65" t="s">
        <v>15</v>
      </c>
      <c r="C442" s="65"/>
      <c r="D442" s="67">
        <v>19881.0</v>
      </c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</row>
    <row r="443" ht="12.75" customHeight="1">
      <c r="A443" s="65" t="s">
        <v>14</v>
      </c>
      <c r="B443" s="65" t="s">
        <v>15</v>
      </c>
      <c r="C443" s="65"/>
      <c r="D443" s="67">
        <v>19719.0</v>
      </c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</row>
    <row r="444" ht="12.75" customHeight="1">
      <c r="A444" s="65" t="s">
        <v>14</v>
      </c>
      <c r="B444" s="65" t="s">
        <v>15</v>
      </c>
      <c r="C444" s="65"/>
      <c r="D444" s="67">
        <v>19633.5</v>
      </c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</row>
    <row r="445" ht="12.75" customHeight="1">
      <c r="A445" s="65" t="s">
        <v>14</v>
      </c>
      <c r="B445" s="65" t="s">
        <v>15</v>
      </c>
      <c r="C445" s="65"/>
      <c r="D445" s="67">
        <v>19561.5</v>
      </c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</row>
    <row r="446" ht="12.75" customHeight="1">
      <c r="A446" s="65" t="s">
        <v>14</v>
      </c>
      <c r="B446" s="65" t="s">
        <v>15</v>
      </c>
      <c r="C446" s="65"/>
      <c r="D446" s="67">
        <v>19395.0</v>
      </c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</row>
    <row r="447" ht="12.75" customHeight="1">
      <c r="A447" s="65" t="s">
        <v>14</v>
      </c>
      <c r="B447" s="65" t="s">
        <v>15</v>
      </c>
      <c r="C447" s="65"/>
      <c r="D447" s="67">
        <v>19039.5</v>
      </c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</row>
    <row r="448" ht="12.75" customHeight="1">
      <c r="A448" s="65" t="s">
        <v>14</v>
      </c>
      <c r="B448" s="65" t="s">
        <v>15</v>
      </c>
      <c r="C448" s="65"/>
      <c r="D448" s="67">
        <v>18567.0</v>
      </c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</row>
    <row r="449" ht="12.75" customHeight="1">
      <c r="A449" s="65" t="s">
        <v>14</v>
      </c>
      <c r="B449" s="65" t="s">
        <v>15</v>
      </c>
      <c r="C449" s="65"/>
      <c r="D449" s="67">
        <v>18369.0</v>
      </c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</row>
    <row r="450" ht="12.75" customHeight="1">
      <c r="A450" s="65" t="s">
        <v>14</v>
      </c>
      <c r="B450" s="65" t="s">
        <v>15</v>
      </c>
      <c r="C450" s="65"/>
      <c r="D450" s="67">
        <v>18364.5</v>
      </c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</row>
    <row r="451" ht="12.75" customHeight="1">
      <c r="A451" s="65" t="s">
        <v>14</v>
      </c>
      <c r="B451" s="65" t="s">
        <v>15</v>
      </c>
      <c r="C451" s="65"/>
      <c r="D451" s="67">
        <v>17887.5</v>
      </c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</row>
    <row r="452" ht="12.75" customHeight="1">
      <c r="A452" s="65" t="s">
        <v>14</v>
      </c>
      <c r="B452" s="65" t="s">
        <v>15</v>
      </c>
      <c r="C452" s="65"/>
      <c r="D452" s="67">
        <v>17788.5</v>
      </c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</row>
    <row r="453" ht="12.75" customHeight="1">
      <c r="A453" s="65" t="s">
        <v>14</v>
      </c>
      <c r="B453" s="65" t="s">
        <v>15</v>
      </c>
      <c r="C453" s="65"/>
      <c r="D453" s="67">
        <v>17392.5</v>
      </c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</row>
    <row r="454" ht="12.75" customHeight="1">
      <c r="A454" s="65" t="s">
        <v>14</v>
      </c>
      <c r="B454" s="65" t="s">
        <v>15</v>
      </c>
      <c r="C454" s="65"/>
      <c r="D454" s="67">
        <v>17068.5</v>
      </c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</row>
    <row r="455" ht="12.75" customHeight="1">
      <c r="A455" s="65" t="s">
        <v>14</v>
      </c>
      <c r="B455" s="65" t="s">
        <v>15</v>
      </c>
      <c r="C455" s="65"/>
      <c r="D455" s="67">
        <v>16834.5</v>
      </c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</row>
    <row r="456" ht="12.75" customHeight="1">
      <c r="A456" s="65" t="s">
        <v>14</v>
      </c>
      <c r="B456" s="65" t="s">
        <v>15</v>
      </c>
      <c r="C456" s="65"/>
      <c r="D456" s="67">
        <v>16816.5</v>
      </c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</row>
    <row r="457" ht="12.75" customHeight="1">
      <c r="A457" s="65" t="s">
        <v>14</v>
      </c>
      <c r="B457" s="65" t="s">
        <v>15</v>
      </c>
      <c r="C457" s="65"/>
      <c r="D457" s="67">
        <v>16785.0</v>
      </c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</row>
    <row r="458" ht="12.75" customHeight="1">
      <c r="A458" s="65" t="s">
        <v>14</v>
      </c>
      <c r="B458" s="65" t="s">
        <v>15</v>
      </c>
      <c r="C458" s="65"/>
      <c r="D458" s="67">
        <v>16785.0</v>
      </c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</row>
    <row r="459" ht="12.75" customHeight="1">
      <c r="A459" s="65" t="s">
        <v>14</v>
      </c>
      <c r="B459" s="65" t="s">
        <v>15</v>
      </c>
      <c r="C459" s="65"/>
      <c r="D459" s="67">
        <v>16681.5</v>
      </c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</row>
    <row r="460" ht="12.75" customHeight="1">
      <c r="A460" s="65" t="s">
        <v>14</v>
      </c>
      <c r="B460" s="65" t="s">
        <v>15</v>
      </c>
      <c r="C460" s="65"/>
      <c r="D460" s="67">
        <v>15651.0</v>
      </c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</row>
    <row r="461" ht="12.75" customHeight="1">
      <c r="A461" s="65" t="s">
        <v>14</v>
      </c>
      <c r="B461" s="65" t="s">
        <v>15</v>
      </c>
      <c r="C461" s="65"/>
      <c r="D461" s="67">
        <v>15507.0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</row>
    <row r="462" ht="12.75" customHeight="1">
      <c r="A462" s="65" t="s">
        <v>14</v>
      </c>
      <c r="B462" s="65" t="s">
        <v>15</v>
      </c>
      <c r="C462" s="65"/>
      <c r="D462" s="67">
        <v>15336.0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</row>
    <row r="463" ht="12.75" customHeight="1">
      <c r="A463" s="65" t="s">
        <v>14</v>
      </c>
      <c r="B463" s="65" t="s">
        <v>15</v>
      </c>
      <c r="C463" s="65"/>
      <c r="D463" s="67">
        <v>15259.5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</row>
    <row r="464" ht="12.75" customHeight="1">
      <c r="A464" s="65" t="s">
        <v>14</v>
      </c>
      <c r="B464" s="65" t="s">
        <v>15</v>
      </c>
      <c r="C464" s="65"/>
      <c r="D464" s="67">
        <v>15187.5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</row>
    <row r="465" ht="12.75" customHeight="1">
      <c r="A465" s="65" t="s">
        <v>14</v>
      </c>
      <c r="B465" s="65" t="s">
        <v>15</v>
      </c>
      <c r="C465" s="65"/>
      <c r="D465" s="67">
        <v>14796.0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</row>
    <row r="466" ht="12.75" customHeight="1">
      <c r="A466" s="65" t="s">
        <v>14</v>
      </c>
      <c r="B466" s="65" t="s">
        <v>15</v>
      </c>
      <c r="C466" s="65"/>
      <c r="D466" s="67">
        <v>14625.0</v>
      </c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</row>
    <row r="467" ht="12.75" customHeight="1">
      <c r="A467" s="65" t="s">
        <v>14</v>
      </c>
      <c r="B467" s="65" t="s">
        <v>15</v>
      </c>
      <c r="C467" s="65"/>
      <c r="D467" s="67">
        <v>14598.0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</row>
    <row r="468" ht="12.75" customHeight="1">
      <c r="A468" s="65" t="s">
        <v>14</v>
      </c>
      <c r="B468" s="65" t="s">
        <v>15</v>
      </c>
      <c r="C468" s="65"/>
      <c r="D468" s="67">
        <v>14530.5</v>
      </c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</row>
    <row r="469" ht="12.75" customHeight="1">
      <c r="A469" s="65" t="s">
        <v>14</v>
      </c>
      <c r="B469" s="65" t="s">
        <v>15</v>
      </c>
      <c r="C469" s="65"/>
      <c r="D469" s="67">
        <v>14157.0</v>
      </c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</row>
    <row r="470" ht="12.75" customHeight="1">
      <c r="A470" s="65" t="s">
        <v>14</v>
      </c>
      <c r="B470" s="65" t="s">
        <v>15</v>
      </c>
      <c r="C470" s="65"/>
      <c r="D470" s="67">
        <v>14085.0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</row>
    <row r="471" ht="12.75" customHeight="1">
      <c r="A471" s="65" t="s">
        <v>14</v>
      </c>
      <c r="B471" s="65" t="s">
        <v>15</v>
      </c>
      <c r="C471" s="65"/>
      <c r="D471" s="67">
        <v>14040.0</v>
      </c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</row>
    <row r="472" ht="12.75" customHeight="1">
      <c r="A472" s="65" t="s">
        <v>14</v>
      </c>
      <c r="B472" s="65" t="s">
        <v>15</v>
      </c>
      <c r="C472" s="65"/>
      <c r="D472" s="67">
        <v>13905.0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</row>
    <row r="473" ht="12.75" customHeight="1">
      <c r="A473" s="65" t="s">
        <v>14</v>
      </c>
      <c r="B473" s="65" t="s">
        <v>15</v>
      </c>
      <c r="C473" s="65"/>
      <c r="D473" s="67">
        <v>13387.5</v>
      </c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</row>
    <row r="474" ht="12.75" customHeight="1">
      <c r="A474" s="65" t="s">
        <v>14</v>
      </c>
      <c r="B474" s="65" t="s">
        <v>15</v>
      </c>
      <c r="C474" s="65"/>
      <c r="D474" s="67">
        <v>13315.5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</row>
    <row r="475" ht="12.75" customHeight="1">
      <c r="A475" s="65" t="s">
        <v>14</v>
      </c>
      <c r="B475" s="65" t="s">
        <v>15</v>
      </c>
      <c r="C475" s="65"/>
      <c r="D475" s="67">
        <v>13243.5</v>
      </c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</row>
    <row r="476" ht="12.75" customHeight="1">
      <c r="A476" s="65" t="s">
        <v>14</v>
      </c>
      <c r="B476" s="65" t="s">
        <v>15</v>
      </c>
      <c r="C476" s="65"/>
      <c r="D476" s="67">
        <v>13153.5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</row>
    <row r="477" ht="12.75" customHeight="1">
      <c r="A477" s="65" t="s">
        <v>14</v>
      </c>
      <c r="B477" s="65" t="s">
        <v>15</v>
      </c>
      <c r="C477" s="65"/>
      <c r="D477" s="67">
        <v>13077.0</v>
      </c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</row>
    <row r="478" ht="12.75" customHeight="1">
      <c r="A478" s="65" t="s">
        <v>14</v>
      </c>
      <c r="B478" s="65" t="s">
        <v>15</v>
      </c>
      <c r="C478" s="65"/>
      <c r="D478" s="67">
        <v>12987.0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</row>
    <row r="479" ht="12.75" customHeight="1">
      <c r="A479" s="65" t="s">
        <v>14</v>
      </c>
      <c r="B479" s="65" t="s">
        <v>15</v>
      </c>
      <c r="C479" s="65"/>
      <c r="D479" s="67">
        <v>12816.0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</row>
    <row r="480" ht="12.75" customHeight="1">
      <c r="A480" s="65" t="s">
        <v>14</v>
      </c>
      <c r="B480" s="65" t="s">
        <v>15</v>
      </c>
      <c r="C480" s="65"/>
      <c r="D480" s="67">
        <v>12807.0</v>
      </c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</row>
    <row r="481" ht="12.75" customHeight="1">
      <c r="A481" s="65" t="s">
        <v>14</v>
      </c>
      <c r="B481" s="65" t="s">
        <v>15</v>
      </c>
      <c r="C481" s="65"/>
      <c r="D481" s="67">
        <v>12604.5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</row>
    <row r="482" ht="12.75" customHeight="1">
      <c r="A482" s="65" t="s">
        <v>14</v>
      </c>
      <c r="B482" s="65" t="s">
        <v>15</v>
      </c>
      <c r="C482" s="65"/>
      <c r="D482" s="67">
        <v>12447.0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</row>
    <row r="483" ht="12.75" customHeight="1">
      <c r="A483" s="65" t="s">
        <v>14</v>
      </c>
      <c r="B483" s="65" t="s">
        <v>15</v>
      </c>
      <c r="C483" s="65"/>
      <c r="D483" s="67">
        <v>12267.0</v>
      </c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</row>
    <row r="484" ht="12.75" customHeight="1">
      <c r="A484" s="65" t="s">
        <v>14</v>
      </c>
      <c r="B484" s="65" t="s">
        <v>15</v>
      </c>
      <c r="C484" s="65"/>
      <c r="D484" s="67">
        <v>12213.0</v>
      </c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</row>
    <row r="485" ht="12.75" customHeight="1">
      <c r="A485" s="65" t="s">
        <v>14</v>
      </c>
      <c r="B485" s="65" t="s">
        <v>15</v>
      </c>
      <c r="C485" s="65"/>
      <c r="D485" s="67">
        <v>12127.5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</row>
    <row r="486" ht="12.75" customHeight="1">
      <c r="A486" s="65" t="s">
        <v>14</v>
      </c>
      <c r="B486" s="65" t="s">
        <v>15</v>
      </c>
      <c r="C486" s="65"/>
      <c r="D486" s="67">
        <v>11799.0</v>
      </c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</row>
    <row r="487" ht="12.75" customHeight="1">
      <c r="A487" s="65" t="s">
        <v>14</v>
      </c>
      <c r="B487" s="65" t="s">
        <v>15</v>
      </c>
      <c r="C487" s="65"/>
      <c r="D487" s="67">
        <v>11776.5</v>
      </c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</row>
    <row r="488" ht="12.75" customHeight="1">
      <c r="A488" s="65" t="s">
        <v>14</v>
      </c>
      <c r="B488" s="65" t="s">
        <v>15</v>
      </c>
      <c r="C488" s="65"/>
      <c r="D488" s="67">
        <v>11758.5</v>
      </c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</row>
    <row r="489" ht="12.75" customHeight="1">
      <c r="A489" s="65" t="s">
        <v>14</v>
      </c>
      <c r="B489" s="65" t="s">
        <v>15</v>
      </c>
      <c r="C489" s="65"/>
      <c r="D489" s="67">
        <v>11686.5</v>
      </c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</row>
    <row r="490" ht="12.75" customHeight="1">
      <c r="A490" s="65" t="s">
        <v>14</v>
      </c>
      <c r="B490" s="65" t="s">
        <v>15</v>
      </c>
      <c r="C490" s="65"/>
      <c r="D490" s="67">
        <v>11673.0</v>
      </c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</row>
    <row r="491" ht="12.75" customHeight="1">
      <c r="A491" s="65" t="s">
        <v>14</v>
      </c>
      <c r="B491" s="65" t="s">
        <v>15</v>
      </c>
      <c r="C491" s="65"/>
      <c r="D491" s="67">
        <v>11619.0</v>
      </c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</row>
    <row r="492" ht="12.75" customHeight="1">
      <c r="A492" s="65" t="s">
        <v>14</v>
      </c>
      <c r="B492" s="65" t="s">
        <v>15</v>
      </c>
      <c r="C492" s="65"/>
      <c r="D492" s="67">
        <v>11551.5</v>
      </c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</row>
    <row r="493" ht="12.75" customHeight="1">
      <c r="A493" s="65" t="s">
        <v>14</v>
      </c>
      <c r="B493" s="65" t="s">
        <v>15</v>
      </c>
      <c r="C493" s="65"/>
      <c r="D493" s="67">
        <v>11515.5</v>
      </c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</row>
    <row r="494" ht="12.75" customHeight="1">
      <c r="A494" s="65" t="s">
        <v>14</v>
      </c>
      <c r="B494" s="65" t="s">
        <v>15</v>
      </c>
      <c r="C494" s="65"/>
      <c r="D494" s="67">
        <v>11506.5</v>
      </c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</row>
    <row r="495" ht="12.75" customHeight="1">
      <c r="A495" s="65" t="s">
        <v>14</v>
      </c>
      <c r="B495" s="65" t="s">
        <v>15</v>
      </c>
      <c r="C495" s="65"/>
      <c r="D495" s="67">
        <v>11479.5</v>
      </c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</row>
    <row r="496" ht="12.75" customHeight="1">
      <c r="A496" s="65" t="s">
        <v>14</v>
      </c>
      <c r="B496" s="65" t="s">
        <v>15</v>
      </c>
      <c r="C496" s="65"/>
      <c r="D496" s="67">
        <v>11398.5</v>
      </c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</row>
    <row r="497" ht="12.75" customHeight="1">
      <c r="A497" s="65" t="s">
        <v>14</v>
      </c>
      <c r="B497" s="65" t="s">
        <v>15</v>
      </c>
      <c r="C497" s="65"/>
      <c r="D497" s="67">
        <v>11376.0</v>
      </c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</row>
    <row r="498" ht="12.75" customHeight="1">
      <c r="A498" s="65" t="s">
        <v>14</v>
      </c>
      <c r="B498" s="65" t="s">
        <v>15</v>
      </c>
      <c r="C498" s="65"/>
      <c r="D498" s="67">
        <v>11308.5</v>
      </c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</row>
    <row r="499" ht="12.75" customHeight="1">
      <c r="A499" s="65" t="s">
        <v>14</v>
      </c>
      <c r="B499" s="65" t="s">
        <v>15</v>
      </c>
      <c r="C499" s="65"/>
      <c r="D499" s="67">
        <v>11241.0</v>
      </c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</row>
    <row r="500" ht="12.75" customHeight="1">
      <c r="A500" s="65" t="s">
        <v>14</v>
      </c>
      <c r="B500" s="65" t="s">
        <v>15</v>
      </c>
      <c r="C500" s="65"/>
      <c r="D500" s="67">
        <v>11205.0</v>
      </c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</row>
    <row r="501" ht="12.75" customHeight="1">
      <c r="A501" s="65" t="s">
        <v>14</v>
      </c>
      <c r="B501" s="65" t="s">
        <v>15</v>
      </c>
      <c r="C501" s="65"/>
      <c r="D501" s="67">
        <v>11011.5</v>
      </c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</row>
    <row r="502" ht="12.75" customHeight="1">
      <c r="A502" s="65" t="s">
        <v>14</v>
      </c>
      <c r="B502" s="65" t="s">
        <v>15</v>
      </c>
      <c r="C502" s="65"/>
      <c r="D502" s="67">
        <v>10998.0</v>
      </c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</row>
    <row r="503" ht="12.75" customHeight="1">
      <c r="A503" s="65" t="s">
        <v>14</v>
      </c>
      <c r="B503" s="65" t="s">
        <v>15</v>
      </c>
      <c r="C503" s="65"/>
      <c r="D503" s="67">
        <v>10948.5</v>
      </c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</row>
    <row r="504" ht="12.75" customHeight="1">
      <c r="A504" s="65" t="s">
        <v>14</v>
      </c>
      <c r="B504" s="65" t="s">
        <v>15</v>
      </c>
      <c r="C504" s="65"/>
      <c r="D504" s="67">
        <v>10858.5</v>
      </c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</row>
    <row r="505" ht="12.75" customHeight="1">
      <c r="A505" s="65" t="s">
        <v>14</v>
      </c>
      <c r="B505" s="65" t="s">
        <v>15</v>
      </c>
      <c r="C505" s="65"/>
      <c r="D505" s="67">
        <v>10795.5</v>
      </c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</row>
    <row r="506" ht="12.75" customHeight="1">
      <c r="A506" s="65" t="s">
        <v>14</v>
      </c>
      <c r="B506" s="65" t="s">
        <v>15</v>
      </c>
      <c r="C506" s="65"/>
      <c r="D506" s="67">
        <v>10759.5</v>
      </c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</row>
    <row r="507" ht="12.75" customHeight="1">
      <c r="A507" s="65" t="s">
        <v>14</v>
      </c>
      <c r="B507" s="65" t="s">
        <v>15</v>
      </c>
      <c r="C507" s="65"/>
      <c r="D507" s="67">
        <v>10683.0</v>
      </c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</row>
    <row r="508" ht="12.75" customHeight="1">
      <c r="A508" s="65" t="s">
        <v>14</v>
      </c>
      <c r="B508" s="65" t="s">
        <v>15</v>
      </c>
      <c r="C508" s="65"/>
      <c r="D508" s="67">
        <v>10678.5</v>
      </c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</row>
    <row r="509" ht="12.75" customHeight="1">
      <c r="A509" s="65" t="s">
        <v>14</v>
      </c>
      <c r="B509" s="65" t="s">
        <v>15</v>
      </c>
      <c r="C509" s="65"/>
      <c r="D509" s="67">
        <v>10669.5</v>
      </c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</row>
    <row r="510" ht="12.75" customHeight="1">
      <c r="A510" s="65" t="s">
        <v>14</v>
      </c>
      <c r="B510" s="65" t="s">
        <v>15</v>
      </c>
      <c r="C510" s="65"/>
      <c r="D510" s="67">
        <v>10633.5</v>
      </c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</row>
    <row r="511" ht="12.75" customHeight="1">
      <c r="A511" s="65" t="s">
        <v>14</v>
      </c>
      <c r="B511" s="65" t="s">
        <v>15</v>
      </c>
      <c r="C511" s="65"/>
      <c r="D511" s="67">
        <v>10246.5</v>
      </c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</row>
    <row r="512" ht="12.75" customHeight="1">
      <c r="A512" s="65" t="s">
        <v>14</v>
      </c>
      <c r="B512" s="65" t="s">
        <v>15</v>
      </c>
      <c r="C512" s="65"/>
      <c r="D512" s="67">
        <v>10228.5</v>
      </c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</row>
    <row r="513" ht="12.75" customHeight="1">
      <c r="A513" s="65" t="s">
        <v>14</v>
      </c>
      <c r="B513" s="65" t="s">
        <v>15</v>
      </c>
      <c r="C513" s="65"/>
      <c r="D513" s="67">
        <v>10116.0</v>
      </c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</row>
    <row r="514" ht="12.75" customHeight="1">
      <c r="A514" s="65" t="s">
        <v>14</v>
      </c>
      <c r="B514" s="65" t="s">
        <v>15</v>
      </c>
      <c r="C514" s="65"/>
      <c r="D514" s="67">
        <v>10080.0</v>
      </c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</row>
    <row r="515" ht="12.75" customHeight="1">
      <c r="A515" s="65" t="s">
        <v>14</v>
      </c>
      <c r="B515" s="65" t="s">
        <v>15</v>
      </c>
      <c r="C515" s="65"/>
      <c r="D515" s="67">
        <v>10039.5</v>
      </c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</row>
    <row r="516" ht="12.75" customHeight="1">
      <c r="A516" s="65" t="s">
        <v>14</v>
      </c>
      <c r="B516" s="65" t="s">
        <v>15</v>
      </c>
      <c r="C516" s="65"/>
      <c r="D516" s="67">
        <v>10026.0</v>
      </c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</row>
    <row r="517" ht="12.75" customHeight="1">
      <c r="A517" s="65" t="s">
        <v>14</v>
      </c>
      <c r="B517" s="65" t="s">
        <v>15</v>
      </c>
      <c r="C517" s="65"/>
      <c r="D517" s="67">
        <v>9828.0</v>
      </c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</row>
    <row r="518" ht="12.75" customHeight="1">
      <c r="A518" s="65" t="s">
        <v>14</v>
      </c>
      <c r="B518" s="65" t="s">
        <v>15</v>
      </c>
      <c r="C518" s="65"/>
      <c r="D518" s="67">
        <v>9828.0</v>
      </c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</row>
    <row r="519" ht="12.75" customHeight="1">
      <c r="A519" s="65" t="s">
        <v>14</v>
      </c>
      <c r="B519" s="65" t="s">
        <v>15</v>
      </c>
      <c r="C519" s="65"/>
      <c r="D519" s="67">
        <v>9810.0</v>
      </c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</row>
    <row r="520" ht="12.75" customHeight="1">
      <c r="A520" s="65" t="s">
        <v>14</v>
      </c>
      <c r="B520" s="65" t="s">
        <v>15</v>
      </c>
      <c r="C520" s="65"/>
      <c r="D520" s="67">
        <v>9675.0</v>
      </c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</row>
    <row r="521" ht="12.75" customHeight="1">
      <c r="A521" s="65" t="s">
        <v>14</v>
      </c>
      <c r="B521" s="65" t="s">
        <v>15</v>
      </c>
      <c r="C521" s="65"/>
      <c r="D521" s="67">
        <v>9661.5</v>
      </c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</row>
    <row r="522" ht="12.75" customHeight="1">
      <c r="A522" s="65" t="s">
        <v>14</v>
      </c>
      <c r="B522" s="65" t="s">
        <v>15</v>
      </c>
      <c r="C522" s="65"/>
      <c r="D522" s="67">
        <v>9661.5</v>
      </c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</row>
    <row r="523" ht="12.75" customHeight="1">
      <c r="A523" s="65" t="s">
        <v>14</v>
      </c>
      <c r="B523" s="65" t="s">
        <v>15</v>
      </c>
      <c r="C523" s="65"/>
      <c r="D523" s="67">
        <v>9594.0</v>
      </c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</row>
    <row r="524" ht="12.75" customHeight="1">
      <c r="A524" s="65" t="s">
        <v>14</v>
      </c>
      <c r="B524" s="65" t="s">
        <v>15</v>
      </c>
      <c r="C524" s="65"/>
      <c r="D524" s="67">
        <v>9499.5</v>
      </c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</row>
    <row r="525" ht="12.75" customHeight="1">
      <c r="A525" s="65" t="s">
        <v>14</v>
      </c>
      <c r="B525" s="65" t="s">
        <v>15</v>
      </c>
      <c r="C525" s="65"/>
      <c r="D525" s="67">
        <v>9400.5</v>
      </c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</row>
    <row r="526" ht="12.75" customHeight="1">
      <c r="A526" s="65" t="s">
        <v>14</v>
      </c>
      <c r="B526" s="65" t="s">
        <v>15</v>
      </c>
      <c r="C526" s="65"/>
      <c r="D526" s="67">
        <v>9373.5</v>
      </c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</row>
    <row r="527" ht="12.75" customHeight="1">
      <c r="A527" s="65" t="s">
        <v>14</v>
      </c>
      <c r="B527" s="65" t="s">
        <v>15</v>
      </c>
      <c r="C527" s="65"/>
      <c r="D527" s="67">
        <v>9360.0</v>
      </c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</row>
    <row r="528" ht="12.75" customHeight="1">
      <c r="A528" s="65" t="s">
        <v>14</v>
      </c>
      <c r="B528" s="65" t="s">
        <v>15</v>
      </c>
      <c r="C528" s="65"/>
      <c r="D528" s="67">
        <v>9256.5</v>
      </c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</row>
    <row r="529" ht="12.75" customHeight="1">
      <c r="A529" s="65" t="s">
        <v>14</v>
      </c>
      <c r="B529" s="65" t="s">
        <v>15</v>
      </c>
      <c r="C529" s="65"/>
      <c r="D529" s="67">
        <v>9202.5</v>
      </c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</row>
    <row r="530" ht="12.75" customHeight="1">
      <c r="A530" s="65" t="s">
        <v>14</v>
      </c>
      <c r="B530" s="65" t="s">
        <v>15</v>
      </c>
      <c r="C530" s="65"/>
      <c r="D530" s="67">
        <v>9108.0</v>
      </c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</row>
    <row r="531" ht="12.75" customHeight="1">
      <c r="A531" s="65" t="s">
        <v>14</v>
      </c>
      <c r="B531" s="65" t="s">
        <v>15</v>
      </c>
      <c r="C531" s="65"/>
      <c r="D531" s="67">
        <v>9081.0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</row>
    <row r="532" ht="12.75" customHeight="1">
      <c r="A532" s="65" t="s">
        <v>14</v>
      </c>
      <c r="B532" s="65" t="s">
        <v>15</v>
      </c>
      <c r="C532" s="65"/>
      <c r="D532" s="67">
        <v>9004.5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</row>
    <row r="533" ht="12.75" customHeight="1">
      <c r="A533" s="65" t="s">
        <v>14</v>
      </c>
      <c r="B533" s="65" t="s">
        <v>15</v>
      </c>
      <c r="C533" s="65"/>
      <c r="D533" s="67">
        <v>8950.5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</row>
    <row r="534" ht="12.75" customHeight="1">
      <c r="A534" s="65" t="s">
        <v>14</v>
      </c>
      <c r="B534" s="65" t="s">
        <v>15</v>
      </c>
      <c r="C534" s="65"/>
      <c r="D534" s="67">
        <v>8932.5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</row>
    <row r="535" ht="12.75" customHeight="1">
      <c r="A535" s="65" t="s">
        <v>14</v>
      </c>
      <c r="B535" s="65" t="s">
        <v>15</v>
      </c>
      <c r="C535" s="65"/>
      <c r="D535" s="67">
        <v>8883.0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</row>
    <row r="536" ht="12.75" customHeight="1">
      <c r="A536" s="65" t="s">
        <v>14</v>
      </c>
      <c r="B536" s="65" t="s">
        <v>15</v>
      </c>
      <c r="C536" s="65"/>
      <c r="D536" s="67">
        <v>8860.5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</row>
    <row r="537" ht="12.75" customHeight="1">
      <c r="A537" s="65" t="s">
        <v>14</v>
      </c>
      <c r="B537" s="65" t="s">
        <v>15</v>
      </c>
      <c r="C537" s="65"/>
      <c r="D537" s="67">
        <v>8838.0</v>
      </c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</row>
    <row r="538" ht="12.75" customHeight="1">
      <c r="A538" s="65" t="s">
        <v>14</v>
      </c>
      <c r="B538" s="65" t="s">
        <v>15</v>
      </c>
      <c r="C538" s="65"/>
      <c r="D538" s="67">
        <v>8833.5</v>
      </c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</row>
    <row r="539" ht="12.75" customHeight="1">
      <c r="A539" s="65" t="s">
        <v>14</v>
      </c>
      <c r="B539" s="65" t="s">
        <v>15</v>
      </c>
      <c r="C539" s="65"/>
      <c r="D539" s="67">
        <v>8824.5</v>
      </c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</row>
    <row r="540" ht="12.75" customHeight="1">
      <c r="A540" s="65" t="s">
        <v>14</v>
      </c>
      <c r="B540" s="65" t="s">
        <v>15</v>
      </c>
      <c r="C540" s="65"/>
      <c r="D540" s="67">
        <v>8658.0</v>
      </c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</row>
    <row r="541" ht="12.75" customHeight="1">
      <c r="A541" s="65" t="s">
        <v>14</v>
      </c>
      <c r="B541" s="65" t="s">
        <v>15</v>
      </c>
      <c r="C541" s="65"/>
      <c r="D541" s="67">
        <v>8640.0</v>
      </c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</row>
    <row r="542" ht="12.75" customHeight="1">
      <c r="A542" s="65" t="s">
        <v>14</v>
      </c>
      <c r="B542" s="65" t="s">
        <v>15</v>
      </c>
      <c r="C542" s="65"/>
      <c r="D542" s="67">
        <v>8635.5</v>
      </c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</row>
    <row r="543" ht="12.75" customHeight="1">
      <c r="A543" s="65" t="s">
        <v>14</v>
      </c>
      <c r="B543" s="65" t="s">
        <v>15</v>
      </c>
      <c r="C543" s="65"/>
      <c r="D543" s="67">
        <v>8608.5</v>
      </c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</row>
    <row r="544" ht="12.75" customHeight="1">
      <c r="A544" s="65" t="s">
        <v>14</v>
      </c>
      <c r="B544" s="65" t="s">
        <v>15</v>
      </c>
      <c r="C544" s="65"/>
      <c r="D544" s="67">
        <v>8541.0</v>
      </c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</row>
    <row r="545" ht="12.75" customHeight="1">
      <c r="A545" s="65" t="s">
        <v>14</v>
      </c>
      <c r="B545" s="65" t="s">
        <v>15</v>
      </c>
      <c r="C545" s="65"/>
      <c r="D545" s="67">
        <v>8437.5</v>
      </c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</row>
    <row r="546" ht="12.75" customHeight="1">
      <c r="A546" s="65" t="s">
        <v>14</v>
      </c>
      <c r="B546" s="65" t="s">
        <v>15</v>
      </c>
      <c r="C546" s="65"/>
      <c r="D546" s="67">
        <v>8437.5</v>
      </c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</row>
    <row r="547" ht="12.75" customHeight="1">
      <c r="A547" s="65" t="s">
        <v>14</v>
      </c>
      <c r="B547" s="65" t="s">
        <v>15</v>
      </c>
      <c r="C547" s="65"/>
      <c r="D547" s="67">
        <v>8406.0</v>
      </c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</row>
    <row r="548" ht="12.75" customHeight="1">
      <c r="A548" s="65" t="s">
        <v>14</v>
      </c>
      <c r="B548" s="65" t="s">
        <v>15</v>
      </c>
      <c r="C548" s="65"/>
      <c r="D548" s="67">
        <v>8397.0</v>
      </c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</row>
    <row r="549" ht="12.75" customHeight="1">
      <c r="A549" s="65" t="s">
        <v>14</v>
      </c>
      <c r="B549" s="65" t="s">
        <v>15</v>
      </c>
      <c r="C549" s="65"/>
      <c r="D549" s="67">
        <v>8343.0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</row>
    <row r="550" ht="12.75" customHeight="1">
      <c r="A550" s="65" t="s">
        <v>14</v>
      </c>
      <c r="B550" s="65" t="s">
        <v>15</v>
      </c>
      <c r="C550" s="65"/>
      <c r="D550" s="67">
        <v>8329.5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</row>
    <row r="551" ht="12.75" customHeight="1">
      <c r="A551" s="65" t="s">
        <v>14</v>
      </c>
      <c r="B551" s="65" t="s">
        <v>15</v>
      </c>
      <c r="C551" s="65"/>
      <c r="D551" s="67">
        <v>8329.5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</row>
    <row r="552" ht="12.75" customHeight="1">
      <c r="A552" s="65" t="s">
        <v>14</v>
      </c>
      <c r="B552" s="65" t="s">
        <v>15</v>
      </c>
      <c r="C552" s="65"/>
      <c r="D552" s="67">
        <v>8320.5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</row>
    <row r="553" ht="12.75" customHeight="1">
      <c r="A553" s="65" t="s">
        <v>14</v>
      </c>
      <c r="B553" s="65" t="s">
        <v>15</v>
      </c>
      <c r="C553" s="65"/>
      <c r="D553" s="67">
        <v>8208.0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</row>
    <row r="554" ht="12.75" customHeight="1">
      <c r="A554" s="65" t="s">
        <v>14</v>
      </c>
      <c r="B554" s="65" t="s">
        <v>15</v>
      </c>
      <c r="C554" s="65"/>
      <c r="D554" s="67">
        <v>8118.0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</row>
    <row r="555" ht="12.75" customHeight="1">
      <c r="A555" s="65" t="s">
        <v>14</v>
      </c>
      <c r="B555" s="65" t="s">
        <v>15</v>
      </c>
      <c r="C555" s="65"/>
      <c r="D555" s="67">
        <v>8113.5</v>
      </c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</row>
    <row r="556" ht="12.75" customHeight="1">
      <c r="A556" s="65" t="s">
        <v>14</v>
      </c>
      <c r="B556" s="65" t="s">
        <v>15</v>
      </c>
      <c r="C556" s="65"/>
      <c r="D556" s="67">
        <v>8109.0</v>
      </c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</row>
    <row r="557" ht="12.75" customHeight="1">
      <c r="A557" s="65" t="s">
        <v>14</v>
      </c>
      <c r="B557" s="65" t="s">
        <v>15</v>
      </c>
      <c r="C557" s="65"/>
      <c r="D557" s="67">
        <v>8095.5</v>
      </c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</row>
    <row r="558" ht="12.75" customHeight="1">
      <c r="A558" s="65" t="s">
        <v>14</v>
      </c>
      <c r="B558" s="65" t="s">
        <v>15</v>
      </c>
      <c r="C558" s="65"/>
      <c r="D558" s="67">
        <v>8028.0</v>
      </c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</row>
    <row r="559" ht="12.75" customHeight="1">
      <c r="A559" s="65" t="s">
        <v>14</v>
      </c>
      <c r="B559" s="65" t="s">
        <v>15</v>
      </c>
      <c r="C559" s="65"/>
      <c r="D559" s="67">
        <v>8014.5</v>
      </c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</row>
    <row r="560" ht="12.75" customHeight="1">
      <c r="A560" s="65" t="s">
        <v>14</v>
      </c>
      <c r="B560" s="65" t="s">
        <v>15</v>
      </c>
      <c r="C560" s="65"/>
      <c r="D560" s="67">
        <v>7992.0</v>
      </c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</row>
    <row r="561" ht="12.75" customHeight="1">
      <c r="A561" s="65" t="s">
        <v>14</v>
      </c>
      <c r="B561" s="65" t="s">
        <v>15</v>
      </c>
      <c r="C561" s="65"/>
      <c r="D561" s="67">
        <v>7987.5</v>
      </c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</row>
    <row r="562" ht="12.75" customHeight="1">
      <c r="A562" s="65" t="s">
        <v>14</v>
      </c>
      <c r="B562" s="65" t="s">
        <v>15</v>
      </c>
      <c r="C562" s="65"/>
      <c r="D562" s="67">
        <v>7983.0</v>
      </c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</row>
    <row r="563" ht="12.75" customHeight="1">
      <c r="A563" s="65" t="s">
        <v>14</v>
      </c>
      <c r="B563" s="65" t="s">
        <v>15</v>
      </c>
      <c r="C563" s="65"/>
      <c r="D563" s="67">
        <v>7978.5</v>
      </c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</row>
    <row r="564" ht="12.75" customHeight="1">
      <c r="A564" s="65" t="s">
        <v>14</v>
      </c>
      <c r="B564" s="65" t="s">
        <v>15</v>
      </c>
      <c r="C564" s="65"/>
      <c r="D564" s="67">
        <v>7969.5</v>
      </c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</row>
    <row r="565" ht="12.75" customHeight="1">
      <c r="A565" s="65" t="s">
        <v>14</v>
      </c>
      <c r="B565" s="65" t="s">
        <v>15</v>
      </c>
      <c r="C565" s="65"/>
      <c r="D565" s="67">
        <v>7911.0</v>
      </c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</row>
    <row r="566" ht="12.75" customHeight="1">
      <c r="A566" s="65" t="s">
        <v>14</v>
      </c>
      <c r="B566" s="65" t="s">
        <v>15</v>
      </c>
      <c r="C566" s="65"/>
      <c r="D566" s="67">
        <v>7875.0</v>
      </c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</row>
    <row r="567" ht="12.75" customHeight="1">
      <c r="A567" s="65" t="s">
        <v>14</v>
      </c>
      <c r="B567" s="65" t="s">
        <v>15</v>
      </c>
      <c r="C567" s="65"/>
      <c r="D567" s="67">
        <v>7771.5</v>
      </c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</row>
    <row r="568" ht="12.75" customHeight="1">
      <c r="A568" s="65" t="s">
        <v>14</v>
      </c>
      <c r="B568" s="65" t="s">
        <v>15</v>
      </c>
      <c r="C568" s="65"/>
      <c r="D568" s="67">
        <v>7708.5</v>
      </c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</row>
    <row r="569" ht="12.75" customHeight="1">
      <c r="A569" s="65" t="s">
        <v>14</v>
      </c>
      <c r="B569" s="65" t="s">
        <v>15</v>
      </c>
      <c r="C569" s="65"/>
      <c r="D569" s="67">
        <v>7672.5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</row>
    <row r="570" ht="12.75" customHeight="1">
      <c r="A570" s="65" t="s">
        <v>14</v>
      </c>
      <c r="B570" s="65" t="s">
        <v>15</v>
      </c>
      <c r="C570" s="65"/>
      <c r="D570" s="67">
        <v>7672.5</v>
      </c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</row>
    <row r="571" ht="12.75" customHeight="1">
      <c r="A571" s="65" t="s">
        <v>14</v>
      </c>
      <c r="B571" s="65" t="s">
        <v>15</v>
      </c>
      <c r="C571" s="65"/>
      <c r="D571" s="67">
        <v>7641.0</v>
      </c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</row>
    <row r="572" ht="12.75" customHeight="1">
      <c r="A572" s="65" t="s">
        <v>14</v>
      </c>
      <c r="B572" s="65" t="s">
        <v>15</v>
      </c>
      <c r="C572" s="65"/>
      <c r="D572" s="67">
        <v>7636.5</v>
      </c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</row>
    <row r="573" ht="12.75" customHeight="1">
      <c r="A573" s="65" t="s">
        <v>14</v>
      </c>
      <c r="B573" s="65" t="s">
        <v>15</v>
      </c>
      <c r="C573" s="65"/>
      <c r="D573" s="67">
        <v>7555.5</v>
      </c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</row>
    <row r="574" ht="12.75" customHeight="1">
      <c r="A574" s="65" t="s">
        <v>14</v>
      </c>
      <c r="B574" s="65" t="s">
        <v>15</v>
      </c>
      <c r="C574" s="65"/>
      <c r="D574" s="67">
        <v>7488.0</v>
      </c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</row>
    <row r="575" ht="12.75" customHeight="1">
      <c r="A575" s="65" t="s">
        <v>14</v>
      </c>
      <c r="B575" s="65" t="s">
        <v>15</v>
      </c>
      <c r="C575" s="65"/>
      <c r="D575" s="67">
        <v>7447.5</v>
      </c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</row>
    <row r="576" ht="12.75" customHeight="1">
      <c r="A576" s="65" t="s">
        <v>14</v>
      </c>
      <c r="B576" s="65" t="s">
        <v>15</v>
      </c>
      <c r="C576" s="65"/>
      <c r="D576" s="67">
        <v>7371.0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</row>
    <row r="577" ht="12.75" customHeight="1">
      <c r="A577" s="65" t="s">
        <v>14</v>
      </c>
      <c r="B577" s="65" t="s">
        <v>15</v>
      </c>
      <c r="C577" s="65"/>
      <c r="D577" s="67">
        <v>7294.5</v>
      </c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</row>
    <row r="578" ht="12.75" customHeight="1">
      <c r="A578" s="65" t="s">
        <v>14</v>
      </c>
      <c r="B578" s="65" t="s">
        <v>15</v>
      </c>
      <c r="C578" s="65"/>
      <c r="D578" s="67">
        <v>7285.5</v>
      </c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</row>
    <row r="579" ht="12.75" customHeight="1">
      <c r="A579" s="65" t="s">
        <v>14</v>
      </c>
      <c r="B579" s="65" t="s">
        <v>15</v>
      </c>
      <c r="C579" s="65"/>
      <c r="D579" s="67">
        <v>7281.0</v>
      </c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</row>
    <row r="580" ht="12.75" customHeight="1">
      <c r="A580" s="65" t="s">
        <v>14</v>
      </c>
      <c r="B580" s="65" t="s">
        <v>15</v>
      </c>
      <c r="C580" s="65"/>
      <c r="D580" s="67">
        <v>7281.0</v>
      </c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</row>
    <row r="581" ht="12.75" customHeight="1">
      <c r="A581" s="65" t="s">
        <v>14</v>
      </c>
      <c r="B581" s="65" t="s">
        <v>15</v>
      </c>
      <c r="C581" s="65"/>
      <c r="D581" s="67">
        <v>7267.5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</row>
    <row r="582" ht="12.75" customHeight="1">
      <c r="A582" s="65" t="s">
        <v>14</v>
      </c>
      <c r="B582" s="65" t="s">
        <v>15</v>
      </c>
      <c r="C582" s="65"/>
      <c r="D582" s="67">
        <v>7200.0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</row>
    <row r="583" ht="12.75" customHeight="1">
      <c r="A583" s="65" t="s">
        <v>14</v>
      </c>
      <c r="B583" s="65" t="s">
        <v>15</v>
      </c>
      <c r="C583" s="65"/>
      <c r="D583" s="67">
        <v>7146.0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</row>
    <row r="584" ht="12.75" customHeight="1">
      <c r="A584" s="65" t="s">
        <v>14</v>
      </c>
      <c r="B584" s="65" t="s">
        <v>15</v>
      </c>
      <c r="C584" s="65"/>
      <c r="D584" s="67">
        <v>7069.5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</row>
    <row r="585" ht="12.75" customHeight="1">
      <c r="A585" s="65" t="s">
        <v>14</v>
      </c>
      <c r="B585" s="65" t="s">
        <v>15</v>
      </c>
      <c r="C585" s="65"/>
      <c r="D585" s="67">
        <v>7060.5</v>
      </c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</row>
    <row r="586" ht="12.75" customHeight="1">
      <c r="A586" s="65" t="s">
        <v>14</v>
      </c>
      <c r="B586" s="65" t="s">
        <v>15</v>
      </c>
      <c r="C586" s="65"/>
      <c r="D586" s="67">
        <v>7011.0</v>
      </c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</row>
    <row r="587" ht="12.75" customHeight="1">
      <c r="A587" s="65" t="s">
        <v>14</v>
      </c>
      <c r="B587" s="65" t="s">
        <v>15</v>
      </c>
      <c r="C587" s="65"/>
      <c r="D587" s="67">
        <v>7011.0</v>
      </c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</row>
    <row r="588" ht="12.75" customHeight="1">
      <c r="A588" s="65" t="s">
        <v>14</v>
      </c>
      <c r="B588" s="65" t="s">
        <v>15</v>
      </c>
      <c r="C588" s="65"/>
      <c r="D588" s="67">
        <v>6997.5</v>
      </c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</row>
    <row r="589" ht="12.75" customHeight="1">
      <c r="A589" s="65" t="s">
        <v>14</v>
      </c>
      <c r="B589" s="65" t="s">
        <v>15</v>
      </c>
      <c r="C589" s="65"/>
      <c r="D589" s="67">
        <v>6993.0</v>
      </c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</row>
    <row r="590" ht="12.75" customHeight="1">
      <c r="A590" s="65" t="s">
        <v>14</v>
      </c>
      <c r="B590" s="65" t="s">
        <v>15</v>
      </c>
      <c r="C590" s="65"/>
      <c r="D590" s="67">
        <v>6970.5</v>
      </c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</row>
    <row r="591" ht="12.75" customHeight="1">
      <c r="A591" s="65" t="s">
        <v>14</v>
      </c>
      <c r="B591" s="65" t="s">
        <v>15</v>
      </c>
      <c r="C591" s="65"/>
      <c r="D591" s="67">
        <v>6916.5</v>
      </c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</row>
    <row r="592" ht="12.75" customHeight="1">
      <c r="A592" s="65" t="s">
        <v>14</v>
      </c>
      <c r="B592" s="65" t="s">
        <v>15</v>
      </c>
      <c r="C592" s="65"/>
      <c r="D592" s="67">
        <v>6907.5</v>
      </c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</row>
    <row r="593" ht="12.75" customHeight="1">
      <c r="A593" s="65" t="s">
        <v>14</v>
      </c>
      <c r="B593" s="65" t="s">
        <v>15</v>
      </c>
      <c r="C593" s="65"/>
      <c r="D593" s="67">
        <v>6867.0</v>
      </c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</row>
    <row r="594" ht="12.75" customHeight="1">
      <c r="A594" s="65" t="s">
        <v>14</v>
      </c>
      <c r="B594" s="65" t="s">
        <v>15</v>
      </c>
      <c r="C594" s="65"/>
      <c r="D594" s="67">
        <v>6867.0</v>
      </c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</row>
    <row r="595" ht="12.75" customHeight="1">
      <c r="A595" s="65" t="s">
        <v>14</v>
      </c>
      <c r="B595" s="65" t="s">
        <v>15</v>
      </c>
      <c r="C595" s="65"/>
      <c r="D595" s="67">
        <v>6777.0</v>
      </c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</row>
    <row r="596" ht="12.75" customHeight="1">
      <c r="A596" s="65" t="s">
        <v>14</v>
      </c>
      <c r="B596" s="65" t="s">
        <v>15</v>
      </c>
      <c r="C596" s="65"/>
      <c r="D596" s="67">
        <v>6736.5</v>
      </c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</row>
    <row r="597" ht="12.75" customHeight="1">
      <c r="A597" s="65" t="s">
        <v>14</v>
      </c>
      <c r="B597" s="65" t="s">
        <v>15</v>
      </c>
      <c r="C597" s="65"/>
      <c r="D597" s="67">
        <v>6727.5</v>
      </c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</row>
    <row r="598" ht="12.75" customHeight="1">
      <c r="A598" s="65" t="s">
        <v>14</v>
      </c>
      <c r="B598" s="65" t="s">
        <v>15</v>
      </c>
      <c r="C598" s="65"/>
      <c r="D598" s="67">
        <v>6619.5</v>
      </c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</row>
    <row r="599" ht="12.75" customHeight="1">
      <c r="A599" s="65" t="s">
        <v>14</v>
      </c>
      <c r="B599" s="65" t="s">
        <v>15</v>
      </c>
      <c r="C599" s="65"/>
      <c r="D599" s="67">
        <v>6610.5</v>
      </c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</row>
    <row r="600" ht="12.75" customHeight="1">
      <c r="A600" s="65" t="s">
        <v>14</v>
      </c>
      <c r="B600" s="65" t="s">
        <v>15</v>
      </c>
      <c r="C600" s="65"/>
      <c r="D600" s="67">
        <v>6592.5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</row>
    <row r="601" ht="12.75" customHeight="1">
      <c r="A601" s="65" t="s">
        <v>14</v>
      </c>
      <c r="B601" s="65" t="s">
        <v>15</v>
      </c>
      <c r="C601" s="65"/>
      <c r="D601" s="67">
        <v>6579.0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</row>
    <row r="602" ht="12.75" customHeight="1">
      <c r="A602" s="65" t="s">
        <v>14</v>
      </c>
      <c r="B602" s="65" t="s">
        <v>15</v>
      </c>
      <c r="C602" s="65"/>
      <c r="D602" s="67">
        <v>6565.5</v>
      </c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</row>
    <row r="603" ht="12.75" customHeight="1">
      <c r="A603" s="65" t="s">
        <v>14</v>
      </c>
      <c r="B603" s="65" t="s">
        <v>15</v>
      </c>
      <c r="C603" s="65"/>
      <c r="D603" s="67">
        <v>6538.5</v>
      </c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</row>
    <row r="604" ht="12.75" customHeight="1">
      <c r="A604" s="65" t="s">
        <v>14</v>
      </c>
      <c r="B604" s="65" t="s">
        <v>15</v>
      </c>
      <c r="C604" s="65"/>
      <c r="D604" s="67">
        <v>6484.5</v>
      </c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</row>
    <row r="605" ht="12.75" customHeight="1">
      <c r="A605" s="65" t="s">
        <v>14</v>
      </c>
      <c r="B605" s="65" t="s">
        <v>15</v>
      </c>
      <c r="C605" s="65"/>
      <c r="D605" s="67">
        <v>6412.5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</row>
    <row r="606" ht="12.75" customHeight="1">
      <c r="A606" s="65" t="s">
        <v>14</v>
      </c>
      <c r="B606" s="65" t="s">
        <v>15</v>
      </c>
      <c r="C606" s="65"/>
      <c r="D606" s="67">
        <v>6363.0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</row>
    <row r="607" ht="12.75" customHeight="1">
      <c r="A607" s="65" t="s">
        <v>14</v>
      </c>
      <c r="B607" s="65" t="s">
        <v>15</v>
      </c>
      <c r="C607" s="65"/>
      <c r="D607" s="67">
        <v>6340.5</v>
      </c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</row>
    <row r="608" ht="12.75" customHeight="1">
      <c r="A608" s="65" t="s">
        <v>14</v>
      </c>
      <c r="B608" s="65" t="s">
        <v>15</v>
      </c>
      <c r="C608" s="65"/>
      <c r="D608" s="67">
        <v>6201.0</v>
      </c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</row>
    <row r="609" ht="12.75" customHeight="1">
      <c r="A609" s="65" t="s">
        <v>14</v>
      </c>
      <c r="B609" s="65" t="s">
        <v>15</v>
      </c>
      <c r="C609" s="65"/>
      <c r="D609" s="67">
        <v>6174.0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</row>
    <row r="610" ht="12.75" customHeight="1">
      <c r="A610" s="65" t="s">
        <v>14</v>
      </c>
      <c r="B610" s="65" t="s">
        <v>15</v>
      </c>
      <c r="C610" s="65"/>
      <c r="D610" s="67">
        <v>6093.0</v>
      </c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</row>
    <row r="611" ht="12.75" customHeight="1">
      <c r="A611" s="65" t="s">
        <v>14</v>
      </c>
      <c r="B611" s="65" t="s">
        <v>15</v>
      </c>
      <c r="C611" s="65"/>
      <c r="D611" s="67">
        <v>6093.0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</row>
    <row r="612" ht="12.75" customHeight="1">
      <c r="A612" s="65" t="s">
        <v>14</v>
      </c>
      <c r="B612" s="65" t="s">
        <v>15</v>
      </c>
      <c r="C612" s="65"/>
      <c r="D612" s="67">
        <v>6079.5</v>
      </c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</row>
    <row r="613" ht="12.75" customHeight="1">
      <c r="A613" s="65" t="s">
        <v>14</v>
      </c>
      <c r="B613" s="65" t="s">
        <v>15</v>
      </c>
      <c r="C613" s="65"/>
      <c r="D613" s="67">
        <v>6075.0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</row>
    <row r="614" ht="12.75" customHeight="1">
      <c r="A614" s="65" t="s">
        <v>14</v>
      </c>
      <c r="B614" s="65" t="s">
        <v>15</v>
      </c>
      <c r="C614" s="65"/>
      <c r="D614" s="67">
        <v>6039.0</v>
      </c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</row>
    <row r="615" ht="12.75" customHeight="1">
      <c r="A615" s="65" t="s">
        <v>14</v>
      </c>
      <c r="B615" s="65" t="s">
        <v>15</v>
      </c>
      <c r="C615" s="65"/>
      <c r="D615" s="67">
        <v>6039.0</v>
      </c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</row>
    <row r="616" ht="12.75" customHeight="1">
      <c r="A616" s="65" t="s">
        <v>14</v>
      </c>
      <c r="B616" s="65" t="s">
        <v>15</v>
      </c>
      <c r="C616" s="65"/>
      <c r="D616" s="67">
        <v>6012.0</v>
      </c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</row>
    <row r="617" ht="12.75" customHeight="1">
      <c r="A617" s="65" t="s">
        <v>14</v>
      </c>
      <c r="B617" s="65" t="s">
        <v>15</v>
      </c>
      <c r="C617" s="65"/>
      <c r="D617" s="67">
        <v>5962.5</v>
      </c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</row>
    <row r="618" ht="12.75" customHeight="1">
      <c r="A618" s="65" t="s">
        <v>14</v>
      </c>
      <c r="B618" s="65" t="s">
        <v>15</v>
      </c>
      <c r="C618" s="65"/>
      <c r="D618" s="67">
        <v>5953.5</v>
      </c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</row>
    <row r="619" ht="12.75" customHeight="1">
      <c r="A619" s="65" t="s">
        <v>14</v>
      </c>
      <c r="B619" s="65" t="s">
        <v>15</v>
      </c>
      <c r="C619" s="65"/>
      <c r="D619" s="67">
        <v>5949.0</v>
      </c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</row>
    <row r="620" ht="12.75" customHeight="1">
      <c r="A620" s="65" t="s">
        <v>14</v>
      </c>
      <c r="B620" s="65" t="s">
        <v>15</v>
      </c>
      <c r="C620" s="65"/>
      <c r="D620" s="67">
        <v>5949.0</v>
      </c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</row>
    <row r="621" ht="12.75" customHeight="1">
      <c r="A621" s="65" t="s">
        <v>14</v>
      </c>
      <c r="B621" s="65" t="s">
        <v>15</v>
      </c>
      <c r="C621" s="65"/>
      <c r="D621" s="67">
        <v>5899.5</v>
      </c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</row>
    <row r="622" ht="12.75" customHeight="1">
      <c r="A622" s="65" t="s">
        <v>14</v>
      </c>
      <c r="B622" s="65" t="s">
        <v>15</v>
      </c>
      <c r="C622" s="65"/>
      <c r="D622" s="67">
        <v>5899.5</v>
      </c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</row>
    <row r="623" ht="12.75" customHeight="1">
      <c r="A623" s="65" t="s">
        <v>14</v>
      </c>
      <c r="B623" s="65" t="s">
        <v>15</v>
      </c>
      <c r="C623" s="65"/>
      <c r="D623" s="67">
        <v>5895.0</v>
      </c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</row>
    <row r="624" ht="12.75" customHeight="1">
      <c r="A624" s="65" t="s">
        <v>14</v>
      </c>
      <c r="B624" s="65" t="s">
        <v>15</v>
      </c>
      <c r="C624" s="65"/>
      <c r="D624" s="67">
        <v>5841.0</v>
      </c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</row>
    <row r="625" ht="12.75" customHeight="1">
      <c r="A625" s="65" t="s">
        <v>14</v>
      </c>
      <c r="B625" s="65" t="s">
        <v>15</v>
      </c>
      <c r="C625" s="65"/>
      <c r="D625" s="67">
        <v>5818.5</v>
      </c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</row>
    <row r="626" ht="12.75" customHeight="1">
      <c r="A626" s="65" t="s">
        <v>14</v>
      </c>
      <c r="B626" s="65" t="s">
        <v>15</v>
      </c>
      <c r="C626" s="65"/>
      <c r="D626" s="67">
        <v>5814.0</v>
      </c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</row>
    <row r="627" ht="12.75" customHeight="1">
      <c r="A627" s="65" t="s">
        <v>14</v>
      </c>
      <c r="B627" s="65" t="s">
        <v>15</v>
      </c>
      <c r="C627" s="65"/>
      <c r="D627" s="67">
        <v>5809.5</v>
      </c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</row>
    <row r="628" ht="12.75" customHeight="1">
      <c r="A628" s="65" t="s">
        <v>14</v>
      </c>
      <c r="B628" s="65" t="s">
        <v>15</v>
      </c>
      <c r="C628" s="65"/>
      <c r="D628" s="67">
        <v>5782.5</v>
      </c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</row>
    <row r="629" ht="12.75" customHeight="1">
      <c r="A629" s="65" t="s">
        <v>14</v>
      </c>
      <c r="B629" s="65" t="s">
        <v>15</v>
      </c>
      <c r="C629" s="65"/>
      <c r="D629" s="67">
        <v>5760.0</v>
      </c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</row>
    <row r="630" ht="12.75" customHeight="1">
      <c r="A630" s="65" t="s">
        <v>14</v>
      </c>
      <c r="B630" s="65" t="s">
        <v>15</v>
      </c>
      <c r="C630" s="65"/>
      <c r="D630" s="67">
        <v>5719.5</v>
      </c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</row>
    <row r="631" ht="12.75" customHeight="1">
      <c r="A631" s="65" t="s">
        <v>14</v>
      </c>
      <c r="B631" s="65" t="s">
        <v>15</v>
      </c>
      <c r="C631" s="65"/>
      <c r="D631" s="67">
        <v>5625.0</v>
      </c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</row>
    <row r="632" ht="12.75" customHeight="1">
      <c r="A632" s="65" t="s">
        <v>14</v>
      </c>
      <c r="B632" s="65" t="s">
        <v>15</v>
      </c>
      <c r="C632" s="65"/>
      <c r="D632" s="67">
        <v>5620.5</v>
      </c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</row>
    <row r="633" ht="12.75" customHeight="1">
      <c r="A633" s="65" t="s">
        <v>14</v>
      </c>
      <c r="B633" s="65" t="s">
        <v>15</v>
      </c>
      <c r="C633" s="65"/>
      <c r="D633" s="67">
        <v>5607.0</v>
      </c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</row>
    <row r="634" ht="12.75" customHeight="1">
      <c r="A634" s="65" t="s">
        <v>14</v>
      </c>
      <c r="B634" s="65" t="s">
        <v>15</v>
      </c>
      <c r="C634" s="65"/>
      <c r="D634" s="67">
        <v>5589.0</v>
      </c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</row>
    <row r="635" ht="12.75" customHeight="1">
      <c r="A635" s="65" t="s">
        <v>14</v>
      </c>
      <c r="B635" s="65" t="s">
        <v>15</v>
      </c>
      <c r="C635" s="65"/>
      <c r="D635" s="67">
        <v>5467.5</v>
      </c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</row>
    <row r="636" ht="12.75" customHeight="1">
      <c r="A636" s="65" t="s">
        <v>14</v>
      </c>
      <c r="B636" s="65" t="s">
        <v>15</v>
      </c>
      <c r="C636" s="65"/>
      <c r="D636" s="67">
        <v>5422.5</v>
      </c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</row>
    <row r="637" ht="12.75" customHeight="1">
      <c r="A637" s="65" t="s">
        <v>14</v>
      </c>
      <c r="B637" s="65" t="s">
        <v>15</v>
      </c>
      <c r="C637" s="65"/>
      <c r="D637" s="67">
        <v>5409.0</v>
      </c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</row>
    <row r="638" ht="12.75" customHeight="1">
      <c r="A638" s="65" t="s">
        <v>14</v>
      </c>
      <c r="B638" s="65" t="s">
        <v>15</v>
      </c>
      <c r="C638" s="65"/>
      <c r="D638" s="67">
        <v>5368.5</v>
      </c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</row>
    <row r="639" ht="12.75" customHeight="1">
      <c r="A639" s="65" t="s">
        <v>14</v>
      </c>
      <c r="B639" s="65" t="s">
        <v>15</v>
      </c>
      <c r="C639" s="65"/>
      <c r="D639" s="67">
        <v>5368.5</v>
      </c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</row>
    <row r="640" ht="12.75" customHeight="1">
      <c r="A640" s="65" t="s">
        <v>14</v>
      </c>
      <c r="B640" s="65" t="s">
        <v>15</v>
      </c>
      <c r="C640" s="65"/>
      <c r="D640" s="67">
        <v>5328.0</v>
      </c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</row>
    <row r="641" ht="12.75" customHeight="1">
      <c r="A641" s="65" t="s">
        <v>14</v>
      </c>
      <c r="B641" s="65" t="s">
        <v>15</v>
      </c>
      <c r="C641" s="65"/>
      <c r="D641" s="67">
        <v>5283.0</v>
      </c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</row>
    <row r="642" ht="12.75" customHeight="1">
      <c r="A642" s="65" t="s">
        <v>14</v>
      </c>
      <c r="B642" s="65" t="s">
        <v>15</v>
      </c>
      <c r="C642" s="65"/>
      <c r="D642" s="67">
        <v>5278.5</v>
      </c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</row>
    <row r="643" ht="12.75" customHeight="1">
      <c r="A643" s="65" t="s">
        <v>14</v>
      </c>
      <c r="B643" s="65" t="s">
        <v>15</v>
      </c>
      <c r="C643" s="65"/>
      <c r="D643" s="67">
        <v>5247.0</v>
      </c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</row>
    <row r="644" ht="12.75" customHeight="1">
      <c r="A644" s="65" t="s">
        <v>14</v>
      </c>
      <c r="B644" s="65" t="s">
        <v>15</v>
      </c>
      <c r="C644" s="65"/>
      <c r="D644" s="67">
        <v>5238.0</v>
      </c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</row>
    <row r="645" ht="12.75" customHeight="1">
      <c r="A645" s="65" t="s">
        <v>14</v>
      </c>
      <c r="B645" s="65" t="s">
        <v>15</v>
      </c>
      <c r="C645" s="65"/>
      <c r="D645" s="67">
        <v>5233.5</v>
      </c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</row>
    <row r="646" ht="12.75" customHeight="1">
      <c r="A646" s="65" t="s">
        <v>14</v>
      </c>
      <c r="B646" s="65" t="s">
        <v>15</v>
      </c>
      <c r="C646" s="65"/>
      <c r="D646" s="67">
        <v>5229.0</v>
      </c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</row>
    <row r="647" ht="12.75" customHeight="1">
      <c r="A647" s="65" t="s">
        <v>14</v>
      </c>
      <c r="B647" s="65" t="s">
        <v>15</v>
      </c>
      <c r="C647" s="65"/>
      <c r="D647" s="67">
        <v>5220.0</v>
      </c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</row>
    <row r="648" ht="12.75" customHeight="1">
      <c r="A648" s="65" t="s">
        <v>14</v>
      </c>
      <c r="B648" s="65" t="s">
        <v>15</v>
      </c>
      <c r="C648" s="65"/>
      <c r="D648" s="67">
        <v>5197.5</v>
      </c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</row>
    <row r="649" ht="12.75" customHeight="1">
      <c r="A649" s="65" t="s">
        <v>14</v>
      </c>
      <c r="B649" s="65" t="s">
        <v>15</v>
      </c>
      <c r="C649" s="65"/>
      <c r="D649" s="67">
        <v>5193.0</v>
      </c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</row>
    <row r="650" ht="12.75" customHeight="1">
      <c r="A650" s="65" t="s">
        <v>14</v>
      </c>
      <c r="B650" s="65" t="s">
        <v>15</v>
      </c>
      <c r="C650" s="65"/>
      <c r="D650" s="67">
        <v>5179.5</v>
      </c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</row>
    <row r="651" ht="12.75" customHeight="1">
      <c r="A651" s="65" t="s">
        <v>14</v>
      </c>
      <c r="B651" s="65" t="s">
        <v>15</v>
      </c>
      <c r="C651" s="65"/>
      <c r="D651" s="67">
        <v>5161.5</v>
      </c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</row>
    <row r="652" ht="12.75" customHeight="1">
      <c r="A652" s="65" t="s">
        <v>14</v>
      </c>
      <c r="B652" s="65" t="s">
        <v>15</v>
      </c>
      <c r="C652" s="65"/>
      <c r="D652" s="67">
        <v>5134.5</v>
      </c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</row>
    <row r="653" ht="12.75" customHeight="1">
      <c r="A653" s="65" t="s">
        <v>14</v>
      </c>
      <c r="B653" s="65" t="s">
        <v>15</v>
      </c>
      <c r="C653" s="65"/>
      <c r="D653" s="67">
        <v>5098.5</v>
      </c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</row>
    <row r="654" ht="12.75" customHeight="1">
      <c r="A654" s="65" t="s">
        <v>14</v>
      </c>
      <c r="B654" s="65" t="s">
        <v>15</v>
      </c>
      <c r="C654" s="65"/>
      <c r="D654" s="67">
        <v>5089.5</v>
      </c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</row>
    <row r="655" ht="12.75" customHeight="1">
      <c r="A655" s="65" t="s">
        <v>14</v>
      </c>
      <c r="B655" s="65" t="s">
        <v>15</v>
      </c>
      <c r="C655" s="65"/>
      <c r="D655" s="67">
        <v>5067.0</v>
      </c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</row>
    <row r="656" ht="12.75" customHeight="1">
      <c r="A656" s="65" t="s">
        <v>14</v>
      </c>
      <c r="B656" s="65" t="s">
        <v>15</v>
      </c>
      <c r="C656" s="65"/>
      <c r="D656" s="67">
        <v>5044.5</v>
      </c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</row>
    <row r="657" ht="12.75" customHeight="1">
      <c r="A657" s="65" t="s">
        <v>14</v>
      </c>
      <c r="B657" s="65" t="s">
        <v>15</v>
      </c>
      <c r="C657" s="65"/>
      <c r="D657" s="67">
        <v>5031.0</v>
      </c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</row>
    <row r="658" ht="12.75" customHeight="1">
      <c r="A658" s="65" t="s">
        <v>14</v>
      </c>
      <c r="B658" s="65" t="s">
        <v>15</v>
      </c>
      <c r="C658" s="65"/>
      <c r="D658" s="67">
        <v>5004.0</v>
      </c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</row>
    <row r="659" ht="12.75" customHeight="1">
      <c r="A659" s="65" t="s">
        <v>14</v>
      </c>
      <c r="B659" s="65" t="s">
        <v>15</v>
      </c>
      <c r="C659" s="65"/>
      <c r="D659" s="67">
        <v>4972.5</v>
      </c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</row>
    <row r="660" ht="12.75" customHeight="1">
      <c r="A660" s="65" t="s">
        <v>14</v>
      </c>
      <c r="B660" s="65" t="s">
        <v>15</v>
      </c>
      <c r="C660" s="65"/>
      <c r="D660" s="67">
        <v>4963.5</v>
      </c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</row>
    <row r="661" ht="12.75" customHeight="1">
      <c r="A661" s="65" t="s">
        <v>14</v>
      </c>
      <c r="B661" s="65" t="s">
        <v>15</v>
      </c>
      <c r="C661" s="65"/>
      <c r="D661" s="67">
        <v>4959.0</v>
      </c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</row>
    <row r="662" ht="12.75" customHeight="1">
      <c r="A662" s="65" t="s">
        <v>14</v>
      </c>
      <c r="B662" s="65" t="s">
        <v>15</v>
      </c>
      <c r="C662" s="65"/>
      <c r="D662" s="67">
        <v>4954.5</v>
      </c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</row>
    <row r="663" ht="12.75" customHeight="1">
      <c r="A663" s="65" t="s">
        <v>14</v>
      </c>
      <c r="B663" s="65" t="s">
        <v>15</v>
      </c>
      <c r="C663" s="65"/>
      <c r="D663" s="67">
        <v>4923.0</v>
      </c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</row>
    <row r="664" ht="12.75" customHeight="1">
      <c r="A664" s="65" t="s">
        <v>14</v>
      </c>
      <c r="B664" s="65" t="s">
        <v>15</v>
      </c>
      <c r="C664" s="65"/>
      <c r="D664" s="67">
        <v>4896.0</v>
      </c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</row>
    <row r="665" ht="12.75" customHeight="1">
      <c r="A665" s="65" t="s">
        <v>14</v>
      </c>
      <c r="B665" s="65" t="s">
        <v>15</v>
      </c>
      <c r="C665" s="65"/>
      <c r="D665" s="67">
        <v>4891.5</v>
      </c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</row>
    <row r="666" ht="12.75" customHeight="1">
      <c r="A666" s="65" t="s">
        <v>14</v>
      </c>
      <c r="B666" s="65" t="s">
        <v>15</v>
      </c>
      <c r="C666" s="65"/>
      <c r="D666" s="67">
        <v>4887.0</v>
      </c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</row>
    <row r="667" ht="12.75" customHeight="1">
      <c r="A667" s="65" t="s">
        <v>14</v>
      </c>
      <c r="B667" s="65" t="s">
        <v>15</v>
      </c>
      <c r="C667" s="65"/>
      <c r="D667" s="67">
        <v>4882.5</v>
      </c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</row>
    <row r="668" ht="12.75" customHeight="1">
      <c r="A668" s="65" t="s">
        <v>14</v>
      </c>
      <c r="B668" s="65" t="s">
        <v>15</v>
      </c>
      <c r="C668" s="65"/>
      <c r="D668" s="67">
        <v>4882.5</v>
      </c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</row>
    <row r="669" ht="12.75" customHeight="1">
      <c r="A669" s="65" t="s">
        <v>14</v>
      </c>
      <c r="B669" s="65" t="s">
        <v>15</v>
      </c>
      <c r="C669" s="65"/>
      <c r="D669" s="67">
        <v>4882.5</v>
      </c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</row>
    <row r="670" ht="12.75" customHeight="1">
      <c r="A670" s="65" t="s">
        <v>14</v>
      </c>
      <c r="B670" s="65" t="s">
        <v>15</v>
      </c>
      <c r="C670" s="65"/>
      <c r="D670" s="67">
        <v>4882.5</v>
      </c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</row>
    <row r="671" ht="12.75" customHeight="1">
      <c r="A671" s="65" t="s">
        <v>14</v>
      </c>
      <c r="B671" s="65" t="s">
        <v>15</v>
      </c>
      <c r="C671" s="65"/>
      <c r="D671" s="67">
        <v>4882.5</v>
      </c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</row>
    <row r="672" ht="12.75" customHeight="1">
      <c r="A672" s="65" t="s">
        <v>14</v>
      </c>
      <c r="B672" s="65" t="s">
        <v>15</v>
      </c>
      <c r="C672" s="65"/>
      <c r="D672" s="67">
        <v>4882.5</v>
      </c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</row>
    <row r="673" ht="12.75" customHeight="1">
      <c r="A673" s="65" t="s">
        <v>14</v>
      </c>
      <c r="B673" s="65" t="s">
        <v>15</v>
      </c>
      <c r="C673" s="65"/>
      <c r="D673" s="67">
        <v>4801.5</v>
      </c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</row>
    <row r="674" ht="12.75" customHeight="1">
      <c r="A674" s="65" t="s">
        <v>14</v>
      </c>
      <c r="B674" s="65" t="s">
        <v>15</v>
      </c>
      <c r="C674" s="65"/>
      <c r="D674" s="67">
        <v>4788.0</v>
      </c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</row>
    <row r="675" ht="12.75" customHeight="1">
      <c r="A675" s="65" t="s">
        <v>14</v>
      </c>
      <c r="B675" s="65" t="s">
        <v>15</v>
      </c>
      <c r="C675" s="65"/>
      <c r="D675" s="67">
        <v>4765.5</v>
      </c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</row>
    <row r="676" ht="12.75" customHeight="1">
      <c r="A676" s="65" t="s">
        <v>14</v>
      </c>
      <c r="B676" s="65" t="s">
        <v>15</v>
      </c>
      <c r="C676" s="65"/>
      <c r="D676" s="67">
        <v>4756.5</v>
      </c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</row>
    <row r="677" ht="12.75" customHeight="1">
      <c r="A677" s="65" t="s">
        <v>14</v>
      </c>
      <c r="B677" s="65" t="s">
        <v>15</v>
      </c>
      <c r="C677" s="65"/>
      <c r="D677" s="67">
        <v>4689.0</v>
      </c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</row>
    <row r="678" ht="12.75" customHeight="1">
      <c r="A678" s="65" t="s">
        <v>14</v>
      </c>
      <c r="B678" s="65" t="s">
        <v>15</v>
      </c>
      <c r="C678" s="65"/>
      <c r="D678" s="67">
        <v>4684.5</v>
      </c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</row>
    <row r="679" ht="12.75" customHeight="1">
      <c r="A679" s="65" t="s">
        <v>14</v>
      </c>
      <c r="B679" s="65" t="s">
        <v>15</v>
      </c>
      <c r="C679" s="65"/>
      <c r="D679" s="67">
        <v>4680.0</v>
      </c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</row>
    <row r="680" ht="12.75" customHeight="1">
      <c r="A680" s="65" t="s">
        <v>14</v>
      </c>
      <c r="B680" s="65" t="s">
        <v>15</v>
      </c>
      <c r="C680" s="65"/>
      <c r="D680" s="67">
        <v>4680.0</v>
      </c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</row>
    <row r="681" ht="12.75" customHeight="1">
      <c r="A681" s="65" t="s">
        <v>14</v>
      </c>
      <c r="B681" s="65" t="s">
        <v>15</v>
      </c>
      <c r="C681" s="65"/>
      <c r="D681" s="67">
        <v>4680.0</v>
      </c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</row>
    <row r="682" ht="12.75" customHeight="1">
      <c r="A682" s="65" t="s">
        <v>14</v>
      </c>
      <c r="B682" s="65" t="s">
        <v>15</v>
      </c>
      <c r="C682" s="65"/>
      <c r="D682" s="67">
        <v>4680.0</v>
      </c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</row>
    <row r="683" ht="12.75" customHeight="1">
      <c r="A683" s="65" t="s">
        <v>14</v>
      </c>
      <c r="B683" s="65" t="s">
        <v>15</v>
      </c>
      <c r="C683" s="65"/>
      <c r="D683" s="67">
        <v>4666.5</v>
      </c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</row>
    <row r="684" ht="12.75" customHeight="1">
      <c r="A684" s="65" t="s">
        <v>14</v>
      </c>
      <c r="B684" s="65" t="s">
        <v>15</v>
      </c>
      <c r="C684" s="65"/>
      <c r="D684" s="67">
        <v>4653.0</v>
      </c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</row>
    <row r="685" ht="12.75" customHeight="1">
      <c r="A685" s="65" t="s">
        <v>14</v>
      </c>
      <c r="B685" s="65" t="s">
        <v>15</v>
      </c>
      <c r="C685" s="65"/>
      <c r="D685" s="67">
        <v>4653.0</v>
      </c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</row>
    <row r="686" ht="12.75" customHeight="1">
      <c r="A686" s="65" t="s">
        <v>14</v>
      </c>
      <c r="B686" s="65" t="s">
        <v>15</v>
      </c>
      <c r="C686" s="65"/>
      <c r="D686" s="67">
        <v>4621.5</v>
      </c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</row>
    <row r="687" ht="12.75" customHeight="1">
      <c r="A687" s="65" t="s">
        <v>14</v>
      </c>
      <c r="B687" s="65" t="s">
        <v>15</v>
      </c>
      <c r="C687" s="65"/>
      <c r="D687" s="67">
        <v>4617.0</v>
      </c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</row>
    <row r="688" ht="12.75" customHeight="1">
      <c r="A688" s="65" t="s">
        <v>14</v>
      </c>
      <c r="B688" s="65" t="s">
        <v>15</v>
      </c>
      <c r="C688" s="65"/>
      <c r="D688" s="67">
        <v>4612.5</v>
      </c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</row>
    <row r="689" ht="12.75" customHeight="1">
      <c r="A689" s="65" t="s">
        <v>14</v>
      </c>
      <c r="B689" s="65" t="s">
        <v>15</v>
      </c>
      <c r="C689" s="65"/>
      <c r="D689" s="67">
        <v>4549.5</v>
      </c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</row>
    <row r="690" ht="12.75" customHeight="1">
      <c r="A690" s="65" t="s">
        <v>14</v>
      </c>
      <c r="B690" s="65" t="s">
        <v>15</v>
      </c>
      <c r="C690" s="65"/>
      <c r="D690" s="67">
        <v>4540.5</v>
      </c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</row>
    <row r="691" ht="12.75" customHeight="1">
      <c r="A691" s="65" t="s">
        <v>14</v>
      </c>
      <c r="B691" s="65" t="s">
        <v>15</v>
      </c>
      <c r="C691" s="65"/>
      <c r="D691" s="67">
        <v>4540.5</v>
      </c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</row>
    <row r="692" ht="12.75" customHeight="1">
      <c r="A692" s="65" t="s">
        <v>14</v>
      </c>
      <c r="B692" s="65" t="s">
        <v>15</v>
      </c>
      <c r="C692" s="65"/>
      <c r="D692" s="67">
        <v>4536.0</v>
      </c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</row>
    <row r="693" ht="12.75" customHeight="1">
      <c r="A693" s="65" t="s">
        <v>14</v>
      </c>
      <c r="B693" s="65" t="s">
        <v>15</v>
      </c>
      <c r="C693" s="65"/>
      <c r="D693" s="67">
        <v>4531.5</v>
      </c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</row>
    <row r="694" ht="12.75" customHeight="1">
      <c r="A694" s="65" t="s">
        <v>14</v>
      </c>
      <c r="B694" s="65" t="s">
        <v>15</v>
      </c>
      <c r="C694" s="65"/>
      <c r="D694" s="67">
        <v>4441.5</v>
      </c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</row>
    <row r="695" ht="12.75" customHeight="1">
      <c r="A695" s="65" t="s">
        <v>14</v>
      </c>
      <c r="B695" s="65" t="s">
        <v>15</v>
      </c>
      <c r="C695" s="65"/>
      <c r="D695" s="67">
        <v>4423.5</v>
      </c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</row>
    <row r="696" ht="12.75" customHeight="1">
      <c r="A696" s="65" t="s">
        <v>14</v>
      </c>
      <c r="B696" s="65" t="s">
        <v>15</v>
      </c>
      <c r="C696" s="65"/>
      <c r="D696" s="67">
        <v>4410.0</v>
      </c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</row>
    <row r="697" ht="12.75" customHeight="1">
      <c r="A697" s="65" t="s">
        <v>14</v>
      </c>
      <c r="B697" s="65" t="s">
        <v>15</v>
      </c>
      <c r="C697" s="65"/>
      <c r="D697" s="67">
        <v>4387.5</v>
      </c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</row>
    <row r="698" ht="12.75" customHeight="1">
      <c r="A698" s="65" t="s">
        <v>14</v>
      </c>
      <c r="B698" s="65" t="s">
        <v>15</v>
      </c>
      <c r="C698" s="65"/>
      <c r="D698" s="67">
        <v>4383.0</v>
      </c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</row>
    <row r="699" ht="12.75" customHeight="1">
      <c r="A699" s="65" t="s">
        <v>14</v>
      </c>
      <c r="B699" s="65" t="s">
        <v>15</v>
      </c>
      <c r="C699" s="65"/>
      <c r="D699" s="67">
        <v>4374.0</v>
      </c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</row>
    <row r="700" ht="12.75" customHeight="1">
      <c r="A700" s="65" t="s">
        <v>14</v>
      </c>
      <c r="B700" s="65" t="s">
        <v>15</v>
      </c>
      <c r="C700" s="65"/>
      <c r="D700" s="67">
        <v>4360.5</v>
      </c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</row>
    <row r="701" ht="12.75" customHeight="1">
      <c r="A701" s="65" t="s">
        <v>14</v>
      </c>
      <c r="B701" s="65" t="s">
        <v>15</v>
      </c>
      <c r="C701" s="65"/>
      <c r="D701" s="67">
        <v>4347.0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</row>
    <row r="702" ht="12.75" customHeight="1">
      <c r="A702" s="65" t="s">
        <v>14</v>
      </c>
      <c r="B702" s="65" t="s">
        <v>15</v>
      </c>
      <c r="C702" s="65"/>
      <c r="D702" s="67">
        <v>4315.5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</row>
    <row r="703" ht="12.75" customHeight="1">
      <c r="A703" s="65" t="s">
        <v>14</v>
      </c>
      <c r="B703" s="65" t="s">
        <v>15</v>
      </c>
      <c r="C703" s="65"/>
      <c r="D703" s="67">
        <v>4248.0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</row>
    <row r="704" ht="12.75" customHeight="1">
      <c r="A704" s="65" t="s">
        <v>14</v>
      </c>
      <c r="B704" s="65" t="s">
        <v>15</v>
      </c>
      <c r="C704" s="65"/>
      <c r="D704" s="67">
        <v>4248.0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</row>
    <row r="705" ht="12.75" customHeight="1">
      <c r="A705" s="65" t="s">
        <v>14</v>
      </c>
      <c r="B705" s="65" t="s">
        <v>15</v>
      </c>
      <c r="C705" s="65"/>
      <c r="D705" s="67">
        <v>4248.0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</row>
    <row r="706" ht="12.75" customHeight="1">
      <c r="A706" s="65" t="s">
        <v>14</v>
      </c>
      <c r="B706" s="65" t="s">
        <v>15</v>
      </c>
      <c r="C706" s="65"/>
      <c r="D706" s="67">
        <v>4225.5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</row>
    <row r="707" ht="12.75" customHeight="1">
      <c r="A707" s="65" t="s">
        <v>14</v>
      </c>
      <c r="B707" s="65" t="s">
        <v>15</v>
      </c>
      <c r="C707" s="65"/>
      <c r="D707" s="67">
        <v>4216.5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</row>
    <row r="708" ht="12.75" customHeight="1">
      <c r="A708" s="65" t="s">
        <v>14</v>
      </c>
      <c r="B708" s="65" t="s">
        <v>15</v>
      </c>
      <c r="C708" s="65"/>
      <c r="D708" s="67">
        <v>4212.0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</row>
    <row r="709" ht="12.75" customHeight="1">
      <c r="A709" s="65" t="s">
        <v>14</v>
      </c>
      <c r="B709" s="65" t="s">
        <v>15</v>
      </c>
      <c r="C709" s="65"/>
      <c r="D709" s="67">
        <v>4185.0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</row>
    <row r="710" ht="12.75" customHeight="1">
      <c r="A710" s="65" t="s">
        <v>14</v>
      </c>
      <c r="B710" s="65" t="s">
        <v>15</v>
      </c>
      <c r="C710" s="65"/>
      <c r="D710" s="67">
        <v>4158.0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</row>
    <row r="711" ht="12.75" customHeight="1">
      <c r="A711" s="65" t="s">
        <v>14</v>
      </c>
      <c r="B711" s="65" t="s">
        <v>15</v>
      </c>
      <c r="C711" s="65"/>
      <c r="D711" s="67">
        <v>4144.5</v>
      </c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</row>
    <row r="712" ht="12.75" customHeight="1">
      <c r="A712" s="65" t="s">
        <v>14</v>
      </c>
      <c r="B712" s="65" t="s">
        <v>15</v>
      </c>
      <c r="C712" s="65"/>
      <c r="D712" s="67">
        <v>4140.0</v>
      </c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</row>
    <row r="713" ht="12.75" customHeight="1">
      <c r="A713" s="65" t="s">
        <v>14</v>
      </c>
      <c r="B713" s="65" t="s">
        <v>15</v>
      </c>
      <c r="C713" s="65"/>
      <c r="D713" s="67">
        <v>4140.0</v>
      </c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</row>
    <row r="714" ht="12.75" customHeight="1">
      <c r="A714" s="65" t="s">
        <v>14</v>
      </c>
      <c r="B714" s="65" t="s">
        <v>15</v>
      </c>
      <c r="C714" s="65"/>
      <c r="D714" s="67">
        <v>4122.0</v>
      </c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</row>
    <row r="715" ht="12.75" customHeight="1">
      <c r="A715" s="65" t="s">
        <v>14</v>
      </c>
      <c r="B715" s="65" t="s">
        <v>15</v>
      </c>
      <c r="C715" s="65"/>
      <c r="D715" s="67">
        <v>4122.0</v>
      </c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</row>
    <row r="716" ht="12.75" customHeight="1">
      <c r="A716" s="65" t="s">
        <v>14</v>
      </c>
      <c r="B716" s="65" t="s">
        <v>15</v>
      </c>
      <c r="C716" s="65"/>
      <c r="D716" s="67">
        <v>4059.0</v>
      </c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</row>
    <row r="717" ht="12.75" customHeight="1">
      <c r="A717" s="65" t="s">
        <v>14</v>
      </c>
      <c r="B717" s="65" t="s">
        <v>15</v>
      </c>
      <c r="C717" s="65"/>
      <c r="D717" s="67">
        <v>4054.5</v>
      </c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</row>
    <row r="718" ht="12.75" customHeight="1">
      <c r="A718" s="65" t="s">
        <v>14</v>
      </c>
      <c r="B718" s="65" t="s">
        <v>15</v>
      </c>
      <c r="C718" s="65"/>
      <c r="D718" s="67">
        <v>4050.0</v>
      </c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</row>
    <row r="719" ht="12.75" customHeight="1">
      <c r="A719" s="65" t="s">
        <v>14</v>
      </c>
      <c r="B719" s="65" t="s">
        <v>15</v>
      </c>
      <c r="C719" s="65"/>
      <c r="D719" s="67">
        <v>4036.5</v>
      </c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</row>
    <row r="720" ht="12.75" customHeight="1">
      <c r="A720" s="65" t="s">
        <v>14</v>
      </c>
      <c r="B720" s="65" t="s">
        <v>15</v>
      </c>
      <c r="C720" s="65"/>
      <c r="D720" s="67">
        <v>4005.0</v>
      </c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</row>
    <row r="721" ht="12.75" customHeight="1">
      <c r="A721" s="65" t="s">
        <v>14</v>
      </c>
      <c r="B721" s="65" t="s">
        <v>15</v>
      </c>
      <c r="C721" s="65"/>
      <c r="D721" s="67">
        <v>3991.5</v>
      </c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</row>
    <row r="722" ht="12.75" customHeight="1">
      <c r="A722" s="65" t="s">
        <v>14</v>
      </c>
      <c r="B722" s="65" t="s">
        <v>15</v>
      </c>
      <c r="C722" s="65"/>
      <c r="D722" s="67">
        <v>3924.0</v>
      </c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</row>
    <row r="723" ht="12.75" customHeight="1">
      <c r="A723" s="65" t="s">
        <v>14</v>
      </c>
      <c r="B723" s="65" t="s">
        <v>15</v>
      </c>
      <c r="C723" s="65"/>
      <c r="D723" s="67">
        <v>3879.0</v>
      </c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</row>
    <row r="724" ht="12.75" customHeight="1">
      <c r="A724" s="65" t="s">
        <v>14</v>
      </c>
      <c r="B724" s="65" t="s">
        <v>15</v>
      </c>
      <c r="C724" s="65"/>
      <c r="D724" s="67">
        <v>3865.5</v>
      </c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</row>
    <row r="725" ht="12.75" customHeight="1">
      <c r="A725" s="65" t="s">
        <v>14</v>
      </c>
      <c r="B725" s="65" t="s">
        <v>15</v>
      </c>
      <c r="C725" s="65"/>
      <c r="D725" s="67">
        <v>3843.0</v>
      </c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</row>
    <row r="726" ht="12.75" customHeight="1">
      <c r="A726" s="65" t="s">
        <v>14</v>
      </c>
      <c r="B726" s="65" t="s">
        <v>15</v>
      </c>
      <c r="C726" s="65"/>
      <c r="D726" s="67">
        <v>3838.5</v>
      </c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</row>
    <row r="727" ht="12.75" customHeight="1">
      <c r="A727" s="65" t="s">
        <v>14</v>
      </c>
      <c r="B727" s="65" t="s">
        <v>15</v>
      </c>
      <c r="C727" s="65"/>
      <c r="D727" s="67">
        <v>3834.0</v>
      </c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</row>
    <row r="728" ht="12.75" customHeight="1">
      <c r="A728" s="65" t="s">
        <v>14</v>
      </c>
      <c r="B728" s="65" t="s">
        <v>15</v>
      </c>
      <c r="C728" s="65"/>
      <c r="D728" s="67">
        <v>3829.5</v>
      </c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</row>
    <row r="729" ht="12.75" customHeight="1">
      <c r="A729" s="65" t="s">
        <v>14</v>
      </c>
      <c r="B729" s="65" t="s">
        <v>15</v>
      </c>
      <c r="C729" s="65"/>
      <c r="D729" s="67">
        <v>3820.5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</row>
    <row r="730" ht="12.75" customHeight="1">
      <c r="A730" s="65" t="s">
        <v>14</v>
      </c>
      <c r="B730" s="65" t="s">
        <v>15</v>
      </c>
      <c r="C730" s="65"/>
      <c r="D730" s="67">
        <v>3793.5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</row>
    <row r="731" ht="12.75" customHeight="1">
      <c r="A731" s="65" t="s">
        <v>14</v>
      </c>
      <c r="B731" s="65" t="s">
        <v>15</v>
      </c>
      <c r="C731" s="65"/>
      <c r="D731" s="67">
        <v>3793.5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</row>
    <row r="732" ht="12.75" customHeight="1">
      <c r="A732" s="65" t="s">
        <v>14</v>
      </c>
      <c r="B732" s="65" t="s">
        <v>15</v>
      </c>
      <c r="C732" s="65"/>
      <c r="D732" s="67">
        <v>3784.5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</row>
    <row r="733" ht="12.75" customHeight="1">
      <c r="A733" s="65" t="s">
        <v>14</v>
      </c>
      <c r="B733" s="65" t="s">
        <v>15</v>
      </c>
      <c r="C733" s="65"/>
      <c r="D733" s="67">
        <v>3757.5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</row>
    <row r="734" ht="12.75" customHeight="1">
      <c r="A734" s="65" t="s">
        <v>14</v>
      </c>
      <c r="B734" s="65" t="s">
        <v>15</v>
      </c>
      <c r="C734" s="65"/>
      <c r="D734" s="67">
        <v>3730.5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</row>
    <row r="735" ht="12.75" customHeight="1">
      <c r="A735" s="65" t="s">
        <v>14</v>
      </c>
      <c r="B735" s="65" t="s">
        <v>15</v>
      </c>
      <c r="C735" s="65"/>
      <c r="D735" s="67">
        <v>3721.5</v>
      </c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</row>
    <row r="736" ht="12.75" customHeight="1">
      <c r="A736" s="65" t="s">
        <v>14</v>
      </c>
      <c r="B736" s="65" t="s">
        <v>15</v>
      </c>
      <c r="C736" s="65"/>
      <c r="D736" s="67">
        <v>3712.5</v>
      </c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</row>
    <row r="737" ht="12.75" customHeight="1">
      <c r="A737" s="65" t="s">
        <v>14</v>
      </c>
      <c r="B737" s="65" t="s">
        <v>15</v>
      </c>
      <c r="C737" s="65"/>
      <c r="D737" s="67">
        <v>3708.0</v>
      </c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</row>
    <row r="738" ht="12.75" customHeight="1">
      <c r="A738" s="65" t="s">
        <v>14</v>
      </c>
      <c r="B738" s="65" t="s">
        <v>15</v>
      </c>
      <c r="C738" s="65"/>
      <c r="D738" s="67">
        <v>3708.0</v>
      </c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</row>
    <row r="739" ht="12.75" customHeight="1">
      <c r="A739" s="65" t="s">
        <v>14</v>
      </c>
      <c r="B739" s="65" t="s">
        <v>15</v>
      </c>
      <c r="C739" s="65"/>
      <c r="D739" s="67">
        <v>3708.0</v>
      </c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</row>
    <row r="740" ht="12.75" customHeight="1">
      <c r="A740" s="65" t="s">
        <v>14</v>
      </c>
      <c r="B740" s="65" t="s">
        <v>15</v>
      </c>
      <c r="C740" s="65"/>
      <c r="D740" s="67">
        <v>3681.0</v>
      </c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</row>
    <row r="741" ht="12.75" customHeight="1">
      <c r="A741" s="65" t="s">
        <v>14</v>
      </c>
      <c r="B741" s="65" t="s">
        <v>15</v>
      </c>
      <c r="C741" s="65"/>
      <c r="D741" s="67">
        <v>3667.5</v>
      </c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</row>
    <row r="742" ht="12.75" customHeight="1">
      <c r="A742" s="65" t="s">
        <v>14</v>
      </c>
      <c r="B742" s="65" t="s">
        <v>15</v>
      </c>
      <c r="C742" s="65"/>
      <c r="D742" s="67">
        <v>3645.0</v>
      </c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</row>
    <row r="743" ht="12.75" customHeight="1">
      <c r="A743" s="65" t="s">
        <v>14</v>
      </c>
      <c r="B743" s="65" t="s">
        <v>15</v>
      </c>
      <c r="C743" s="65"/>
      <c r="D743" s="67">
        <v>3640.5</v>
      </c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</row>
    <row r="744" ht="12.75" customHeight="1">
      <c r="A744" s="65" t="s">
        <v>14</v>
      </c>
      <c r="B744" s="65" t="s">
        <v>15</v>
      </c>
      <c r="C744" s="65"/>
      <c r="D744" s="67">
        <v>3640.5</v>
      </c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</row>
    <row r="745" ht="12.75" customHeight="1">
      <c r="A745" s="65" t="s">
        <v>14</v>
      </c>
      <c r="B745" s="65" t="s">
        <v>15</v>
      </c>
      <c r="C745" s="65"/>
      <c r="D745" s="67">
        <v>3640.5</v>
      </c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</row>
    <row r="746" ht="12.75" customHeight="1">
      <c r="A746" s="65" t="s">
        <v>14</v>
      </c>
      <c r="B746" s="65" t="s">
        <v>15</v>
      </c>
      <c r="C746" s="65"/>
      <c r="D746" s="67">
        <v>3640.5</v>
      </c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</row>
    <row r="747" ht="12.75" customHeight="1">
      <c r="A747" s="65" t="s">
        <v>14</v>
      </c>
      <c r="B747" s="65" t="s">
        <v>15</v>
      </c>
      <c r="C747" s="65"/>
      <c r="D747" s="67">
        <v>3640.5</v>
      </c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</row>
    <row r="748" ht="12.75" customHeight="1">
      <c r="A748" s="65" t="s">
        <v>14</v>
      </c>
      <c r="B748" s="65" t="s">
        <v>15</v>
      </c>
      <c r="C748" s="65"/>
      <c r="D748" s="67">
        <v>3640.5</v>
      </c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</row>
    <row r="749" ht="12.75" customHeight="1">
      <c r="A749" s="65" t="s">
        <v>14</v>
      </c>
      <c r="B749" s="65" t="s">
        <v>15</v>
      </c>
      <c r="C749" s="65"/>
      <c r="D749" s="67">
        <v>3640.5</v>
      </c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</row>
    <row r="750" ht="12.75" customHeight="1">
      <c r="A750" s="65" t="s">
        <v>14</v>
      </c>
      <c r="B750" s="65" t="s">
        <v>15</v>
      </c>
      <c r="C750" s="65"/>
      <c r="D750" s="67">
        <v>3636.0</v>
      </c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</row>
    <row r="751" ht="12.75" customHeight="1">
      <c r="A751" s="65" t="s">
        <v>14</v>
      </c>
      <c r="B751" s="65" t="s">
        <v>15</v>
      </c>
      <c r="C751" s="65"/>
      <c r="D751" s="67">
        <v>3631.5</v>
      </c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</row>
    <row r="752" ht="12.75" customHeight="1">
      <c r="A752" s="65" t="s">
        <v>14</v>
      </c>
      <c r="B752" s="65" t="s">
        <v>15</v>
      </c>
      <c r="C752" s="65"/>
      <c r="D752" s="67">
        <v>3631.5</v>
      </c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</row>
    <row r="753" ht="12.75" customHeight="1">
      <c r="A753" s="65" t="s">
        <v>14</v>
      </c>
      <c r="B753" s="65" t="s">
        <v>15</v>
      </c>
      <c r="C753" s="65"/>
      <c r="D753" s="67">
        <v>3631.5</v>
      </c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</row>
    <row r="754" ht="12.75" customHeight="1">
      <c r="A754" s="65" t="s">
        <v>14</v>
      </c>
      <c r="B754" s="65" t="s">
        <v>15</v>
      </c>
      <c r="C754" s="65"/>
      <c r="D754" s="67">
        <v>3631.5</v>
      </c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</row>
    <row r="755" ht="12.75" customHeight="1">
      <c r="A755" s="65" t="s">
        <v>14</v>
      </c>
      <c r="B755" s="65" t="s">
        <v>15</v>
      </c>
      <c r="C755" s="65"/>
      <c r="D755" s="67">
        <v>3631.5</v>
      </c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</row>
    <row r="756" ht="12.75" customHeight="1">
      <c r="A756" s="65" t="s">
        <v>14</v>
      </c>
      <c r="B756" s="65" t="s">
        <v>15</v>
      </c>
      <c r="C756" s="65"/>
      <c r="D756" s="67">
        <v>3609.0</v>
      </c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</row>
    <row r="757" ht="12.75" customHeight="1">
      <c r="A757" s="65" t="s">
        <v>14</v>
      </c>
      <c r="B757" s="65" t="s">
        <v>15</v>
      </c>
      <c r="C757" s="65"/>
      <c r="D757" s="67">
        <v>3604.5</v>
      </c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</row>
    <row r="758" ht="12.75" customHeight="1">
      <c r="A758" s="65" t="s">
        <v>14</v>
      </c>
      <c r="B758" s="65" t="s">
        <v>15</v>
      </c>
      <c r="C758" s="65"/>
      <c r="D758" s="67">
        <v>3600.0</v>
      </c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</row>
    <row r="759" ht="12.75" customHeight="1">
      <c r="A759" s="65" t="s">
        <v>14</v>
      </c>
      <c r="B759" s="65" t="s">
        <v>15</v>
      </c>
      <c r="C759" s="65"/>
      <c r="D759" s="67">
        <v>3600.0</v>
      </c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</row>
    <row r="760" ht="12.75" customHeight="1">
      <c r="A760" s="65" t="s">
        <v>14</v>
      </c>
      <c r="B760" s="65" t="s">
        <v>15</v>
      </c>
      <c r="C760" s="65"/>
      <c r="D760" s="67">
        <v>3600.0</v>
      </c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</row>
    <row r="761" ht="12.75" customHeight="1">
      <c r="A761" s="65" t="s">
        <v>14</v>
      </c>
      <c r="B761" s="65" t="s">
        <v>15</v>
      </c>
      <c r="C761" s="65"/>
      <c r="D761" s="67">
        <v>3600.0</v>
      </c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</row>
    <row r="762" ht="12.75" customHeight="1">
      <c r="A762" s="65" t="s">
        <v>14</v>
      </c>
      <c r="B762" s="65" t="s">
        <v>15</v>
      </c>
      <c r="C762" s="65"/>
      <c r="D762" s="67">
        <v>3600.0</v>
      </c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</row>
    <row r="763" ht="12.75" customHeight="1">
      <c r="A763" s="65" t="s">
        <v>14</v>
      </c>
      <c r="B763" s="65" t="s">
        <v>15</v>
      </c>
      <c r="C763" s="65"/>
      <c r="D763" s="67">
        <v>3600.0</v>
      </c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</row>
    <row r="764" ht="12.75" customHeight="1">
      <c r="A764" s="65" t="s">
        <v>14</v>
      </c>
      <c r="B764" s="65" t="s">
        <v>15</v>
      </c>
      <c r="C764" s="65"/>
      <c r="D764" s="67">
        <v>3600.0</v>
      </c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</row>
    <row r="765" ht="12.75" customHeight="1">
      <c r="A765" s="65" t="s">
        <v>14</v>
      </c>
      <c r="B765" s="65" t="s">
        <v>15</v>
      </c>
      <c r="C765" s="65"/>
      <c r="D765" s="67">
        <v>3600.0</v>
      </c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</row>
    <row r="766" ht="12.75" customHeight="1">
      <c r="A766" s="65" t="s">
        <v>14</v>
      </c>
      <c r="B766" s="65" t="s">
        <v>15</v>
      </c>
      <c r="C766" s="65"/>
      <c r="D766" s="67">
        <v>3600.0</v>
      </c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</row>
    <row r="767" ht="12.75" customHeight="1">
      <c r="A767" s="65" t="s">
        <v>14</v>
      </c>
      <c r="B767" s="65" t="s">
        <v>15</v>
      </c>
      <c r="C767" s="65"/>
      <c r="D767" s="67">
        <v>3600.0</v>
      </c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</row>
    <row r="768" ht="12.75" customHeight="1">
      <c r="A768" s="65" t="s">
        <v>14</v>
      </c>
      <c r="B768" s="65" t="s">
        <v>15</v>
      </c>
      <c r="C768" s="65"/>
      <c r="D768" s="67">
        <v>3600.0</v>
      </c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</row>
    <row r="769" ht="12.75" customHeight="1">
      <c r="A769" s="65" t="s">
        <v>14</v>
      </c>
      <c r="B769" s="65" t="s">
        <v>15</v>
      </c>
      <c r="C769" s="65"/>
      <c r="D769" s="67">
        <v>3600.0</v>
      </c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</row>
    <row r="770" ht="12.75" customHeight="1">
      <c r="A770" s="65" t="s">
        <v>14</v>
      </c>
      <c r="B770" s="65" t="s">
        <v>15</v>
      </c>
      <c r="C770" s="65"/>
      <c r="D770" s="67">
        <v>3600.0</v>
      </c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</row>
    <row r="771" ht="12.75" customHeight="1">
      <c r="A771" s="65" t="s">
        <v>14</v>
      </c>
      <c r="B771" s="65" t="s">
        <v>15</v>
      </c>
      <c r="C771" s="65"/>
      <c r="D771" s="67">
        <v>3600.0</v>
      </c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</row>
    <row r="772" ht="12.75" customHeight="1">
      <c r="A772" s="65" t="s">
        <v>14</v>
      </c>
      <c r="B772" s="65" t="s">
        <v>15</v>
      </c>
      <c r="C772" s="65"/>
      <c r="D772" s="67">
        <v>3600.0</v>
      </c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</row>
    <row r="773" ht="12.75" customHeight="1">
      <c r="A773" s="65" t="s">
        <v>14</v>
      </c>
      <c r="B773" s="65" t="s">
        <v>15</v>
      </c>
      <c r="C773" s="65"/>
      <c r="D773" s="67">
        <v>3600.0</v>
      </c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</row>
    <row r="774" ht="12.75" customHeight="1">
      <c r="A774" s="65" t="s">
        <v>14</v>
      </c>
      <c r="B774" s="65" t="s">
        <v>15</v>
      </c>
      <c r="C774" s="65"/>
      <c r="D774" s="67">
        <v>3600.0</v>
      </c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</row>
    <row r="775" ht="12.75" customHeight="1">
      <c r="A775" s="65" t="s">
        <v>14</v>
      </c>
      <c r="B775" s="65" t="s">
        <v>15</v>
      </c>
      <c r="C775" s="65"/>
      <c r="D775" s="67">
        <v>3600.0</v>
      </c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</row>
    <row r="776" ht="12.75" customHeight="1">
      <c r="A776" s="65" t="s">
        <v>14</v>
      </c>
      <c r="B776" s="65" t="s">
        <v>15</v>
      </c>
      <c r="C776" s="65"/>
      <c r="D776" s="67">
        <v>3600.0</v>
      </c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</row>
    <row r="777" ht="12.75" customHeight="1">
      <c r="A777" s="65" t="s">
        <v>14</v>
      </c>
      <c r="B777" s="65" t="s">
        <v>15</v>
      </c>
      <c r="C777" s="65"/>
      <c r="D777" s="67">
        <v>3600.0</v>
      </c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</row>
    <row r="778" ht="12.75" customHeight="1">
      <c r="A778" s="65" t="s">
        <v>14</v>
      </c>
      <c r="B778" s="65" t="s">
        <v>15</v>
      </c>
      <c r="C778" s="65"/>
      <c r="D778" s="67">
        <v>3600.0</v>
      </c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</row>
    <row r="779" ht="12.75" customHeight="1">
      <c r="A779" s="65" t="s">
        <v>14</v>
      </c>
      <c r="B779" s="65" t="s">
        <v>15</v>
      </c>
      <c r="C779" s="65"/>
      <c r="D779" s="67">
        <v>3600.0</v>
      </c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</row>
    <row r="780" ht="12.75" customHeight="1">
      <c r="A780" s="65" t="s">
        <v>14</v>
      </c>
      <c r="B780" s="65" t="s">
        <v>15</v>
      </c>
      <c r="C780" s="65"/>
      <c r="D780" s="67">
        <v>3600.0</v>
      </c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</row>
    <row r="781" ht="12.75" customHeight="1">
      <c r="A781" s="65" t="s">
        <v>14</v>
      </c>
      <c r="B781" s="65" t="s">
        <v>15</v>
      </c>
      <c r="C781" s="65"/>
      <c r="D781" s="67">
        <v>3600.0</v>
      </c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</row>
    <row r="782" ht="12.75" customHeight="1">
      <c r="A782" s="65" t="s">
        <v>14</v>
      </c>
      <c r="B782" s="65" t="s">
        <v>15</v>
      </c>
      <c r="C782" s="65"/>
      <c r="D782" s="67">
        <v>3600.0</v>
      </c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</row>
    <row r="783" ht="12.75" customHeight="1">
      <c r="A783" s="65" t="s">
        <v>14</v>
      </c>
      <c r="B783" s="65" t="s">
        <v>15</v>
      </c>
      <c r="C783" s="65"/>
      <c r="D783" s="67">
        <v>3600.0</v>
      </c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</row>
    <row r="784" ht="12.75" customHeight="1">
      <c r="A784" s="65" t="s">
        <v>14</v>
      </c>
      <c r="B784" s="65" t="s">
        <v>15</v>
      </c>
      <c r="C784" s="65"/>
      <c r="D784" s="67">
        <v>3600.0</v>
      </c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</row>
    <row r="785" ht="12.75" customHeight="1">
      <c r="A785" s="65" t="s">
        <v>14</v>
      </c>
      <c r="B785" s="65" t="s">
        <v>15</v>
      </c>
      <c r="C785" s="65"/>
      <c r="D785" s="67">
        <v>3600.0</v>
      </c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</row>
    <row r="786" ht="12.75" customHeight="1">
      <c r="A786" s="65" t="s">
        <v>14</v>
      </c>
      <c r="B786" s="65" t="s">
        <v>15</v>
      </c>
      <c r="C786" s="65"/>
      <c r="D786" s="67">
        <v>3600.0</v>
      </c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</row>
    <row r="787" ht="12.75" customHeight="1">
      <c r="A787" s="65" t="s">
        <v>14</v>
      </c>
      <c r="B787" s="65" t="s">
        <v>15</v>
      </c>
      <c r="C787" s="65"/>
      <c r="D787" s="67">
        <v>3600.0</v>
      </c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</row>
    <row r="788" ht="12.75" customHeight="1">
      <c r="A788" s="65" t="s">
        <v>14</v>
      </c>
      <c r="B788" s="65" t="s">
        <v>15</v>
      </c>
      <c r="C788" s="65"/>
      <c r="D788" s="67">
        <v>3600.0</v>
      </c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</row>
    <row r="789" ht="12.75" customHeight="1">
      <c r="A789" s="65" t="s">
        <v>14</v>
      </c>
      <c r="B789" s="65" t="s">
        <v>15</v>
      </c>
      <c r="C789" s="65"/>
      <c r="D789" s="67">
        <v>3600.0</v>
      </c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</row>
    <row r="790" ht="12.75" customHeight="1">
      <c r="A790" s="65" t="s">
        <v>14</v>
      </c>
      <c r="B790" s="65" t="s">
        <v>15</v>
      </c>
      <c r="C790" s="65"/>
      <c r="D790" s="67">
        <v>3600.0</v>
      </c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</row>
    <row r="791" ht="12.75" customHeight="1">
      <c r="A791" s="65" t="s">
        <v>14</v>
      </c>
      <c r="B791" s="65" t="s">
        <v>15</v>
      </c>
      <c r="C791" s="65"/>
      <c r="D791" s="67">
        <v>3600.0</v>
      </c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</row>
    <row r="792" ht="12.75" customHeight="1">
      <c r="A792" s="65" t="s">
        <v>14</v>
      </c>
      <c r="B792" s="65" t="s">
        <v>15</v>
      </c>
      <c r="C792" s="65"/>
      <c r="D792" s="67">
        <v>3600.0</v>
      </c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</row>
    <row r="793" ht="12.75" customHeight="1">
      <c r="A793" s="65" t="s">
        <v>14</v>
      </c>
      <c r="B793" s="65" t="s">
        <v>15</v>
      </c>
      <c r="C793" s="65"/>
      <c r="D793" s="67">
        <v>3600.0</v>
      </c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</row>
    <row r="794" ht="12.75" customHeight="1">
      <c r="A794" s="65" t="s">
        <v>14</v>
      </c>
      <c r="B794" s="65" t="s">
        <v>15</v>
      </c>
      <c r="C794" s="65"/>
      <c r="D794" s="67">
        <v>3600.0</v>
      </c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</row>
    <row r="795" ht="12.75" customHeight="1">
      <c r="A795" s="65" t="s">
        <v>14</v>
      </c>
      <c r="B795" s="65" t="s">
        <v>15</v>
      </c>
      <c r="C795" s="65"/>
      <c r="D795" s="67">
        <v>3600.0</v>
      </c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</row>
    <row r="796" ht="12.75" customHeight="1">
      <c r="A796" s="65" t="s">
        <v>14</v>
      </c>
      <c r="B796" s="65" t="s">
        <v>15</v>
      </c>
      <c r="C796" s="65"/>
      <c r="D796" s="67">
        <v>3600.0</v>
      </c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</row>
    <row r="797" ht="12.75" customHeight="1">
      <c r="A797" s="65" t="s">
        <v>14</v>
      </c>
      <c r="B797" s="65" t="s">
        <v>15</v>
      </c>
      <c r="C797" s="65"/>
      <c r="D797" s="67">
        <v>3600.0</v>
      </c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</row>
    <row r="798" ht="12.75" customHeight="1">
      <c r="A798" s="65" t="s">
        <v>14</v>
      </c>
      <c r="B798" s="65" t="s">
        <v>15</v>
      </c>
      <c r="C798" s="65"/>
      <c r="D798" s="67">
        <v>3600.0</v>
      </c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</row>
    <row r="799" ht="12.75" customHeight="1">
      <c r="A799" s="65" t="s">
        <v>14</v>
      </c>
      <c r="B799" s="65" t="s">
        <v>15</v>
      </c>
      <c r="C799" s="65"/>
      <c r="D799" s="67">
        <v>3600.0</v>
      </c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</row>
    <row r="800" ht="12.75" customHeight="1">
      <c r="A800" s="65" t="s">
        <v>14</v>
      </c>
      <c r="B800" s="65" t="s">
        <v>15</v>
      </c>
      <c r="C800" s="65"/>
      <c r="D800" s="67">
        <v>3600.0</v>
      </c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</row>
    <row r="801" ht="12.75" customHeight="1">
      <c r="A801" s="65" t="s">
        <v>14</v>
      </c>
      <c r="B801" s="65" t="s">
        <v>15</v>
      </c>
      <c r="C801" s="65"/>
      <c r="D801" s="67">
        <v>3600.0</v>
      </c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</row>
    <row r="802" ht="12.75" customHeight="1">
      <c r="A802" s="65" t="s">
        <v>14</v>
      </c>
      <c r="B802" s="65" t="s">
        <v>15</v>
      </c>
      <c r="C802" s="65"/>
      <c r="D802" s="67">
        <v>3600.0</v>
      </c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</row>
    <row r="803" ht="12.75" customHeight="1">
      <c r="A803" s="65" t="s">
        <v>14</v>
      </c>
      <c r="B803" s="65" t="s">
        <v>15</v>
      </c>
      <c r="C803" s="65"/>
      <c r="D803" s="67">
        <v>3600.0</v>
      </c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</row>
    <row r="804" ht="12.75" customHeight="1">
      <c r="A804" s="65" t="s">
        <v>14</v>
      </c>
      <c r="B804" s="65" t="s">
        <v>15</v>
      </c>
      <c r="C804" s="65"/>
      <c r="D804" s="67">
        <v>3600.0</v>
      </c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</row>
    <row r="805" ht="12.75" customHeight="1">
      <c r="A805" s="65" t="s">
        <v>14</v>
      </c>
      <c r="B805" s="65" t="s">
        <v>15</v>
      </c>
      <c r="C805" s="65"/>
      <c r="D805" s="67">
        <v>3600.0</v>
      </c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</row>
    <row r="806" ht="12.75" customHeight="1">
      <c r="A806" s="65" t="s">
        <v>14</v>
      </c>
      <c r="B806" s="65" t="s">
        <v>15</v>
      </c>
      <c r="C806" s="65"/>
      <c r="D806" s="67">
        <v>3600.0</v>
      </c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</row>
    <row r="807" ht="12.75" customHeight="1">
      <c r="A807" s="65" t="s">
        <v>14</v>
      </c>
      <c r="B807" s="65" t="s">
        <v>15</v>
      </c>
      <c r="C807" s="65"/>
      <c r="D807" s="67">
        <v>3600.0</v>
      </c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</row>
    <row r="808" ht="12.75" customHeight="1">
      <c r="A808" s="65" t="s">
        <v>14</v>
      </c>
      <c r="B808" s="65" t="s">
        <v>15</v>
      </c>
      <c r="C808" s="65"/>
      <c r="D808" s="67">
        <v>3600.0</v>
      </c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</row>
    <row r="809" ht="12.75" customHeight="1">
      <c r="A809" s="65" t="s">
        <v>14</v>
      </c>
      <c r="B809" s="65" t="s">
        <v>15</v>
      </c>
      <c r="C809" s="65"/>
      <c r="D809" s="67">
        <v>3600.0</v>
      </c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</row>
    <row r="810" ht="12.75" customHeight="1">
      <c r="A810" s="65" t="s">
        <v>14</v>
      </c>
      <c r="B810" s="65" t="s">
        <v>15</v>
      </c>
      <c r="C810" s="65"/>
      <c r="D810" s="67">
        <v>3600.0</v>
      </c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</row>
    <row r="811" ht="12.75" customHeight="1">
      <c r="A811" s="65" t="s">
        <v>14</v>
      </c>
      <c r="B811" s="65" t="s">
        <v>15</v>
      </c>
      <c r="C811" s="65"/>
      <c r="D811" s="67">
        <v>3600.0</v>
      </c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</row>
    <row r="812" ht="12.75" customHeight="1">
      <c r="A812" s="65" t="s">
        <v>14</v>
      </c>
      <c r="B812" s="65" t="s">
        <v>15</v>
      </c>
      <c r="C812" s="65"/>
      <c r="D812" s="67">
        <v>3600.0</v>
      </c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</row>
    <row r="813" ht="12.75" customHeight="1">
      <c r="A813" s="65" t="s">
        <v>14</v>
      </c>
      <c r="B813" s="65" t="s">
        <v>15</v>
      </c>
      <c r="C813" s="65"/>
      <c r="D813" s="67">
        <v>3600.0</v>
      </c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</row>
    <row r="814" ht="12.75" customHeight="1">
      <c r="A814" s="65" t="s">
        <v>14</v>
      </c>
      <c r="B814" s="65" t="s">
        <v>15</v>
      </c>
      <c r="C814" s="65"/>
      <c r="D814" s="67">
        <v>3600.0</v>
      </c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</row>
    <row r="815" ht="12.75" customHeight="1">
      <c r="A815" s="65" t="s">
        <v>14</v>
      </c>
      <c r="B815" s="65" t="s">
        <v>15</v>
      </c>
      <c r="C815" s="65"/>
      <c r="D815" s="67">
        <v>3600.0</v>
      </c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</row>
    <row r="816" ht="12.75" customHeight="1">
      <c r="A816" s="65" t="s">
        <v>14</v>
      </c>
      <c r="B816" s="65" t="s">
        <v>15</v>
      </c>
      <c r="C816" s="65"/>
      <c r="D816" s="67">
        <v>3600.0</v>
      </c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</row>
    <row r="817" ht="12.75" customHeight="1">
      <c r="A817" s="65" t="s">
        <v>14</v>
      </c>
      <c r="B817" s="65" t="s">
        <v>15</v>
      </c>
      <c r="C817" s="65"/>
      <c r="D817" s="67">
        <v>3600.0</v>
      </c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</row>
    <row r="818" ht="12.75" customHeight="1">
      <c r="A818" s="65" t="s">
        <v>14</v>
      </c>
      <c r="B818" s="65" t="s">
        <v>15</v>
      </c>
      <c r="C818" s="65"/>
      <c r="D818" s="67">
        <v>3600.0</v>
      </c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</row>
    <row r="819" ht="12.75" customHeight="1">
      <c r="A819" s="65" t="s">
        <v>14</v>
      </c>
      <c r="B819" s="65" t="s">
        <v>15</v>
      </c>
      <c r="C819" s="65"/>
      <c r="D819" s="67">
        <v>3600.0</v>
      </c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</row>
    <row r="820" ht="12.75" customHeight="1">
      <c r="A820" s="65" t="s">
        <v>14</v>
      </c>
      <c r="B820" s="65" t="s">
        <v>15</v>
      </c>
      <c r="C820" s="65"/>
      <c r="D820" s="67">
        <v>3600.0</v>
      </c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</row>
    <row r="821" ht="12.75" customHeight="1">
      <c r="A821" s="65" t="s">
        <v>14</v>
      </c>
      <c r="B821" s="65" t="s">
        <v>15</v>
      </c>
      <c r="C821" s="65"/>
      <c r="D821" s="67">
        <v>3600.0</v>
      </c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</row>
    <row r="822" ht="12.75" customHeight="1">
      <c r="A822" s="65" t="s">
        <v>14</v>
      </c>
      <c r="B822" s="65" t="s">
        <v>15</v>
      </c>
      <c r="C822" s="65"/>
      <c r="D822" s="67">
        <v>3600.0</v>
      </c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</row>
    <row r="823" ht="12.75" customHeight="1">
      <c r="A823" s="65" t="s">
        <v>14</v>
      </c>
      <c r="B823" s="65" t="s">
        <v>15</v>
      </c>
      <c r="C823" s="65"/>
      <c r="D823" s="67">
        <v>3600.0</v>
      </c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</row>
    <row r="824" ht="12.75" customHeight="1">
      <c r="A824" s="65" t="s">
        <v>14</v>
      </c>
      <c r="B824" s="65" t="s">
        <v>15</v>
      </c>
      <c r="C824" s="65"/>
      <c r="D824" s="67">
        <v>3600.0</v>
      </c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</row>
    <row r="825" ht="12.75" customHeight="1">
      <c r="A825" s="65" t="s">
        <v>14</v>
      </c>
      <c r="B825" s="65" t="s">
        <v>15</v>
      </c>
      <c r="C825" s="65"/>
      <c r="D825" s="67">
        <v>3600.0</v>
      </c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</row>
    <row r="826" ht="12.75" customHeight="1">
      <c r="A826" s="65" t="s">
        <v>14</v>
      </c>
      <c r="B826" s="65" t="s">
        <v>15</v>
      </c>
      <c r="C826" s="65"/>
      <c r="D826" s="67">
        <v>3600.0</v>
      </c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</row>
    <row r="827" ht="12.75" customHeight="1">
      <c r="A827" s="65" t="s">
        <v>14</v>
      </c>
      <c r="B827" s="65" t="s">
        <v>15</v>
      </c>
      <c r="C827" s="65"/>
      <c r="D827" s="67">
        <v>3600.0</v>
      </c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</row>
    <row r="828" ht="12.75" customHeight="1">
      <c r="A828" s="65" t="s">
        <v>14</v>
      </c>
      <c r="B828" s="65" t="s">
        <v>15</v>
      </c>
      <c r="C828" s="65"/>
      <c r="D828" s="67">
        <v>3600.0</v>
      </c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</row>
    <row r="829" ht="12.75" customHeight="1">
      <c r="A829" s="65" t="s">
        <v>14</v>
      </c>
      <c r="B829" s="65" t="s">
        <v>15</v>
      </c>
      <c r="C829" s="65"/>
      <c r="D829" s="67">
        <v>3600.0</v>
      </c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</row>
    <row r="830" ht="12.75" customHeight="1">
      <c r="A830" s="65" t="s">
        <v>14</v>
      </c>
      <c r="B830" s="65" t="s">
        <v>15</v>
      </c>
      <c r="C830" s="65"/>
      <c r="D830" s="67">
        <v>3600.0</v>
      </c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</row>
    <row r="831" ht="12.75" customHeight="1">
      <c r="A831" s="65" t="s">
        <v>14</v>
      </c>
      <c r="B831" s="65" t="s">
        <v>15</v>
      </c>
      <c r="C831" s="65"/>
      <c r="D831" s="67">
        <v>3600.0</v>
      </c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</row>
    <row r="832" ht="12.75" customHeight="1">
      <c r="A832" s="65" t="s">
        <v>14</v>
      </c>
      <c r="B832" s="65" t="s">
        <v>15</v>
      </c>
      <c r="C832" s="65"/>
      <c r="D832" s="67">
        <v>3600.0</v>
      </c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</row>
    <row r="833" ht="12.75" customHeight="1">
      <c r="A833" s="65" t="s">
        <v>14</v>
      </c>
      <c r="B833" s="65" t="s">
        <v>15</v>
      </c>
      <c r="C833" s="65"/>
      <c r="D833" s="67">
        <v>3600.0</v>
      </c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</row>
    <row r="834" ht="12.75" customHeight="1">
      <c r="A834" s="65" t="s">
        <v>14</v>
      </c>
      <c r="B834" s="65" t="s">
        <v>15</v>
      </c>
      <c r="C834" s="65"/>
      <c r="D834" s="67">
        <v>3600.0</v>
      </c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</row>
    <row r="835" ht="12.75" customHeight="1">
      <c r="A835" s="65" t="s">
        <v>14</v>
      </c>
      <c r="B835" s="65" t="s">
        <v>15</v>
      </c>
      <c r="C835" s="65"/>
      <c r="D835" s="67">
        <v>3600.0</v>
      </c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</row>
    <row r="836" ht="12.75" customHeight="1">
      <c r="A836" s="65" t="s">
        <v>14</v>
      </c>
      <c r="B836" s="65" t="s">
        <v>15</v>
      </c>
      <c r="C836" s="65"/>
      <c r="D836" s="67">
        <v>3600.0</v>
      </c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</row>
    <row r="837" ht="12.75" customHeight="1">
      <c r="A837" s="65" t="s">
        <v>14</v>
      </c>
      <c r="B837" s="65" t="s">
        <v>15</v>
      </c>
      <c r="C837" s="65"/>
      <c r="D837" s="67">
        <v>3600.0</v>
      </c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</row>
    <row r="838" ht="12.75" customHeight="1">
      <c r="A838" s="65" t="s">
        <v>14</v>
      </c>
      <c r="B838" s="65" t="s">
        <v>15</v>
      </c>
      <c r="C838" s="65"/>
      <c r="D838" s="67">
        <v>3600.0</v>
      </c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</row>
    <row r="839" ht="12.75" customHeight="1">
      <c r="A839" s="65" t="s">
        <v>14</v>
      </c>
      <c r="B839" s="65" t="s">
        <v>15</v>
      </c>
      <c r="C839" s="65"/>
      <c r="D839" s="67">
        <v>3600.0</v>
      </c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</row>
    <row r="840" ht="12.75" customHeight="1">
      <c r="A840" s="65" t="s">
        <v>14</v>
      </c>
      <c r="B840" s="65" t="s">
        <v>15</v>
      </c>
      <c r="C840" s="65"/>
      <c r="D840" s="67">
        <v>3600.0</v>
      </c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</row>
    <row r="841" ht="12.75" customHeight="1">
      <c r="A841" s="65" t="s">
        <v>14</v>
      </c>
      <c r="B841" s="65" t="s">
        <v>15</v>
      </c>
      <c r="C841" s="65"/>
      <c r="D841" s="67">
        <v>3600.0</v>
      </c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</row>
    <row r="842" ht="12.75" customHeight="1">
      <c r="A842" s="65" t="s">
        <v>14</v>
      </c>
      <c r="B842" s="65" t="s">
        <v>15</v>
      </c>
      <c r="C842" s="65"/>
      <c r="D842" s="67">
        <v>3600.0</v>
      </c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</row>
    <row r="843" ht="12.75" customHeight="1">
      <c r="A843" s="65" t="s">
        <v>14</v>
      </c>
      <c r="B843" s="65" t="s">
        <v>15</v>
      </c>
      <c r="C843" s="65"/>
      <c r="D843" s="67">
        <v>3600.0</v>
      </c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</row>
    <row r="844" ht="12.75" customHeight="1">
      <c r="A844" s="65" t="s">
        <v>14</v>
      </c>
      <c r="B844" s="65" t="s">
        <v>15</v>
      </c>
      <c r="C844" s="65"/>
      <c r="D844" s="67">
        <v>3600.0</v>
      </c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</row>
    <row r="845" ht="12.75" customHeight="1">
      <c r="A845" s="65" t="s">
        <v>14</v>
      </c>
      <c r="B845" s="65" t="s">
        <v>15</v>
      </c>
      <c r="C845" s="65"/>
      <c r="D845" s="67">
        <v>3600.0</v>
      </c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</row>
    <row r="846" ht="12.75" customHeight="1">
      <c r="A846" s="65" t="s">
        <v>14</v>
      </c>
      <c r="B846" s="65" t="s">
        <v>15</v>
      </c>
      <c r="C846" s="65"/>
      <c r="D846" s="67">
        <v>3600.0</v>
      </c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</row>
    <row r="847" ht="12.75" customHeight="1">
      <c r="A847" s="65" t="s">
        <v>14</v>
      </c>
      <c r="B847" s="65" t="s">
        <v>15</v>
      </c>
      <c r="C847" s="65"/>
      <c r="D847" s="67">
        <v>3600.0</v>
      </c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</row>
    <row r="848" ht="12.75" customHeight="1">
      <c r="A848" s="65" t="s">
        <v>14</v>
      </c>
      <c r="B848" s="65" t="s">
        <v>15</v>
      </c>
      <c r="C848" s="65"/>
      <c r="D848" s="67">
        <v>3600.0</v>
      </c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</row>
    <row r="849" ht="12.75" customHeight="1">
      <c r="A849" s="65" t="s">
        <v>14</v>
      </c>
      <c r="B849" s="65" t="s">
        <v>15</v>
      </c>
      <c r="C849" s="65"/>
      <c r="D849" s="67">
        <v>3600.0</v>
      </c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</row>
    <row r="850" ht="12.75" customHeight="1">
      <c r="A850" s="65" t="s">
        <v>14</v>
      </c>
      <c r="B850" s="65" t="s">
        <v>15</v>
      </c>
      <c r="C850" s="65"/>
      <c r="D850" s="67">
        <v>3600.0</v>
      </c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</row>
    <row r="851" ht="12.75" customHeight="1">
      <c r="A851" s="65" t="s">
        <v>14</v>
      </c>
      <c r="B851" s="65" t="s">
        <v>15</v>
      </c>
      <c r="C851" s="65"/>
      <c r="D851" s="67">
        <v>3600.0</v>
      </c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</row>
    <row r="852" ht="12.75" customHeight="1">
      <c r="A852" s="65" t="s">
        <v>14</v>
      </c>
      <c r="B852" s="65" t="s">
        <v>15</v>
      </c>
      <c r="C852" s="65"/>
      <c r="D852" s="67">
        <v>3600.0</v>
      </c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</row>
    <row r="853" ht="12.75" customHeight="1">
      <c r="A853" s="65" t="s">
        <v>14</v>
      </c>
      <c r="B853" s="65" t="s">
        <v>15</v>
      </c>
      <c r="C853" s="65"/>
      <c r="D853" s="67">
        <v>3600.0</v>
      </c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</row>
    <row r="854" ht="12.75" customHeight="1">
      <c r="A854" s="65" t="s">
        <v>14</v>
      </c>
      <c r="B854" s="65" t="s">
        <v>15</v>
      </c>
      <c r="C854" s="65"/>
      <c r="D854" s="67">
        <v>3600.0</v>
      </c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</row>
    <row r="855" ht="12.75" customHeight="1">
      <c r="A855" s="65" t="s">
        <v>14</v>
      </c>
      <c r="B855" s="65" t="s">
        <v>15</v>
      </c>
      <c r="C855" s="65"/>
      <c r="D855" s="67">
        <v>3600.0</v>
      </c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</row>
    <row r="856" ht="12.75" customHeight="1">
      <c r="A856" s="65" t="s">
        <v>14</v>
      </c>
      <c r="B856" s="65" t="s">
        <v>15</v>
      </c>
      <c r="C856" s="65"/>
      <c r="D856" s="67">
        <v>3600.0</v>
      </c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</row>
    <row r="857" ht="12.75" customHeight="1">
      <c r="A857" s="65" t="s">
        <v>14</v>
      </c>
      <c r="B857" s="65" t="s">
        <v>15</v>
      </c>
      <c r="C857" s="65"/>
      <c r="D857" s="67">
        <v>3600.0</v>
      </c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</row>
    <row r="858" ht="12.75" customHeight="1">
      <c r="A858" s="65" t="s">
        <v>14</v>
      </c>
      <c r="B858" s="65" t="s">
        <v>15</v>
      </c>
      <c r="C858" s="65"/>
      <c r="D858" s="67">
        <v>3600.0</v>
      </c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</row>
    <row r="859" ht="12.75" customHeight="1">
      <c r="A859" s="65" t="s">
        <v>14</v>
      </c>
      <c r="B859" s="65" t="s">
        <v>15</v>
      </c>
      <c r="C859" s="65"/>
      <c r="D859" s="67">
        <v>3600.0</v>
      </c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</row>
    <row r="860" ht="12.75" customHeight="1">
      <c r="A860" s="65" t="s">
        <v>14</v>
      </c>
      <c r="B860" s="65" t="s">
        <v>15</v>
      </c>
      <c r="C860" s="65"/>
      <c r="D860" s="67">
        <v>3600.0</v>
      </c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</row>
    <row r="861" ht="12.75" customHeight="1">
      <c r="A861" s="65" t="s">
        <v>14</v>
      </c>
      <c r="B861" s="65" t="s">
        <v>15</v>
      </c>
      <c r="C861" s="65"/>
      <c r="D861" s="67">
        <v>3600.0</v>
      </c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</row>
    <row r="862" ht="12.75" customHeight="1">
      <c r="A862" s="65" t="s">
        <v>14</v>
      </c>
      <c r="B862" s="65" t="s">
        <v>15</v>
      </c>
      <c r="C862" s="65"/>
      <c r="D862" s="67">
        <v>3600.0</v>
      </c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</row>
    <row r="863" ht="12.75" customHeight="1">
      <c r="A863" s="65" t="s">
        <v>14</v>
      </c>
      <c r="B863" s="65" t="s">
        <v>15</v>
      </c>
      <c r="C863" s="65"/>
      <c r="D863" s="67">
        <v>3600.0</v>
      </c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</row>
    <row r="864" ht="12.75" customHeight="1">
      <c r="A864" s="65" t="s">
        <v>14</v>
      </c>
      <c r="B864" s="65" t="s">
        <v>15</v>
      </c>
      <c r="C864" s="65"/>
      <c r="D864" s="67">
        <v>3600.0</v>
      </c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</row>
    <row r="865" ht="12.75" customHeight="1">
      <c r="A865" s="65" t="s">
        <v>14</v>
      </c>
      <c r="B865" s="65" t="s">
        <v>15</v>
      </c>
      <c r="C865" s="65"/>
      <c r="D865" s="67">
        <v>3600.0</v>
      </c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</row>
    <row r="866" ht="12.75" customHeight="1">
      <c r="A866" s="65" t="s">
        <v>14</v>
      </c>
      <c r="B866" s="65" t="s">
        <v>15</v>
      </c>
      <c r="C866" s="65"/>
      <c r="D866" s="67">
        <v>3600.0</v>
      </c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</row>
    <row r="867" ht="12.75" customHeight="1">
      <c r="A867" s="65" t="s">
        <v>14</v>
      </c>
      <c r="B867" s="65" t="s">
        <v>15</v>
      </c>
      <c r="C867" s="65"/>
      <c r="D867" s="67">
        <v>3595.5</v>
      </c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</row>
    <row r="868" ht="12.75" customHeight="1">
      <c r="A868" s="65" t="s">
        <v>14</v>
      </c>
      <c r="B868" s="65" t="s">
        <v>15</v>
      </c>
      <c r="C868" s="65"/>
      <c r="D868" s="67">
        <v>3577.5</v>
      </c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</row>
    <row r="869" ht="12.75" customHeight="1">
      <c r="A869" s="65" t="s">
        <v>14</v>
      </c>
      <c r="B869" s="65" t="s">
        <v>15</v>
      </c>
      <c r="C869" s="65"/>
      <c r="D869" s="67">
        <v>3577.5</v>
      </c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</row>
    <row r="870" ht="12.75" customHeight="1">
      <c r="A870" s="65" t="s">
        <v>14</v>
      </c>
      <c r="B870" s="65" t="s">
        <v>15</v>
      </c>
      <c r="C870" s="65"/>
      <c r="D870" s="67">
        <v>3577.5</v>
      </c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</row>
    <row r="871" ht="12.75" customHeight="1">
      <c r="A871" s="65" t="s">
        <v>14</v>
      </c>
      <c r="B871" s="65" t="s">
        <v>15</v>
      </c>
      <c r="C871" s="65"/>
      <c r="D871" s="67">
        <v>3573.0</v>
      </c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</row>
    <row r="872" ht="12.75" customHeight="1">
      <c r="A872" s="65" t="s">
        <v>14</v>
      </c>
      <c r="B872" s="65" t="s">
        <v>15</v>
      </c>
      <c r="C872" s="65"/>
      <c r="D872" s="67">
        <v>3568.5</v>
      </c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</row>
    <row r="873" ht="12.75" customHeight="1">
      <c r="A873" s="65" t="s">
        <v>14</v>
      </c>
      <c r="B873" s="65" t="s">
        <v>15</v>
      </c>
      <c r="C873" s="65"/>
      <c r="D873" s="67">
        <v>3568.5</v>
      </c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</row>
    <row r="874" ht="12.75" customHeight="1">
      <c r="A874" s="65" t="s">
        <v>14</v>
      </c>
      <c r="B874" s="65" t="s">
        <v>15</v>
      </c>
      <c r="C874" s="65"/>
      <c r="D874" s="67">
        <v>3523.5</v>
      </c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</row>
    <row r="875" ht="12.75" customHeight="1">
      <c r="A875" s="65" t="s">
        <v>14</v>
      </c>
      <c r="B875" s="65" t="s">
        <v>15</v>
      </c>
      <c r="C875" s="65"/>
      <c r="D875" s="67">
        <v>3523.5</v>
      </c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</row>
    <row r="876" ht="12.75" customHeight="1">
      <c r="A876" s="65" t="s">
        <v>14</v>
      </c>
      <c r="B876" s="65" t="s">
        <v>15</v>
      </c>
      <c r="C876" s="65"/>
      <c r="D876" s="67">
        <v>3519.0</v>
      </c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</row>
    <row r="877" ht="12.75" customHeight="1">
      <c r="A877" s="65" t="s">
        <v>14</v>
      </c>
      <c r="B877" s="65" t="s">
        <v>15</v>
      </c>
      <c r="C877" s="65"/>
      <c r="D877" s="67">
        <v>3510.0</v>
      </c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</row>
    <row r="878" ht="12.75" customHeight="1">
      <c r="A878" s="65" t="s">
        <v>14</v>
      </c>
      <c r="B878" s="65" t="s">
        <v>15</v>
      </c>
      <c r="C878" s="65"/>
      <c r="D878" s="67">
        <v>3510.0</v>
      </c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</row>
    <row r="879" ht="12.75" customHeight="1">
      <c r="A879" s="65" t="s">
        <v>14</v>
      </c>
      <c r="B879" s="65" t="s">
        <v>15</v>
      </c>
      <c r="C879" s="65"/>
      <c r="D879" s="67">
        <v>3487.5</v>
      </c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</row>
    <row r="880" ht="12.75" customHeight="1">
      <c r="A880" s="65" t="s">
        <v>14</v>
      </c>
      <c r="B880" s="65" t="s">
        <v>15</v>
      </c>
      <c r="C880" s="65"/>
      <c r="D880" s="67">
        <v>3460.5</v>
      </c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</row>
    <row r="881" ht="12.75" customHeight="1">
      <c r="A881" s="65" t="s">
        <v>14</v>
      </c>
      <c r="B881" s="65" t="s">
        <v>15</v>
      </c>
      <c r="C881" s="65"/>
      <c r="D881" s="67">
        <v>3456.0</v>
      </c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</row>
    <row r="882" ht="12.75" customHeight="1">
      <c r="A882" s="65" t="s">
        <v>14</v>
      </c>
      <c r="B882" s="65" t="s">
        <v>15</v>
      </c>
      <c r="C882" s="65"/>
      <c r="D882" s="67">
        <v>3447.0</v>
      </c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</row>
    <row r="883" ht="12.75" customHeight="1">
      <c r="A883" s="65" t="s">
        <v>14</v>
      </c>
      <c r="B883" s="65" t="s">
        <v>15</v>
      </c>
      <c r="C883" s="65"/>
      <c r="D883" s="67">
        <v>3447.0</v>
      </c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</row>
    <row r="884" ht="12.75" customHeight="1">
      <c r="A884" s="65" t="s">
        <v>14</v>
      </c>
      <c r="B884" s="65" t="s">
        <v>15</v>
      </c>
      <c r="C884" s="65"/>
      <c r="D884" s="67">
        <v>3442.5</v>
      </c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</row>
    <row r="885" ht="12.75" customHeight="1">
      <c r="A885" s="65" t="s">
        <v>14</v>
      </c>
      <c r="B885" s="65" t="s">
        <v>15</v>
      </c>
      <c r="C885" s="65"/>
      <c r="D885" s="67">
        <v>3415.5</v>
      </c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</row>
    <row r="886" ht="12.75" customHeight="1">
      <c r="A886" s="65" t="s">
        <v>14</v>
      </c>
      <c r="B886" s="65" t="s">
        <v>15</v>
      </c>
      <c r="C886" s="65"/>
      <c r="D886" s="67">
        <v>3411.0</v>
      </c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</row>
    <row r="887" ht="12.75" customHeight="1">
      <c r="A887" s="65" t="s">
        <v>14</v>
      </c>
      <c r="B887" s="65" t="s">
        <v>15</v>
      </c>
      <c r="C887" s="65"/>
      <c r="D887" s="67">
        <v>3393.0</v>
      </c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</row>
    <row r="888" ht="12.75" customHeight="1">
      <c r="A888" s="65" t="s">
        <v>14</v>
      </c>
      <c r="B888" s="65" t="s">
        <v>15</v>
      </c>
      <c r="C888" s="65"/>
      <c r="D888" s="67">
        <v>3393.0</v>
      </c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</row>
    <row r="889" ht="12.75" customHeight="1">
      <c r="A889" s="65" t="s">
        <v>14</v>
      </c>
      <c r="B889" s="65" t="s">
        <v>15</v>
      </c>
      <c r="C889" s="65"/>
      <c r="D889" s="67">
        <v>3370.5</v>
      </c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</row>
    <row r="890" ht="12.75" customHeight="1">
      <c r="A890" s="65" t="s">
        <v>14</v>
      </c>
      <c r="B890" s="65" t="s">
        <v>15</v>
      </c>
      <c r="C890" s="65"/>
      <c r="D890" s="67">
        <v>3348.0</v>
      </c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</row>
    <row r="891" ht="12.75" customHeight="1">
      <c r="A891" s="65" t="s">
        <v>14</v>
      </c>
      <c r="B891" s="65" t="s">
        <v>15</v>
      </c>
      <c r="C891" s="65"/>
      <c r="D891" s="67">
        <v>3348.0</v>
      </c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</row>
    <row r="892" ht="12.75" customHeight="1">
      <c r="A892" s="65" t="s">
        <v>14</v>
      </c>
      <c r="B892" s="65" t="s">
        <v>15</v>
      </c>
      <c r="C892" s="65"/>
      <c r="D892" s="67">
        <v>3334.5</v>
      </c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</row>
    <row r="893" ht="12.75" customHeight="1">
      <c r="A893" s="65" t="s">
        <v>14</v>
      </c>
      <c r="B893" s="65" t="s">
        <v>15</v>
      </c>
      <c r="C893" s="65"/>
      <c r="D893" s="67">
        <v>3303.0</v>
      </c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</row>
    <row r="894" ht="12.75" customHeight="1">
      <c r="A894" s="65" t="s">
        <v>14</v>
      </c>
      <c r="B894" s="65" t="s">
        <v>15</v>
      </c>
      <c r="C894" s="65"/>
      <c r="D894" s="67">
        <v>3280.5</v>
      </c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</row>
    <row r="895" ht="12.75" customHeight="1">
      <c r="A895" s="65" t="s">
        <v>14</v>
      </c>
      <c r="B895" s="65" t="s">
        <v>15</v>
      </c>
      <c r="C895" s="65"/>
      <c r="D895" s="67">
        <v>3262.5</v>
      </c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</row>
    <row r="896" ht="12.75" customHeight="1">
      <c r="A896" s="65" t="s">
        <v>14</v>
      </c>
      <c r="B896" s="65" t="s">
        <v>15</v>
      </c>
      <c r="C896" s="65"/>
      <c r="D896" s="67">
        <v>3258.0</v>
      </c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</row>
    <row r="897" ht="12.75" customHeight="1">
      <c r="A897" s="65" t="s">
        <v>14</v>
      </c>
      <c r="B897" s="65" t="s">
        <v>15</v>
      </c>
      <c r="C897" s="65"/>
      <c r="D897" s="67">
        <v>3244.5</v>
      </c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</row>
    <row r="898" ht="12.75" customHeight="1">
      <c r="A898" s="65" t="s">
        <v>14</v>
      </c>
      <c r="B898" s="65" t="s">
        <v>15</v>
      </c>
      <c r="C898" s="65"/>
      <c r="D898" s="67">
        <v>3235.5</v>
      </c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</row>
    <row r="899" ht="12.75" customHeight="1">
      <c r="A899" s="65" t="s">
        <v>14</v>
      </c>
      <c r="B899" s="65" t="s">
        <v>15</v>
      </c>
      <c r="C899" s="65"/>
      <c r="D899" s="67">
        <v>3222.0</v>
      </c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</row>
    <row r="900" ht="12.75" customHeight="1">
      <c r="A900" s="65" t="s">
        <v>14</v>
      </c>
      <c r="B900" s="65" t="s">
        <v>15</v>
      </c>
      <c r="C900" s="65"/>
      <c r="D900" s="67">
        <v>3208.5</v>
      </c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</row>
    <row r="901" ht="12.75" customHeight="1">
      <c r="A901" s="65" t="s">
        <v>14</v>
      </c>
      <c r="B901" s="65" t="s">
        <v>15</v>
      </c>
      <c r="C901" s="65"/>
      <c r="D901" s="67">
        <v>3204.0</v>
      </c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</row>
    <row r="902" ht="12.75" customHeight="1">
      <c r="A902" s="65" t="s">
        <v>14</v>
      </c>
      <c r="B902" s="65" t="s">
        <v>15</v>
      </c>
      <c r="C902" s="65"/>
      <c r="D902" s="67">
        <v>3199.5</v>
      </c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</row>
    <row r="903" ht="12.75" customHeight="1">
      <c r="A903" s="65" t="s">
        <v>14</v>
      </c>
      <c r="B903" s="65" t="s">
        <v>15</v>
      </c>
      <c r="C903" s="65"/>
      <c r="D903" s="67">
        <v>3199.5</v>
      </c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</row>
    <row r="904" ht="12.75" customHeight="1">
      <c r="A904" s="65" t="s">
        <v>14</v>
      </c>
      <c r="B904" s="65" t="s">
        <v>15</v>
      </c>
      <c r="C904" s="65"/>
      <c r="D904" s="67">
        <v>3177.0</v>
      </c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</row>
    <row r="905" ht="12.75" customHeight="1">
      <c r="A905" s="65" t="s">
        <v>14</v>
      </c>
      <c r="B905" s="65" t="s">
        <v>15</v>
      </c>
      <c r="C905" s="65"/>
      <c r="D905" s="67">
        <v>3172.5</v>
      </c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</row>
    <row r="906" ht="12.75" customHeight="1">
      <c r="A906" s="65" t="s">
        <v>14</v>
      </c>
      <c r="B906" s="65" t="s">
        <v>15</v>
      </c>
      <c r="C906" s="65"/>
      <c r="D906" s="67">
        <v>3154.5</v>
      </c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</row>
    <row r="907" ht="12.75" customHeight="1">
      <c r="A907" s="65" t="s">
        <v>14</v>
      </c>
      <c r="B907" s="65" t="s">
        <v>15</v>
      </c>
      <c r="C907" s="65"/>
      <c r="D907" s="67">
        <v>3150.0</v>
      </c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</row>
    <row r="908" ht="12.75" customHeight="1">
      <c r="A908" s="65" t="s">
        <v>14</v>
      </c>
      <c r="B908" s="65" t="s">
        <v>15</v>
      </c>
      <c r="C908" s="65"/>
      <c r="D908" s="67">
        <v>3136.5</v>
      </c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</row>
    <row r="909" ht="12.75" customHeight="1">
      <c r="A909" s="65" t="s">
        <v>14</v>
      </c>
      <c r="B909" s="65" t="s">
        <v>15</v>
      </c>
      <c r="C909" s="65"/>
      <c r="D909" s="67">
        <v>3127.5</v>
      </c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</row>
    <row r="910" ht="12.75" customHeight="1">
      <c r="A910" s="65" t="s">
        <v>14</v>
      </c>
      <c r="B910" s="65" t="s">
        <v>15</v>
      </c>
      <c r="C910" s="65"/>
      <c r="D910" s="67">
        <v>3109.5</v>
      </c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</row>
    <row r="911" ht="12.75" customHeight="1">
      <c r="A911" s="65" t="s">
        <v>14</v>
      </c>
      <c r="B911" s="65" t="s">
        <v>15</v>
      </c>
      <c r="C911" s="65"/>
      <c r="D911" s="67">
        <v>3082.5</v>
      </c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</row>
    <row r="912" ht="12.75" customHeight="1">
      <c r="A912" s="65" t="s">
        <v>14</v>
      </c>
      <c r="B912" s="65" t="s">
        <v>15</v>
      </c>
      <c r="C912" s="65"/>
      <c r="D912" s="67">
        <v>3046.5</v>
      </c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</row>
    <row r="913" ht="12.75" customHeight="1">
      <c r="A913" s="65" t="s">
        <v>14</v>
      </c>
      <c r="B913" s="65" t="s">
        <v>15</v>
      </c>
      <c r="C913" s="65"/>
      <c r="D913" s="67">
        <v>3037.5</v>
      </c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</row>
    <row r="914" ht="12.75" customHeight="1">
      <c r="A914" s="65" t="s">
        <v>14</v>
      </c>
      <c r="B914" s="65" t="s">
        <v>15</v>
      </c>
      <c r="C914" s="65"/>
      <c r="D914" s="67">
        <v>3037.5</v>
      </c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</row>
    <row r="915" ht="12.75" customHeight="1">
      <c r="A915" s="65" t="s">
        <v>14</v>
      </c>
      <c r="B915" s="65" t="s">
        <v>15</v>
      </c>
      <c r="C915" s="65"/>
      <c r="D915" s="67">
        <v>3033.0</v>
      </c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</row>
    <row r="916" ht="12.75" customHeight="1">
      <c r="A916" s="65" t="s">
        <v>14</v>
      </c>
      <c r="B916" s="65" t="s">
        <v>15</v>
      </c>
      <c r="C916" s="65"/>
      <c r="D916" s="67">
        <v>3028.5</v>
      </c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</row>
    <row r="917" ht="12.75" customHeight="1">
      <c r="A917" s="65" t="s">
        <v>14</v>
      </c>
      <c r="B917" s="65" t="s">
        <v>15</v>
      </c>
      <c r="C917" s="65"/>
      <c r="D917" s="67">
        <v>3028.5</v>
      </c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</row>
    <row r="918" ht="12.75" customHeight="1">
      <c r="A918" s="65" t="s">
        <v>14</v>
      </c>
      <c r="B918" s="65" t="s">
        <v>15</v>
      </c>
      <c r="C918" s="65"/>
      <c r="D918" s="67">
        <v>3015.0</v>
      </c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</row>
    <row r="919" ht="12.75" customHeight="1">
      <c r="A919" s="65" t="s">
        <v>14</v>
      </c>
      <c r="B919" s="65" t="s">
        <v>15</v>
      </c>
      <c r="C919" s="65"/>
      <c r="D919" s="67">
        <v>3010.5</v>
      </c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</row>
    <row r="920" ht="12.75" customHeight="1">
      <c r="A920" s="65" t="s">
        <v>14</v>
      </c>
      <c r="B920" s="65" t="s">
        <v>15</v>
      </c>
      <c r="C920" s="65"/>
      <c r="D920" s="67">
        <v>2988.0</v>
      </c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</row>
    <row r="921" ht="12.75" customHeight="1">
      <c r="A921" s="65" t="s">
        <v>14</v>
      </c>
      <c r="B921" s="65" t="s">
        <v>15</v>
      </c>
      <c r="C921" s="65"/>
      <c r="D921" s="67">
        <v>2979.0</v>
      </c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</row>
    <row r="922" ht="12.75" customHeight="1">
      <c r="A922" s="65" t="s">
        <v>14</v>
      </c>
      <c r="B922" s="65" t="s">
        <v>15</v>
      </c>
      <c r="C922" s="65"/>
      <c r="D922" s="67">
        <v>2970.0</v>
      </c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</row>
    <row r="923" ht="12.75" customHeight="1">
      <c r="A923" s="65" t="s">
        <v>14</v>
      </c>
      <c r="B923" s="65" t="s">
        <v>15</v>
      </c>
      <c r="C923" s="65"/>
      <c r="D923" s="67">
        <v>2970.0</v>
      </c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</row>
    <row r="924" ht="12.75" customHeight="1">
      <c r="A924" s="65" t="s">
        <v>14</v>
      </c>
      <c r="B924" s="65" t="s">
        <v>15</v>
      </c>
      <c r="C924" s="65"/>
      <c r="D924" s="67">
        <v>2961.0</v>
      </c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</row>
    <row r="925" ht="12.75" customHeight="1">
      <c r="A925" s="65" t="s">
        <v>14</v>
      </c>
      <c r="B925" s="65" t="s">
        <v>15</v>
      </c>
      <c r="C925" s="65"/>
      <c r="D925" s="67">
        <v>2934.0</v>
      </c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</row>
    <row r="926" ht="12.75" customHeight="1">
      <c r="A926" s="65" t="s">
        <v>14</v>
      </c>
      <c r="B926" s="65" t="s">
        <v>15</v>
      </c>
      <c r="C926" s="65"/>
      <c r="D926" s="67">
        <v>2929.5</v>
      </c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</row>
    <row r="927" ht="12.75" customHeight="1">
      <c r="A927" s="65" t="s">
        <v>14</v>
      </c>
      <c r="B927" s="65" t="s">
        <v>15</v>
      </c>
      <c r="C927" s="65"/>
      <c r="D927" s="67">
        <v>2925.0</v>
      </c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</row>
    <row r="928" ht="12.75" customHeight="1">
      <c r="A928" s="65" t="s">
        <v>14</v>
      </c>
      <c r="B928" s="65" t="s">
        <v>15</v>
      </c>
      <c r="C928" s="65"/>
      <c r="D928" s="67">
        <v>2925.0</v>
      </c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</row>
    <row r="929" ht="12.75" customHeight="1">
      <c r="A929" s="65" t="s">
        <v>14</v>
      </c>
      <c r="B929" s="65" t="s">
        <v>15</v>
      </c>
      <c r="C929" s="65"/>
      <c r="D929" s="67">
        <v>2925.0</v>
      </c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</row>
    <row r="930" ht="12.75" customHeight="1">
      <c r="A930" s="65" t="s">
        <v>14</v>
      </c>
      <c r="B930" s="65" t="s">
        <v>15</v>
      </c>
      <c r="C930" s="65"/>
      <c r="D930" s="67">
        <v>2925.0</v>
      </c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</row>
    <row r="931" ht="12.75" customHeight="1">
      <c r="A931" s="65" t="s">
        <v>14</v>
      </c>
      <c r="B931" s="65" t="s">
        <v>15</v>
      </c>
      <c r="C931" s="65"/>
      <c r="D931" s="67">
        <v>2925.0</v>
      </c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</row>
    <row r="932" ht="12.75" customHeight="1">
      <c r="A932" s="65" t="s">
        <v>14</v>
      </c>
      <c r="B932" s="65" t="s">
        <v>15</v>
      </c>
      <c r="C932" s="65"/>
      <c r="D932" s="67">
        <v>2925.0</v>
      </c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</row>
    <row r="933" ht="12.75" customHeight="1">
      <c r="A933" s="65" t="s">
        <v>14</v>
      </c>
      <c r="B933" s="65" t="s">
        <v>15</v>
      </c>
      <c r="C933" s="65"/>
      <c r="D933" s="67">
        <v>2925.0</v>
      </c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</row>
    <row r="934" ht="12.75" customHeight="1">
      <c r="A934" s="65" t="s">
        <v>14</v>
      </c>
      <c r="B934" s="65" t="s">
        <v>15</v>
      </c>
      <c r="C934" s="65"/>
      <c r="D934" s="67">
        <v>2925.0</v>
      </c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</row>
    <row r="935" ht="12.75" customHeight="1">
      <c r="A935" s="65" t="s">
        <v>14</v>
      </c>
      <c r="B935" s="65" t="s">
        <v>15</v>
      </c>
      <c r="C935" s="65"/>
      <c r="D935" s="67">
        <v>2925.0</v>
      </c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</row>
    <row r="936" ht="12.75" customHeight="1">
      <c r="A936" s="65" t="s">
        <v>14</v>
      </c>
      <c r="B936" s="65" t="s">
        <v>15</v>
      </c>
      <c r="C936" s="65"/>
      <c r="D936" s="67">
        <v>2911.5</v>
      </c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</row>
    <row r="937" ht="12.75" customHeight="1">
      <c r="A937" s="65" t="s">
        <v>14</v>
      </c>
      <c r="B937" s="65" t="s">
        <v>15</v>
      </c>
      <c r="C937" s="65"/>
      <c r="D937" s="67">
        <v>2875.5</v>
      </c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</row>
    <row r="938" ht="12.75" customHeight="1">
      <c r="A938" s="65" t="s">
        <v>14</v>
      </c>
      <c r="B938" s="65" t="s">
        <v>15</v>
      </c>
      <c r="C938" s="65"/>
      <c r="D938" s="67">
        <v>2862.0</v>
      </c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</row>
    <row r="939" ht="12.75" customHeight="1">
      <c r="A939" s="65" t="s">
        <v>14</v>
      </c>
      <c r="B939" s="65" t="s">
        <v>15</v>
      </c>
      <c r="C939" s="65"/>
      <c r="D939" s="67">
        <v>2857.5</v>
      </c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</row>
    <row r="940" ht="12.75" customHeight="1">
      <c r="A940" s="65" t="s">
        <v>14</v>
      </c>
      <c r="B940" s="65" t="s">
        <v>15</v>
      </c>
      <c r="C940" s="65"/>
      <c r="D940" s="67">
        <v>2848.5</v>
      </c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</row>
    <row r="941" ht="12.75" customHeight="1">
      <c r="A941" s="65" t="s">
        <v>14</v>
      </c>
      <c r="B941" s="65" t="s">
        <v>15</v>
      </c>
      <c r="C941" s="65"/>
      <c r="D941" s="67">
        <v>2839.5</v>
      </c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</row>
    <row r="942" ht="12.75" customHeight="1">
      <c r="A942" s="65" t="s">
        <v>14</v>
      </c>
      <c r="B942" s="65" t="s">
        <v>15</v>
      </c>
      <c r="C942" s="65"/>
      <c r="D942" s="67">
        <v>2839.5</v>
      </c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</row>
    <row r="943" ht="12.75" customHeight="1">
      <c r="A943" s="65" t="s">
        <v>14</v>
      </c>
      <c r="B943" s="65" t="s">
        <v>15</v>
      </c>
      <c r="C943" s="65"/>
      <c r="D943" s="67">
        <v>2830.5</v>
      </c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</row>
    <row r="944" ht="12.75" customHeight="1">
      <c r="A944" s="65" t="s">
        <v>14</v>
      </c>
      <c r="B944" s="65" t="s">
        <v>15</v>
      </c>
      <c r="C944" s="65"/>
      <c r="D944" s="67">
        <v>2812.5</v>
      </c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</row>
    <row r="945" ht="12.75" customHeight="1">
      <c r="A945" s="65" t="s">
        <v>14</v>
      </c>
      <c r="B945" s="65" t="s">
        <v>15</v>
      </c>
      <c r="C945" s="65"/>
      <c r="D945" s="67">
        <v>2812.5</v>
      </c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</row>
    <row r="946" ht="12.75" customHeight="1">
      <c r="A946" s="65" t="s">
        <v>14</v>
      </c>
      <c r="B946" s="65" t="s">
        <v>15</v>
      </c>
      <c r="C946" s="65"/>
      <c r="D946" s="67">
        <v>2812.5</v>
      </c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</row>
    <row r="947" ht="12.75" customHeight="1">
      <c r="A947" s="65" t="s">
        <v>14</v>
      </c>
      <c r="B947" s="65" t="s">
        <v>15</v>
      </c>
      <c r="C947" s="65"/>
      <c r="D947" s="67">
        <v>2812.5</v>
      </c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</row>
    <row r="948" ht="12.75" customHeight="1">
      <c r="A948" s="65" t="s">
        <v>14</v>
      </c>
      <c r="B948" s="65" t="s">
        <v>15</v>
      </c>
      <c r="C948" s="65"/>
      <c r="D948" s="67">
        <v>2812.5</v>
      </c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</row>
    <row r="949" ht="12.75" customHeight="1">
      <c r="A949" s="65" t="s">
        <v>14</v>
      </c>
      <c r="B949" s="65" t="s">
        <v>15</v>
      </c>
      <c r="C949" s="65"/>
      <c r="D949" s="67">
        <v>2812.5</v>
      </c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</row>
    <row r="950" ht="12.75" customHeight="1">
      <c r="A950" s="65" t="s">
        <v>14</v>
      </c>
      <c r="B950" s="65" t="s">
        <v>15</v>
      </c>
      <c r="C950" s="65"/>
      <c r="D950" s="67">
        <v>2812.5</v>
      </c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</row>
    <row r="951" ht="12.75" customHeight="1">
      <c r="A951" s="65" t="s">
        <v>14</v>
      </c>
      <c r="B951" s="65" t="s">
        <v>15</v>
      </c>
      <c r="C951" s="65"/>
      <c r="D951" s="67">
        <v>2812.5</v>
      </c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</row>
    <row r="952" ht="12.75" customHeight="1">
      <c r="A952" s="65" t="s">
        <v>14</v>
      </c>
      <c r="B952" s="65" t="s">
        <v>15</v>
      </c>
      <c r="C952" s="65"/>
      <c r="D952" s="67">
        <v>2812.5</v>
      </c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</row>
    <row r="953" ht="12.75" customHeight="1">
      <c r="A953" s="65" t="s">
        <v>14</v>
      </c>
      <c r="B953" s="65" t="s">
        <v>15</v>
      </c>
      <c r="C953" s="65"/>
      <c r="D953" s="67">
        <v>2812.5</v>
      </c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</row>
    <row r="954" ht="12.75" customHeight="1">
      <c r="A954" s="65" t="s">
        <v>14</v>
      </c>
      <c r="B954" s="65" t="s">
        <v>15</v>
      </c>
      <c r="C954" s="65"/>
      <c r="D954" s="67">
        <v>2812.5</v>
      </c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</row>
    <row r="955" ht="12.75" customHeight="1">
      <c r="A955" s="65" t="s">
        <v>14</v>
      </c>
      <c r="B955" s="65" t="s">
        <v>15</v>
      </c>
      <c r="C955" s="65"/>
      <c r="D955" s="67">
        <v>2812.5</v>
      </c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</row>
    <row r="956" ht="12.75" customHeight="1">
      <c r="A956" s="65" t="s">
        <v>14</v>
      </c>
      <c r="B956" s="65" t="s">
        <v>15</v>
      </c>
      <c r="C956" s="65"/>
      <c r="D956" s="67">
        <v>2812.5</v>
      </c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</row>
    <row r="957" ht="12.75" customHeight="1">
      <c r="A957" s="65" t="s">
        <v>14</v>
      </c>
      <c r="B957" s="65" t="s">
        <v>15</v>
      </c>
      <c r="C957" s="65"/>
      <c r="D957" s="67">
        <v>2812.5</v>
      </c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</row>
    <row r="958" ht="12.75" customHeight="1">
      <c r="A958" s="65" t="s">
        <v>14</v>
      </c>
      <c r="B958" s="65" t="s">
        <v>15</v>
      </c>
      <c r="C958" s="65"/>
      <c r="D958" s="67">
        <v>2812.5</v>
      </c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</row>
    <row r="959" ht="12.75" customHeight="1">
      <c r="A959" s="65" t="s">
        <v>14</v>
      </c>
      <c r="B959" s="65" t="s">
        <v>15</v>
      </c>
      <c r="C959" s="65"/>
      <c r="D959" s="67">
        <v>2812.5</v>
      </c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</row>
    <row r="960" ht="12.75" customHeight="1">
      <c r="A960" s="65" t="s">
        <v>14</v>
      </c>
      <c r="B960" s="65" t="s">
        <v>15</v>
      </c>
      <c r="C960" s="65"/>
      <c r="D960" s="67">
        <v>2812.5</v>
      </c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</row>
    <row r="961" ht="12.75" customHeight="1">
      <c r="A961" s="65" t="s">
        <v>14</v>
      </c>
      <c r="B961" s="65" t="s">
        <v>15</v>
      </c>
      <c r="C961" s="65"/>
      <c r="D961" s="67">
        <v>2812.5</v>
      </c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</row>
    <row r="962" ht="12.75" customHeight="1">
      <c r="A962" s="65" t="s">
        <v>14</v>
      </c>
      <c r="B962" s="65" t="s">
        <v>15</v>
      </c>
      <c r="C962" s="65"/>
      <c r="D962" s="67">
        <v>2812.5</v>
      </c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</row>
    <row r="963" ht="12.75" customHeight="1">
      <c r="A963" s="65" t="s">
        <v>14</v>
      </c>
      <c r="B963" s="65" t="s">
        <v>15</v>
      </c>
      <c r="C963" s="65"/>
      <c r="D963" s="67">
        <v>2812.5</v>
      </c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</row>
    <row r="964" ht="12.75" customHeight="1">
      <c r="A964" s="65" t="s">
        <v>14</v>
      </c>
      <c r="B964" s="65" t="s">
        <v>15</v>
      </c>
      <c r="C964" s="65"/>
      <c r="D964" s="67">
        <v>2808.0</v>
      </c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</row>
    <row r="965" ht="12.75" customHeight="1">
      <c r="A965" s="65" t="s">
        <v>14</v>
      </c>
      <c r="B965" s="65" t="s">
        <v>15</v>
      </c>
      <c r="C965" s="65"/>
      <c r="D965" s="67">
        <v>2799.0</v>
      </c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</row>
    <row r="966" ht="12.75" customHeight="1">
      <c r="A966" s="65" t="s">
        <v>14</v>
      </c>
      <c r="B966" s="65" t="s">
        <v>15</v>
      </c>
      <c r="C966" s="65"/>
      <c r="D966" s="67">
        <v>2799.0</v>
      </c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</row>
    <row r="967" ht="12.75" customHeight="1">
      <c r="A967" s="65" t="s">
        <v>14</v>
      </c>
      <c r="B967" s="65" t="s">
        <v>15</v>
      </c>
      <c r="C967" s="65"/>
      <c r="D967" s="67">
        <v>2799.0</v>
      </c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</row>
    <row r="968" ht="12.75" customHeight="1">
      <c r="A968" s="65" t="s">
        <v>14</v>
      </c>
      <c r="B968" s="65" t="s">
        <v>15</v>
      </c>
      <c r="C968" s="65"/>
      <c r="D968" s="67">
        <v>2799.0</v>
      </c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</row>
    <row r="969" ht="12.75" customHeight="1">
      <c r="A969" s="65" t="s">
        <v>14</v>
      </c>
      <c r="B969" s="65" t="s">
        <v>15</v>
      </c>
      <c r="C969" s="65"/>
      <c r="D969" s="67">
        <v>2799.0</v>
      </c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</row>
    <row r="970" ht="12.75" customHeight="1">
      <c r="A970" s="65" t="s">
        <v>14</v>
      </c>
      <c r="B970" s="65" t="s">
        <v>15</v>
      </c>
      <c r="C970" s="65"/>
      <c r="D970" s="67">
        <v>2790.0</v>
      </c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</row>
    <row r="971" ht="12.75" customHeight="1">
      <c r="A971" s="65" t="s">
        <v>14</v>
      </c>
      <c r="B971" s="65" t="s">
        <v>15</v>
      </c>
      <c r="C971" s="65"/>
      <c r="D971" s="67">
        <v>2790.0</v>
      </c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</row>
    <row r="972" ht="12.75" customHeight="1">
      <c r="A972" s="65" t="s">
        <v>14</v>
      </c>
      <c r="B972" s="65" t="s">
        <v>15</v>
      </c>
      <c r="C972" s="65"/>
      <c r="D972" s="67">
        <v>2749.5</v>
      </c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</row>
    <row r="973" ht="12.75" customHeight="1">
      <c r="A973" s="65" t="s">
        <v>14</v>
      </c>
      <c r="B973" s="65" t="s">
        <v>15</v>
      </c>
      <c r="C973" s="65"/>
      <c r="D973" s="67">
        <v>2745.0</v>
      </c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</row>
    <row r="974" ht="12.75" customHeight="1">
      <c r="A974" s="65" t="s">
        <v>14</v>
      </c>
      <c r="B974" s="65" t="s">
        <v>15</v>
      </c>
      <c r="C974" s="65"/>
      <c r="D974" s="67">
        <v>2731.5</v>
      </c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</row>
    <row r="975" ht="12.75" customHeight="1">
      <c r="A975" s="65" t="s">
        <v>14</v>
      </c>
      <c r="B975" s="65" t="s">
        <v>15</v>
      </c>
      <c r="C975" s="65"/>
      <c r="D975" s="67">
        <v>2722.5</v>
      </c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</row>
    <row r="976" ht="12.75" customHeight="1">
      <c r="A976" s="65" t="s">
        <v>14</v>
      </c>
      <c r="B976" s="65" t="s">
        <v>15</v>
      </c>
      <c r="C976" s="65"/>
      <c r="D976" s="67">
        <v>2713.5</v>
      </c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</row>
    <row r="977" ht="12.75" customHeight="1">
      <c r="A977" s="65" t="s">
        <v>14</v>
      </c>
      <c r="B977" s="65" t="s">
        <v>15</v>
      </c>
      <c r="C977" s="65"/>
      <c r="D977" s="67">
        <v>2700.0</v>
      </c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</row>
    <row r="978" ht="12.75" customHeight="1">
      <c r="A978" s="65" t="s">
        <v>14</v>
      </c>
      <c r="B978" s="65" t="s">
        <v>15</v>
      </c>
      <c r="C978" s="65"/>
      <c r="D978" s="67">
        <v>2700.0</v>
      </c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</row>
    <row r="979" ht="12.75" customHeight="1">
      <c r="A979" s="65" t="s">
        <v>14</v>
      </c>
      <c r="B979" s="65" t="s">
        <v>15</v>
      </c>
      <c r="C979" s="65"/>
      <c r="D979" s="67">
        <v>2695.5</v>
      </c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</row>
    <row r="980" ht="12.75" customHeight="1">
      <c r="A980" s="65" t="s">
        <v>14</v>
      </c>
      <c r="B980" s="65" t="s">
        <v>15</v>
      </c>
      <c r="C980" s="65"/>
      <c r="D980" s="67">
        <v>2686.5</v>
      </c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</row>
    <row r="981" ht="12.75" customHeight="1">
      <c r="A981" s="65" t="s">
        <v>14</v>
      </c>
      <c r="B981" s="65" t="s">
        <v>15</v>
      </c>
      <c r="C981" s="65"/>
      <c r="D981" s="67">
        <v>2682.0</v>
      </c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</row>
    <row r="982" ht="12.75" customHeight="1">
      <c r="A982" s="65" t="s">
        <v>14</v>
      </c>
      <c r="B982" s="65" t="s">
        <v>15</v>
      </c>
      <c r="C982" s="65"/>
      <c r="D982" s="67">
        <v>2682.0</v>
      </c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</row>
    <row r="983" ht="12.75" customHeight="1">
      <c r="A983" s="65" t="s">
        <v>14</v>
      </c>
      <c r="B983" s="65" t="s">
        <v>15</v>
      </c>
      <c r="C983" s="65"/>
      <c r="D983" s="67">
        <v>2668.5</v>
      </c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</row>
    <row r="984" ht="12.75" customHeight="1">
      <c r="A984" s="65" t="s">
        <v>14</v>
      </c>
      <c r="B984" s="65" t="s">
        <v>15</v>
      </c>
      <c r="C984" s="65"/>
      <c r="D984" s="67">
        <v>2655.0</v>
      </c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</row>
    <row r="985" ht="12.75" customHeight="1">
      <c r="A985" s="65" t="s">
        <v>14</v>
      </c>
      <c r="B985" s="65" t="s">
        <v>15</v>
      </c>
      <c r="C985" s="65"/>
      <c r="D985" s="67">
        <v>2641.5</v>
      </c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</row>
    <row r="986" ht="12.75" customHeight="1">
      <c r="A986" s="65" t="s">
        <v>14</v>
      </c>
      <c r="B986" s="65" t="s">
        <v>15</v>
      </c>
      <c r="C986" s="65"/>
      <c r="D986" s="67">
        <v>2637.0</v>
      </c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</row>
    <row r="987" ht="12.75" customHeight="1">
      <c r="A987" s="65" t="s">
        <v>14</v>
      </c>
      <c r="B987" s="65" t="s">
        <v>15</v>
      </c>
      <c r="C987" s="65"/>
      <c r="D987" s="67">
        <v>2623.5</v>
      </c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</row>
    <row r="988" ht="12.75" customHeight="1">
      <c r="A988" s="65" t="s">
        <v>14</v>
      </c>
      <c r="B988" s="65" t="s">
        <v>15</v>
      </c>
      <c r="C988" s="65"/>
      <c r="D988" s="67">
        <v>2619.0</v>
      </c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</row>
    <row r="989" ht="12.75" customHeight="1">
      <c r="A989" s="65" t="s">
        <v>14</v>
      </c>
      <c r="B989" s="65" t="s">
        <v>15</v>
      </c>
      <c r="C989" s="65"/>
      <c r="D989" s="67">
        <v>2614.5</v>
      </c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</row>
    <row r="990" ht="12.75" customHeight="1">
      <c r="A990" s="65" t="s">
        <v>14</v>
      </c>
      <c r="B990" s="65" t="s">
        <v>15</v>
      </c>
      <c r="C990" s="65"/>
      <c r="D990" s="67">
        <v>2560.5</v>
      </c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</row>
    <row r="991" ht="12.75" customHeight="1">
      <c r="A991" s="65" t="s">
        <v>14</v>
      </c>
      <c r="B991" s="65" t="s">
        <v>15</v>
      </c>
      <c r="C991" s="65"/>
      <c r="D991" s="67">
        <v>2560.5</v>
      </c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</row>
    <row r="992" ht="12.75" customHeight="1">
      <c r="A992" s="65" t="s">
        <v>14</v>
      </c>
      <c r="B992" s="65" t="s">
        <v>15</v>
      </c>
      <c r="C992" s="65"/>
      <c r="D992" s="67">
        <v>2520.0</v>
      </c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</row>
    <row r="993" ht="12.75" customHeight="1">
      <c r="A993" s="65" t="s">
        <v>14</v>
      </c>
      <c r="B993" s="65" t="s">
        <v>15</v>
      </c>
      <c r="C993" s="65"/>
      <c r="D993" s="67">
        <v>2511.0</v>
      </c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</row>
    <row r="994" ht="12.75" customHeight="1">
      <c r="A994" s="65" t="s">
        <v>14</v>
      </c>
      <c r="B994" s="65" t="s">
        <v>15</v>
      </c>
      <c r="C994" s="65"/>
      <c r="D994" s="67">
        <v>2506.5</v>
      </c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</row>
    <row r="995" ht="12.75" customHeight="1">
      <c r="A995" s="65" t="s">
        <v>14</v>
      </c>
      <c r="B995" s="65" t="s">
        <v>15</v>
      </c>
      <c r="C995" s="65"/>
      <c r="D995" s="67">
        <v>2493.0</v>
      </c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</row>
    <row r="996" ht="12.75" customHeight="1">
      <c r="A996" s="65" t="s">
        <v>14</v>
      </c>
      <c r="B996" s="65" t="s">
        <v>15</v>
      </c>
      <c r="C996" s="65"/>
      <c r="D996" s="67">
        <v>2479.5</v>
      </c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</row>
    <row r="997" ht="12.75" customHeight="1">
      <c r="A997" s="65" t="s">
        <v>14</v>
      </c>
      <c r="B997" s="65" t="s">
        <v>15</v>
      </c>
      <c r="C997" s="65"/>
      <c r="D997" s="67">
        <v>2470.5</v>
      </c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</row>
    <row r="998" ht="12.75" customHeight="1">
      <c r="A998" s="65" t="s">
        <v>14</v>
      </c>
      <c r="B998" s="65" t="s">
        <v>15</v>
      </c>
      <c r="C998" s="65"/>
      <c r="D998" s="67">
        <v>2466.0</v>
      </c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</row>
    <row r="999" ht="12.75" customHeight="1">
      <c r="A999" s="65" t="s">
        <v>14</v>
      </c>
      <c r="B999" s="65" t="s">
        <v>15</v>
      </c>
      <c r="C999" s="65"/>
      <c r="D999" s="67">
        <v>2452.5</v>
      </c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</row>
    <row r="1000" ht="12.75" customHeight="1">
      <c r="A1000" s="65" t="s">
        <v>14</v>
      </c>
      <c r="B1000" s="65" t="s">
        <v>15</v>
      </c>
      <c r="C1000" s="65"/>
      <c r="D1000" s="67">
        <v>2443.5</v>
      </c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</row>
    <row r="1001" ht="12.75" customHeight="1">
      <c r="A1001" s="65" t="s">
        <v>14</v>
      </c>
      <c r="B1001" s="65" t="s">
        <v>15</v>
      </c>
      <c r="C1001" s="65"/>
      <c r="D1001" s="67">
        <v>2443.5</v>
      </c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</row>
    <row r="1002" ht="12.75" customHeight="1">
      <c r="A1002" s="65" t="s">
        <v>14</v>
      </c>
      <c r="B1002" s="65" t="s">
        <v>15</v>
      </c>
      <c r="C1002" s="65"/>
      <c r="D1002" s="67">
        <v>2443.5</v>
      </c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</row>
    <row r="1003" ht="12.75" customHeight="1">
      <c r="A1003" s="65" t="s">
        <v>14</v>
      </c>
      <c r="B1003" s="65" t="s">
        <v>15</v>
      </c>
      <c r="C1003" s="65"/>
      <c r="D1003" s="67">
        <v>2421.0</v>
      </c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</row>
    <row r="1004" ht="12.75" customHeight="1">
      <c r="A1004" s="65" t="s">
        <v>14</v>
      </c>
      <c r="B1004" s="65" t="s">
        <v>15</v>
      </c>
      <c r="C1004" s="65"/>
      <c r="D1004" s="67">
        <v>2398.5</v>
      </c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</row>
    <row r="1005" ht="12.75" customHeight="1">
      <c r="A1005" s="65" t="s">
        <v>14</v>
      </c>
      <c r="B1005" s="65" t="s">
        <v>15</v>
      </c>
      <c r="C1005" s="65"/>
      <c r="D1005" s="67">
        <v>2389.5</v>
      </c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</row>
    <row r="1006" ht="12.75" customHeight="1">
      <c r="A1006" s="65" t="s">
        <v>14</v>
      </c>
      <c r="B1006" s="65" t="s">
        <v>15</v>
      </c>
      <c r="C1006" s="65"/>
      <c r="D1006" s="67">
        <v>2371.5</v>
      </c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</row>
    <row r="1007" ht="12.75" customHeight="1">
      <c r="A1007" s="65" t="s">
        <v>14</v>
      </c>
      <c r="B1007" s="65" t="s">
        <v>15</v>
      </c>
      <c r="C1007" s="65"/>
      <c r="D1007" s="67">
        <v>2344.5</v>
      </c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</row>
    <row r="1008" ht="12.75" customHeight="1">
      <c r="A1008" s="65" t="s">
        <v>14</v>
      </c>
      <c r="B1008" s="65" t="s">
        <v>15</v>
      </c>
      <c r="C1008" s="65"/>
      <c r="D1008" s="67">
        <v>2331.0</v>
      </c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</row>
    <row r="1009" ht="12.75" customHeight="1">
      <c r="A1009" s="65" t="s">
        <v>14</v>
      </c>
      <c r="B1009" s="65" t="s">
        <v>15</v>
      </c>
      <c r="C1009" s="65"/>
      <c r="D1009" s="67">
        <v>2322.0</v>
      </c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</row>
    <row r="1010" ht="12.75" customHeight="1">
      <c r="A1010" s="65" t="s">
        <v>14</v>
      </c>
      <c r="B1010" s="65" t="s">
        <v>15</v>
      </c>
      <c r="C1010" s="65"/>
      <c r="D1010" s="67">
        <v>2322.0</v>
      </c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</row>
    <row r="1011" ht="12.75" customHeight="1">
      <c r="A1011" s="65" t="s">
        <v>14</v>
      </c>
      <c r="B1011" s="65" t="s">
        <v>15</v>
      </c>
      <c r="C1011" s="65"/>
      <c r="D1011" s="67">
        <v>2322.0</v>
      </c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</row>
    <row r="1012" ht="12.75" customHeight="1">
      <c r="A1012" s="65" t="s">
        <v>14</v>
      </c>
      <c r="B1012" s="65" t="s">
        <v>15</v>
      </c>
      <c r="C1012" s="65"/>
      <c r="D1012" s="67">
        <v>2308.5</v>
      </c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</row>
    <row r="1013" ht="12.75" customHeight="1">
      <c r="A1013" s="65" t="s">
        <v>14</v>
      </c>
      <c r="B1013" s="65" t="s">
        <v>15</v>
      </c>
      <c r="C1013" s="65"/>
      <c r="D1013" s="67">
        <v>2299.5</v>
      </c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</row>
    <row r="1014" ht="12.75" customHeight="1">
      <c r="A1014" s="65" t="s">
        <v>14</v>
      </c>
      <c r="B1014" s="65" t="s">
        <v>15</v>
      </c>
      <c r="C1014" s="65"/>
      <c r="D1014" s="67">
        <v>2290.5</v>
      </c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</row>
    <row r="1015" ht="12.75" customHeight="1">
      <c r="A1015" s="65" t="s">
        <v>14</v>
      </c>
      <c r="B1015" s="65" t="s">
        <v>15</v>
      </c>
      <c r="C1015" s="65"/>
      <c r="D1015" s="67">
        <v>2245.5</v>
      </c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</row>
    <row r="1016" ht="12.75" customHeight="1">
      <c r="A1016" s="65" t="s">
        <v>14</v>
      </c>
      <c r="B1016" s="65" t="s">
        <v>15</v>
      </c>
      <c r="C1016" s="65"/>
      <c r="D1016" s="67">
        <v>2245.5</v>
      </c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</row>
    <row r="1017" ht="12.75" customHeight="1">
      <c r="A1017" s="65" t="s">
        <v>14</v>
      </c>
      <c r="B1017" s="65" t="s">
        <v>15</v>
      </c>
      <c r="C1017" s="65"/>
      <c r="D1017" s="67">
        <v>2236.5</v>
      </c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</row>
    <row r="1018" ht="12.75" customHeight="1">
      <c r="A1018" s="65" t="s">
        <v>14</v>
      </c>
      <c r="B1018" s="65" t="s">
        <v>15</v>
      </c>
      <c r="C1018" s="65"/>
      <c r="D1018" s="67">
        <v>2214.0</v>
      </c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</row>
    <row r="1019" ht="12.75" customHeight="1">
      <c r="A1019" s="65" t="s">
        <v>14</v>
      </c>
      <c r="B1019" s="65" t="s">
        <v>15</v>
      </c>
      <c r="C1019" s="65"/>
      <c r="D1019" s="67">
        <v>2205.0</v>
      </c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</row>
    <row r="1020" ht="12.75" customHeight="1">
      <c r="A1020" s="65" t="s">
        <v>14</v>
      </c>
      <c r="B1020" s="65" t="s">
        <v>15</v>
      </c>
      <c r="C1020" s="65"/>
      <c r="D1020" s="67">
        <v>2196.0</v>
      </c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</row>
    <row r="1021" ht="12.75" customHeight="1">
      <c r="A1021" s="65" t="s">
        <v>14</v>
      </c>
      <c r="B1021" s="65" t="s">
        <v>15</v>
      </c>
      <c r="C1021" s="65"/>
      <c r="D1021" s="67">
        <v>2196.0</v>
      </c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</row>
    <row r="1022" ht="12.75" customHeight="1">
      <c r="A1022" s="65" t="s">
        <v>14</v>
      </c>
      <c r="B1022" s="65" t="s">
        <v>15</v>
      </c>
      <c r="C1022" s="65"/>
      <c r="D1022" s="67">
        <v>2191.5</v>
      </c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</row>
    <row r="1023" ht="12.75" customHeight="1">
      <c r="A1023" s="65" t="s">
        <v>14</v>
      </c>
      <c r="B1023" s="65" t="s">
        <v>15</v>
      </c>
      <c r="C1023" s="65"/>
      <c r="D1023" s="67">
        <v>2187.0</v>
      </c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</row>
    <row r="1024" ht="12.75" customHeight="1">
      <c r="A1024" s="65" t="s">
        <v>14</v>
      </c>
      <c r="B1024" s="65" t="s">
        <v>15</v>
      </c>
      <c r="C1024" s="65"/>
      <c r="D1024" s="67">
        <v>2182.5</v>
      </c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</row>
    <row r="1025" ht="12.75" customHeight="1">
      <c r="A1025" s="65" t="s">
        <v>14</v>
      </c>
      <c r="B1025" s="65" t="s">
        <v>15</v>
      </c>
      <c r="C1025" s="65"/>
      <c r="D1025" s="67">
        <v>2178.0</v>
      </c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</row>
    <row r="1026" ht="12.75" customHeight="1">
      <c r="A1026" s="65" t="s">
        <v>14</v>
      </c>
      <c r="B1026" s="65" t="s">
        <v>15</v>
      </c>
      <c r="C1026" s="65"/>
      <c r="D1026" s="67">
        <v>2178.0</v>
      </c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</row>
    <row r="1027" ht="12.75" customHeight="1">
      <c r="A1027" s="65" t="s">
        <v>14</v>
      </c>
      <c r="B1027" s="65" t="s">
        <v>15</v>
      </c>
      <c r="C1027" s="65"/>
      <c r="D1027" s="67">
        <v>2178.0</v>
      </c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</row>
    <row r="1028" ht="12.75" customHeight="1">
      <c r="A1028" s="65" t="s">
        <v>14</v>
      </c>
      <c r="B1028" s="65" t="s">
        <v>15</v>
      </c>
      <c r="C1028" s="65"/>
      <c r="D1028" s="67">
        <v>2160.0</v>
      </c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</row>
    <row r="1029" ht="12.75" customHeight="1">
      <c r="A1029" s="65" t="s">
        <v>14</v>
      </c>
      <c r="B1029" s="65" t="s">
        <v>15</v>
      </c>
      <c r="C1029" s="65"/>
      <c r="D1029" s="67">
        <v>2160.0</v>
      </c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</row>
    <row r="1030" ht="12.75" customHeight="1">
      <c r="A1030" s="65" t="s">
        <v>14</v>
      </c>
      <c r="B1030" s="65" t="s">
        <v>15</v>
      </c>
      <c r="C1030" s="65"/>
      <c r="D1030" s="67">
        <v>2142.0</v>
      </c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</row>
    <row r="1031" ht="12.75" customHeight="1">
      <c r="A1031" s="65" t="s">
        <v>14</v>
      </c>
      <c r="B1031" s="65" t="s">
        <v>15</v>
      </c>
      <c r="C1031" s="65"/>
      <c r="D1031" s="67">
        <v>2119.5</v>
      </c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</row>
    <row r="1032" ht="12.75" customHeight="1">
      <c r="A1032" s="65" t="s">
        <v>14</v>
      </c>
      <c r="B1032" s="65" t="s">
        <v>15</v>
      </c>
      <c r="C1032" s="65"/>
      <c r="D1032" s="67">
        <v>2119.5</v>
      </c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</row>
    <row r="1033" ht="12.75" customHeight="1">
      <c r="A1033" s="65" t="s">
        <v>14</v>
      </c>
      <c r="B1033" s="65" t="s">
        <v>15</v>
      </c>
      <c r="C1033" s="65"/>
      <c r="D1033" s="67">
        <v>2097.0</v>
      </c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</row>
    <row r="1034" ht="12.75" customHeight="1">
      <c r="A1034" s="65" t="s">
        <v>14</v>
      </c>
      <c r="B1034" s="65" t="s">
        <v>15</v>
      </c>
      <c r="C1034" s="65"/>
      <c r="D1034" s="67">
        <v>2097.0</v>
      </c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</row>
    <row r="1035" ht="12.75" customHeight="1">
      <c r="A1035" s="65" t="s">
        <v>14</v>
      </c>
      <c r="B1035" s="65" t="s">
        <v>15</v>
      </c>
      <c r="C1035" s="65"/>
      <c r="D1035" s="67">
        <v>2088.0</v>
      </c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</row>
    <row r="1036" ht="12.75" customHeight="1">
      <c r="A1036" s="65" t="s">
        <v>14</v>
      </c>
      <c r="B1036" s="65" t="s">
        <v>15</v>
      </c>
      <c r="C1036" s="65"/>
      <c r="D1036" s="67">
        <v>2061.0</v>
      </c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</row>
    <row r="1037" ht="12.75" customHeight="1">
      <c r="A1037" s="65" t="s">
        <v>14</v>
      </c>
      <c r="B1037" s="65" t="s">
        <v>15</v>
      </c>
      <c r="C1037" s="65"/>
      <c r="D1037" s="67">
        <v>2061.0</v>
      </c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</row>
    <row r="1038" ht="12.75" customHeight="1">
      <c r="A1038" s="65" t="s">
        <v>14</v>
      </c>
      <c r="B1038" s="65" t="s">
        <v>15</v>
      </c>
      <c r="C1038" s="65"/>
      <c r="D1038" s="67">
        <v>2056.5</v>
      </c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</row>
    <row r="1039" ht="12.75" customHeight="1">
      <c r="A1039" s="65" t="s">
        <v>14</v>
      </c>
      <c r="B1039" s="65" t="s">
        <v>15</v>
      </c>
      <c r="C1039" s="65"/>
      <c r="D1039" s="67">
        <v>2056.5</v>
      </c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</row>
    <row r="1040" ht="12.75" customHeight="1">
      <c r="A1040" s="65" t="s">
        <v>14</v>
      </c>
      <c r="B1040" s="65" t="s">
        <v>15</v>
      </c>
      <c r="C1040" s="65"/>
      <c r="D1040" s="67">
        <v>2047.5</v>
      </c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</row>
    <row r="1041" ht="12.75" customHeight="1">
      <c r="A1041" s="65" t="s">
        <v>14</v>
      </c>
      <c r="B1041" s="65" t="s">
        <v>15</v>
      </c>
      <c r="C1041" s="65"/>
      <c r="D1041" s="67">
        <v>2034.0</v>
      </c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</row>
    <row r="1042" ht="12.75" customHeight="1">
      <c r="A1042" s="65" t="s">
        <v>14</v>
      </c>
      <c r="B1042" s="65" t="s">
        <v>15</v>
      </c>
      <c r="C1042" s="65"/>
      <c r="D1042" s="67">
        <v>2025.0</v>
      </c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</row>
    <row r="1043" ht="12.75" customHeight="1">
      <c r="A1043" s="65" t="s">
        <v>14</v>
      </c>
      <c r="B1043" s="65" t="s">
        <v>15</v>
      </c>
      <c r="C1043" s="65"/>
      <c r="D1043" s="67">
        <v>2025.0</v>
      </c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</row>
    <row r="1044" ht="12.75" customHeight="1">
      <c r="A1044" s="65" t="s">
        <v>14</v>
      </c>
      <c r="B1044" s="65" t="s">
        <v>15</v>
      </c>
      <c r="C1044" s="65"/>
      <c r="D1044" s="67">
        <v>2025.0</v>
      </c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</row>
    <row r="1045" ht="12.75" customHeight="1">
      <c r="A1045" s="65" t="s">
        <v>14</v>
      </c>
      <c r="B1045" s="65" t="s">
        <v>15</v>
      </c>
      <c r="C1045" s="65"/>
      <c r="D1045" s="67">
        <v>2025.0</v>
      </c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</row>
    <row r="1046" ht="12.75" customHeight="1">
      <c r="A1046" s="65" t="s">
        <v>14</v>
      </c>
      <c r="B1046" s="65" t="s">
        <v>15</v>
      </c>
      <c r="C1046" s="65"/>
      <c r="D1046" s="67">
        <v>2016.0</v>
      </c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</row>
    <row r="1047" ht="12.75" customHeight="1">
      <c r="A1047" s="65" t="s">
        <v>14</v>
      </c>
      <c r="B1047" s="65" t="s">
        <v>15</v>
      </c>
      <c r="C1047" s="65"/>
      <c r="D1047" s="67">
        <v>2016.0</v>
      </c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</row>
    <row r="1048" ht="12.75" customHeight="1">
      <c r="A1048" s="65" t="s">
        <v>14</v>
      </c>
      <c r="B1048" s="65" t="s">
        <v>15</v>
      </c>
      <c r="C1048" s="65"/>
      <c r="D1048" s="67">
        <v>2011.5</v>
      </c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</row>
    <row r="1049" ht="12.75" customHeight="1">
      <c r="A1049" s="65" t="s">
        <v>14</v>
      </c>
      <c r="B1049" s="65" t="s">
        <v>15</v>
      </c>
      <c r="C1049" s="65"/>
      <c r="D1049" s="67">
        <v>2002.5</v>
      </c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</row>
    <row r="1050" ht="12.75" customHeight="1">
      <c r="A1050" s="65" t="s">
        <v>14</v>
      </c>
      <c r="B1050" s="65" t="s">
        <v>15</v>
      </c>
      <c r="C1050" s="65"/>
      <c r="D1050" s="67">
        <v>1993.5</v>
      </c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</row>
    <row r="1051" ht="12.75" customHeight="1">
      <c r="A1051" s="65" t="s">
        <v>14</v>
      </c>
      <c r="B1051" s="65" t="s">
        <v>15</v>
      </c>
      <c r="C1051" s="65"/>
      <c r="D1051" s="67">
        <v>1989.0</v>
      </c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</row>
    <row r="1052" ht="12.75" customHeight="1">
      <c r="A1052" s="65" t="s">
        <v>14</v>
      </c>
      <c r="B1052" s="65" t="s">
        <v>15</v>
      </c>
      <c r="C1052" s="65"/>
      <c r="D1052" s="67">
        <v>1975.5</v>
      </c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</row>
    <row r="1053" ht="12.75" customHeight="1">
      <c r="A1053" s="65" t="s">
        <v>14</v>
      </c>
      <c r="B1053" s="65" t="s">
        <v>15</v>
      </c>
      <c r="C1053" s="65"/>
      <c r="D1053" s="67">
        <v>1948.5</v>
      </c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</row>
    <row r="1054" ht="12.75" customHeight="1">
      <c r="A1054" s="65" t="s">
        <v>14</v>
      </c>
      <c r="B1054" s="65" t="s">
        <v>15</v>
      </c>
      <c r="C1054" s="65"/>
      <c r="D1054" s="67">
        <v>1944.0</v>
      </c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</row>
    <row r="1055" ht="12.75" customHeight="1">
      <c r="A1055" s="65" t="s">
        <v>14</v>
      </c>
      <c r="B1055" s="65" t="s">
        <v>15</v>
      </c>
      <c r="C1055" s="65"/>
      <c r="D1055" s="67">
        <v>1944.0</v>
      </c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</row>
    <row r="1056" ht="12.75" customHeight="1">
      <c r="A1056" s="65" t="s">
        <v>14</v>
      </c>
      <c r="B1056" s="65" t="s">
        <v>15</v>
      </c>
      <c r="C1056" s="65"/>
      <c r="D1056" s="67">
        <v>1939.5</v>
      </c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</row>
    <row r="1057" ht="12.75" customHeight="1">
      <c r="A1057" s="65" t="s">
        <v>14</v>
      </c>
      <c r="B1057" s="65" t="s">
        <v>15</v>
      </c>
      <c r="C1057" s="65"/>
      <c r="D1057" s="67">
        <v>1935.0</v>
      </c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</row>
    <row r="1058" ht="12.75" customHeight="1">
      <c r="A1058" s="65" t="s">
        <v>14</v>
      </c>
      <c r="B1058" s="65" t="s">
        <v>15</v>
      </c>
      <c r="C1058" s="65"/>
      <c r="D1058" s="67">
        <v>1899.0</v>
      </c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</row>
    <row r="1059" ht="12.75" customHeight="1">
      <c r="A1059" s="65" t="s">
        <v>14</v>
      </c>
      <c r="B1059" s="65" t="s">
        <v>15</v>
      </c>
      <c r="C1059" s="65"/>
      <c r="D1059" s="67">
        <v>1890.0</v>
      </c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</row>
    <row r="1060" ht="12.75" customHeight="1">
      <c r="A1060" s="65" t="s">
        <v>14</v>
      </c>
      <c r="B1060" s="65" t="s">
        <v>15</v>
      </c>
      <c r="C1060" s="65"/>
      <c r="D1060" s="67">
        <v>1858.5</v>
      </c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</row>
    <row r="1061" ht="12.75" customHeight="1">
      <c r="A1061" s="65" t="s">
        <v>14</v>
      </c>
      <c r="B1061" s="65" t="s">
        <v>15</v>
      </c>
      <c r="C1061" s="65"/>
      <c r="D1061" s="67">
        <v>1858.5</v>
      </c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</row>
    <row r="1062" ht="12.75" customHeight="1">
      <c r="A1062" s="65" t="s">
        <v>14</v>
      </c>
      <c r="B1062" s="65" t="s">
        <v>15</v>
      </c>
      <c r="C1062" s="65"/>
      <c r="D1062" s="67">
        <v>1854.0</v>
      </c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</row>
    <row r="1063" ht="12.75" customHeight="1">
      <c r="A1063" s="65" t="s">
        <v>14</v>
      </c>
      <c r="B1063" s="65" t="s">
        <v>15</v>
      </c>
      <c r="C1063" s="65"/>
      <c r="D1063" s="67">
        <v>1854.0</v>
      </c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</row>
    <row r="1064" ht="12.75" customHeight="1">
      <c r="A1064" s="65" t="s">
        <v>14</v>
      </c>
      <c r="B1064" s="65" t="s">
        <v>15</v>
      </c>
      <c r="C1064" s="65"/>
      <c r="D1064" s="67">
        <v>1822.5</v>
      </c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</row>
    <row r="1065" ht="12.75" customHeight="1">
      <c r="A1065" s="65" t="s">
        <v>14</v>
      </c>
      <c r="B1065" s="65" t="s">
        <v>15</v>
      </c>
      <c r="C1065" s="65"/>
      <c r="D1065" s="67">
        <v>1809.0</v>
      </c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</row>
    <row r="1066" ht="12.75" customHeight="1">
      <c r="A1066" s="65" t="s">
        <v>14</v>
      </c>
      <c r="B1066" s="65" t="s">
        <v>15</v>
      </c>
      <c r="C1066" s="65"/>
      <c r="D1066" s="67">
        <v>1795.5</v>
      </c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</row>
    <row r="1067" ht="12.75" customHeight="1">
      <c r="A1067" s="65" t="s">
        <v>14</v>
      </c>
      <c r="B1067" s="65" t="s">
        <v>15</v>
      </c>
      <c r="C1067" s="65"/>
      <c r="D1067" s="67">
        <v>1791.0</v>
      </c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</row>
    <row r="1068" ht="12.75" customHeight="1">
      <c r="A1068" s="65" t="s">
        <v>14</v>
      </c>
      <c r="B1068" s="65" t="s">
        <v>15</v>
      </c>
      <c r="C1068" s="65"/>
      <c r="D1068" s="67">
        <v>1791.0</v>
      </c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</row>
    <row r="1069" ht="12.75" customHeight="1">
      <c r="A1069" s="65" t="s">
        <v>14</v>
      </c>
      <c r="B1069" s="65" t="s">
        <v>15</v>
      </c>
      <c r="C1069" s="65"/>
      <c r="D1069" s="67">
        <v>1791.0</v>
      </c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</row>
    <row r="1070" ht="12.75" customHeight="1">
      <c r="A1070" s="65" t="s">
        <v>14</v>
      </c>
      <c r="B1070" s="65" t="s">
        <v>15</v>
      </c>
      <c r="C1070" s="65"/>
      <c r="D1070" s="67">
        <v>1791.0</v>
      </c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</row>
    <row r="1071" ht="12.75" customHeight="1">
      <c r="A1071" s="65" t="s">
        <v>14</v>
      </c>
      <c r="B1071" s="65" t="s">
        <v>15</v>
      </c>
      <c r="C1071" s="65"/>
      <c r="D1071" s="67">
        <v>1791.0</v>
      </c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</row>
    <row r="1072" ht="12.75" customHeight="1">
      <c r="A1072" s="65" t="s">
        <v>14</v>
      </c>
      <c r="B1072" s="65" t="s">
        <v>15</v>
      </c>
      <c r="C1072" s="65"/>
      <c r="D1072" s="67">
        <v>1782.0</v>
      </c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</row>
    <row r="1073" ht="12.75" customHeight="1">
      <c r="A1073" s="65" t="s">
        <v>14</v>
      </c>
      <c r="B1073" s="65" t="s">
        <v>15</v>
      </c>
      <c r="C1073" s="65"/>
      <c r="D1073" s="67">
        <v>1782.0</v>
      </c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</row>
    <row r="1074" ht="12.75" customHeight="1">
      <c r="A1074" s="65" t="s">
        <v>14</v>
      </c>
      <c r="B1074" s="65" t="s">
        <v>15</v>
      </c>
      <c r="C1074" s="65"/>
      <c r="D1074" s="67">
        <v>1782.0</v>
      </c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</row>
    <row r="1075" ht="12.75" customHeight="1">
      <c r="A1075" s="65" t="s">
        <v>14</v>
      </c>
      <c r="B1075" s="65" t="s">
        <v>15</v>
      </c>
      <c r="C1075" s="65"/>
      <c r="D1075" s="67">
        <v>1782.0</v>
      </c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</row>
    <row r="1076" ht="12.75" customHeight="1">
      <c r="A1076" s="65" t="s">
        <v>14</v>
      </c>
      <c r="B1076" s="65" t="s">
        <v>15</v>
      </c>
      <c r="C1076" s="65"/>
      <c r="D1076" s="67">
        <v>1768.5</v>
      </c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</row>
    <row r="1077" ht="12.75" customHeight="1">
      <c r="A1077" s="65" t="s">
        <v>14</v>
      </c>
      <c r="B1077" s="65" t="s">
        <v>15</v>
      </c>
      <c r="C1077" s="65"/>
      <c r="D1077" s="67">
        <v>1750.5</v>
      </c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</row>
    <row r="1078" ht="12.75" customHeight="1">
      <c r="A1078" s="65" t="s">
        <v>14</v>
      </c>
      <c r="B1078" s="65" t="s">
        <v>15</v>
      </c>
      <c r="C1078" s="65"/>
      <c r="D1078" s="67">
        <v>1732.5</v>
      </c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</row>
    <row r="1079" ht="12.75" customHeight="1">
      <c r="A1079" s="65" t="s">
        <v>14</v>
      </c>
      <c r="B1079" s="65" t="s">
        <v>15</v>
      </c>
      <c r="C1079" s="65"/>
      <c r="D1079" s="67">
        <v>1723.5</v>
      </c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</row>
    <row r="1080" ht="12.75" customHeight="1">
      <c r="A1080" s="65" t="s">
        <v>14</v>
      </c>
      <c r="B1080" s="65" t="s">
        <v>15</v>
      </c>
      <c r="C1080" s="65"/>
      <c r="D1080" s="67">
        <v>1723.5</v>
      </c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</row>
    <row r="1081" ht="12.75" customHeight="1">
      <c r="A1081" s="65" t="s">
        <v>14</v>
      </c>
      <c r="B1081" s="65" t="s">
        <v>15</v>
      </c>
      <c r="C1081" s="65"/>
      <c r="D1081" s="67">
        <v>1719.0</v>
      </c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</row>
    <row r="1082" ht="12.75" customHeight="1">
      <c r="A1082" s="65" t="s">
        <v>14</v>
      </c>
      <c r="B1082" s="65" t="s">
        <v>15</v>
      </c>
      <c r="C1082" s="65"/>
      <c r="D1082" s="67">
        <v>1705.5</v>
      </c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</row>
    <row r="1083" ht="12.75" customHeight="1">
      <c r="A1083" s="65" t="s">
        <v>14</v>
      </c>
      <c r="B1083" s="65" t="s">
        <v>15</v>
      </c>
      <c r="C1083" s="65"/>
      <c r="D1083" s="67">
        <v>1701.0</v>
      </c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</row>
    <row r="1084" ht="12.75" customHeight="1">
      <c r="A1084" s="65" t="s">
        <v>14</v>
      </c>
      <c r="B1084" s="65" t="s">
        <v>15</v>
      </c>
      <c r="C1084" s="65"/>
      <c r="D1084" s="67">
        <v>1701.0</v>
      </c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</row>
    <row r="1085" ht="12.75" customHeight="1">
      <c r="A1085" s="65" t="s">
        <v>14</v>
      </c>
      <c r="B1085" s="65" t="s">
        <v>15</v>
      </c>
      <c r="C1085" s="65"/>
      <c r="D1085" s="67">
        <v>1696.5</v>
      </c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</row>
    <row r="1086" ht="12.75" customHeight="1">
      <c r="A1086" s="65" t="s">
        <v>14</v>
      </c>
      <c r="B1086" s="65" t="s">
        <v>15</v>
      </c>
      <c r="C1086" s="65"/>
      <c r="D1086" s="67">
        <v>1687.5</v>
      </c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</row>
    <row r="1087" ht="12.75" customHeight="1">
      <c r="A1087" s="65" t="s">
        <v>14</v>
      </c>
      <c r="B1087" s="65" t="s">
        <v>15</v>
      </c>
      <c r="C1087" s="65"/>
      <c r="D1087" s="67">
        <v>1683.0</v>
      </c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</row>
    <row r="1088" ht="12.75" customHeight="1">
      <c r="A1088" s="65" t="s">
        <v>14</v>
      </c>
      <c r="B1088" s="65" t="s">
        <v>15</v>
      </c>
      <c r="C1088" s="65"/>
      <c r="D1088" s="67">
        <v>1683.0</v>
      </c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</row>
    <row r="1089" ht="12.75" customHeight="1">
      <c r="A1089" s="65" t="s">
        <v>14</v>
      </c>
      <c r="B1089" s="65" t="s">
        <v>15</v>
      </c>
      <c r="C1089" s="65"/>
      <c r="D1089" s="67">
        <v>1683.0</v>
      </c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</row>
    <row r="1090" ht="12.75" customHeight="1">
      <c r="A1090" s="65" t="s">
        <v>14</v>
      </c>
      <c r="B1090" s="65" t="s">
        <v>15</v>
      </c>
      <c r="C1090" s="65"/>
      <c r="D1090" s="67">
        <v>1669.5</v>
      </c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</row>
    <row r="1091" ht="12.75" customHeight="1">
      <c r="A1091" s="65" t="s">
        <v>14</v>
      </c>
      <c r="B1091" s="65" t="s">
        <v>15</v>
      </c>
      <c r="C1091" s="65"/>
      <c r="D1091" s="67">
        <v>1651.5</v>
      </c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</row>
    <row r="1092" ht="12.75" customHeight="1">
      <c r="A1092" s="65" t="s">
        <v>14</v>
      </c>
      <c r="B1092" s="65" t="s">
        <v>15</v>
      </c>
      <c r="C1092" s="65"/>
      <c r="D1092" s="67">
        <v>1647.0</v>
      </c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</row>
    <row r="1093" ht="12.75" customHeight="1">
      <c r="A1093" s="65" t="s">
        <v>14</v>
      </c>
      <c r="B1093" s="65" t="s">
        <v>15</v>
      </c>
      <c r="C1093" s="65"/>
      <c r="D1093" s="67">
        <v>1642.5</v>
      </c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</row>
    <row r="1094" ht="12.75" customHeight="1">
      <c r="A1094" s="65" t="s">
        <v>14</v>
      </c>
      <c r="B1094" s="65" t="s">
        <v>15</v>
      </c>
      <c r="C1094" s="65"/>
      <c r="D1094" s="67">
        <v>1642.5</v>
      </c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</row>
    <row r="1095" ht="12.75" customHeight="1">
      <c r="A1095" s="65" t="s">
        <v>14</v>
      </c>
      <c r="B1095" s="65" t="s">
        <v>15</v>
      </c>
      <c r="C1095" s="65"/>
      <c r="D1095" s="67">
        <v>1638.0</v>
      </c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</row>
    <row r="1096" ht="12.75" customHeight="1">
      <c r="A1096" s="65" t="s">
        <v>14</v>
      </c>
      <c r="B1096" s="65" t="s">
        <v>15</v>
      </c>
      <c r="C1096" s="65"/>
      <c r="D1096" s="67">
        <v>1638.0</v>
      </c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</row>
    <row r="1097" ht="12.75" customHeight="1">
      <c r="A1097" s="65" t="s">
        <v>14</v>
      </c>
      <c r="B1097" s="65" t="s">
        <v>15</v>
      </c>
      <c r="C1097" s="65"/>
      <c r="D1097" s="67">
        <v>1624.5</v>
      </c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</row>
    <row r="1098" ht="12.75" customHeight="1">
      <c r="A1098" s="65" t="s">
        <v>14</v>
      </c>
      <c r="B1098" s="65" t="s">
        <v>15</v>
      </c>
      <c r="C1098" s="65"/>
      <c r="D1098" s="67">
        <v>1620.0</v>
      </c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</row>
    <row r="1099" ht="12.75" customHeight="1">
      <c r="A1099" s="65" t="s">
        <v>14</v>
      </c>
      <c r="B1099" s="65" t="s">
        <v>15</v>
      </c>
      <c r="C1099" s="65"/>
      <c r="D1099" s="67">
        <v>1620.0</v>
      </c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</row>
    <row r="1100" ht="12.75" customHeight="1">
      <c r="A1100" s="65" t="s">
        <v>14</v>
      </c>
      <c r="B1100" s="65" t="s">
        <v>15</v>
      </c>
      <c r="C1100" s="65"/>
      <c r="D1100" s="67">
        <v>1620.0</v>
      </c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</row>
    <row r="1101" ht="12.75" customHeight="1">
      <c r="A1101" s="65" t="s">
        <v>14</v>
      </c>
      <c r="B1101" s="65" t="s">
        <v>15</v>
      </c>
      <c r="C1101" s="65"/>
      <c r="D1101" s="67">
        <v>1620.0</v>
      </c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</row>
    <row r="1102" ht="12.75" customHeight="1">
      <c r="A1102" s="65" t="s">
        <v>14</v>
      </c>
      <c r="B1102" s="65" t="s">
        <v>15</v>
      </c>
      <c r="C1102" s="65"/>
      <c r="D1102" s="67">
        <v>1620.0</v>
      </c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</row>
    <row r="1103" ht="12.75" customHeight="1">
      <c r="A1103" s="65" t="s">
        <v>14</v>
      </c>
      <c r="B1103" s="65" t="s">
        <v>15</v>
      </c>
      <c r="C1103" s="65"/>
      <c r="D1103" s="67">
        <v>1620.0</v>
      </c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</row>
    <row r="1104" ht="12.75" customHeight="1">
      <c r="A1104" s="65" t="s">
        <v>14</v>
      </c>
      <c r="B1104" s="65" t="s">
        <v>15</v>
      </c>
      <c r="C1104" s="65"/>
      <c r="D1104" s="67">
        <v>1620.0</v>
      </c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</row>
    <row r="1105" ht="12.75" customHeight="1">
      <c r="A1105" s="65" t="s">
        <v>14</v>
      </c>
      <c r="B1105" s="65" t="s">
        <v>15</v>
      </c>
      <c r="C1105" s="65"/>
      <c r="D1105" s="67">
        <v>1620.0</v>
      </c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</row>
    <row r="1106" ht="12.75" customHeight="1">
      <c r="A1106" s="65" t="s">
        <v>14</v>
      </c>
      <c r="B1106" s="65" t="s">
        <v>15</v>
      </c>
      <c r="C1106" s="65"/>
      <c r="D1106" s="67">
        <v>1620.0</v>
      </c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</row>
    <row r="1107" ht="12.75" customHeight="1">
      <c r="A1107" s="65" t="s">
        <v>14</v>
      </c>
      <c r="B1107" s="65" t="s">
        <v>15</v>
      </c>
      <c r="C1107" s="65"/>
      <c r="D1107" s="67">
        <v>1620.0</v>
      </c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</row>
    <row r="1108" ht="12.75" customHeight="1">
      <c r="A1108" s="65" t="s">
        <v>14</v>
      </c>
      <c r="B1108" s="65" t="s">
        <v>15</v>
      </c>
      <c r="C1108" s="65"/>
      <c r="D1108" s="67">
        <v>1620.0</v>
      </c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</row>
    <row r="1109" ht="12.75" customHeight="1">
      <c r="A1109" s="65" t="s">
        <v>14</v>
      </c>
      <c r="B1109" s="65" t="s">
        <v>15</v>
      </c>
      <c r="C1109" s="65"/>
      <c r="D1109" s="67">
        <v>1620.0</v>
      </c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</row>
    <row r="1110" ht="12.75" customHeight="1">
      <c r="A1110" s="65" t="s">
        <v>14</v>
      </c>
      <c r="B1110" s="65" t="s">
        <v>15</v>
      </c>
      <c r="C1110" s="65"/>
      <c r="D1110" s="67">
        <v>1602.0</v>
      </c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</row>
    <row r="1111" ht="12.75" customHeight="1">
      <c r="A1111" s="65" t="s">
        <v>14</v>
      </c>
      <c r="B1111" s="65" t="s">
        <v>15</v>
      </c>
      <c r="C1111" s="65"/>
      <c r="D1111" s="67">
        <v>1602.0</v>
      </c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</row>
    <row r="1112" ht="12.75" customHeight="1">
      <c r="A1112" s="65" t="s">
        <v>14</v>
      </c>
      <c r="B1112" s="65" t="s">
        <v>15</v>
      </c>
      <c r="C1112" s="65"/>
      <c r="D1112" s="67">
        <v>1597.5</v>
      </c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</row>
    <row r="1113" ht="12.75" customHeight="1">
      <c r="A1113" s="65" t="s">
        <v>14</v>
      </c>
      <c r="B1113" s="65" t="s">
        <v>15</v>
      </c>
      <c r="C1113" s="65"/>
      <c r="D1113" s="67">
        <v>1588.5</v>
      </c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</row>
    <row r="1114" ht="12.75" customHeight="1">
      <c r="A1114" s="65" t="s">
        <v>14</v>
      </c>
      <c r="B1114" s="65" t="s">
        <v>15</v>
      </c>
      <c r="C1114" s="65"/>
      <c r="D1114" s="67">
        <v>1588.5</v>
      </c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</row>
    <row r="1115" ht="12.75" customHeight="1">
      <c r="A1115" s="65" t="s">
        <v>14</v>
      </c>
      <c r="B1115" s="65" t="s">
        <v>15</v>
      </c>
      <c r="C1115" s="65"/>
      <c r="D1115" s="67">
        <v>1584.0</v>
      </c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</row>
    <row r="1116" ht="12.75" customHeight="1">
      <c r="A1116" s="65" t="s">
        <v>14</v>
      </c>
      <c r="B1116" s="65" t="s">
        <v>15</v>
      </c>
      <c r="C1116" s="65"/>
      <c r="D1116" s="67">
        <v>1575.0</v>
      </c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</row>
    <row r="1117" ht="12.75" customHeight="1">
      <c r="A1117" s="65" t="s">
        <v>14</v>
      </c>
      <c r="B1117" s="65" t="s">
        <v>15</v>
      </c>
      <c r="C1117" s="65"/>
      <c r="D1117" s="67">
        <v>1575.0</v>
      </c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</row>
    <row r="1118" ht="12.75" customHeight="1">
      <c r="A1118" s="65" t="s">
        <v>14</v>
      </c>
      <c r="B1118" s="65" t="s">
        <v>15</v>
      </c>
      <c r="C1118" s="65"/>
      <c r="D1118" s="67">
        <v>1570.5</v>
      </c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</row>
    <row r="1119" ht="12.75" customHeight="1">
      <c r="A1119" s="65" t="s">
        <v>14</v>
      </c>
      <c r="B1119" s="65" t="s">
        <v>15</v>
      </c>
      <c r="C1119" s="65"/>
      <c r="D1119" s="67">
        <v>1561.5</v>
      </c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</row>
    <row r="1120" ht="12.75" customHeight="1">
      <c r="A1120" s="65" t="s">
        <v>14</v>
      </c>
      <c r="B1120" s="65" t="s">
        <v>15</v>
      </c>
      <c r="C1120" s="65"/>
      <c r="D1120" s="67">
        <v>1561.5</v>
      </c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</row>
    <row r="1121" ht="12.75" customHeight="1">
      <c r="A1121" s="65" t="s">
        <v>14</v>
      </c>
      <c r="B1121" s="65" t="s">
        <v>15</v>
      </c>
      <c r="C1121" s="65"/>
      <c r="D1121" s="67">
        <v>1561.5</v>
      </c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</row>
    <row r="1122" ht="12.75" customHeight="1">
      <c r="A1122" s="65" t="s">
        <v>14</v>
      </c>
      <c r="B1122" s="65" t="s">
        <v>15</v>
      </c>
      <c r="C1122" s="65"/>
      <c r="D1122" s="67">
        <v>1561.5</v>
      </c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</row>
    <row r="1123" ht="12.75" customHeight="1">
      <c r="A1123" s="65" t="s">
        <v>14</v>
      </c>
      <c r="B1123" s="65" t="s">
        <v>15</v>
      </c>
      <c r="C1123" s="65"/>
      <c r="D1123" s="67">
        <v>1561.5</v>
      </c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</row>
    <row r="1124" ht="12.75" customHeight="1">
      <c r="A1124" s="65" t="s">
        <v>14</v>
      </c>
      <c r="B1124" s="65" t="s">
        <v>15</v>
      </c>
      <c r="C1124" s="65"/>
      <c r="D1124" s="67">
        <v>1552.5</v>
      </c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</row>
    <row r="1125" ht="12.75" customHeight="1">
      <c r="A1125" s="65" t="s">
        <v>14</v>
      </c>
      <c r="B1125" s="65" t="s">
        <v>15</v>
      </c>
      <c r="C1125" s="65"/>
      <c r="D1125" s="67">
        <v>1552.5</v>
      </c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</row>
    <row r="1126" ht="12.75" customHeight="1">
      <c r="A1126" s="65" t="s">
        <v>14</v>
      </c>
      <c r="B1126" s="65" t="s">
        <v>15</v>
      </c>
      <c r="C1126" s="65"/>
      <c r="D1126" s="67">
        <v>1552.5</v>
      </c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</row>
    <row r="1127" ht="12.75" customHeight="1">
      <c r="A1127" s="65" t="s">
        <v>14</v>
      </c>
      <c r="B1127" s="65" t="s">
        <v>15</v>
      </c>
      <c r="C1127" s="65"/>
      <c r="D1127" s="67">
        <v>1552.5</v>
      </c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</row>
    <row r="1128" ht="12.75" customHeight="1">
      <c r="A1128" s="65" t="s">
        <v>14</v>
      </c>
      <c r="B1128" s="65" t="s">
        <v>15</v>
      </c>
      <c r="C1128" s="65"/>
      <c r="D1128" s="67">
        <v>1552.5</v>
      </c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</row>
    <row r="1129" ht="12.75" customHeight="1">
      <c r="A1129" s="65" t="s">
        <v>14</v>
      </c>
      <c r="B1129" s="65" t="s">
        <v>15</v>
      </c>
      <c r="C1129" s="65"/>
      <c r="D1129" s="67">
        <v>1494.0</v>
      </c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</row>
    <row r="1130" ht="12.75" customHeight="1">
      <c r="A1130" s="65" t="s">
        <v>14</v>
      </c>
      <c r="B1130" s="65" t="s">
        <v>15</v>
      </c>
      <c r="C1130" s="65"/>
      <c r="D1130" s="67">
        <v>1489.5</v>
      </c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</row>
    <row r="1131" ht="12.75" customHeight="1">
      <c r="A1131" s="65" t="s">
        <v>14</v>
      </c>
      <c r="B1131" s="65" t="s">
        <v>15</v>
      </c>
      <c r="C1131" s="65"/>
      <c r="D1131" s="67">
        <v>1485.0</v>
      </c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</row>
    <row r="1132" ht="12.75" customHeight="1">
      <c r="A1132" s="65" t="s">
        <v>14</v>
      </c>
      <c r="B1132" s="65" t="s">
        <v>15</v>
      </c>
      <c r="C1132" s="65"/>
      <c r="D1132" s="67">
        <v>1480.5</v>
      </c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</row>
    <row r="1133" ht="12.75" customHeight="1">
      <c r="A1133" s="65" t="s">
        <v>14</v>
      </c>
      <c r="B1133" s="65" t="s">
        <v>15</v>
      </c>
      <c r="C1133" s="65"/>
      <c r="D1133" s="67">
        <v>1467.0</v>
      </c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</row>
    <row r="1134" ht="12.75" customHeight="1">
      <c r="A1134" s="65" t="s">
        <v>14</v>
      </c>
      <c r="B1134" s="65" t="s">
        <v>15</v>
      </c>
      <c r="C1134" s="65"/>
      <c r="D1134" s="67">
        <v>1458.0</v>
      </c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</row>
    <row r="1135" ht="12.75" customHeight="1">
      <c r="A1135" s="65" t="s">
        <v>14</v>
      </c>
      <c r="B1135" s="65" t="s">
        <v>15</v>
      </c>
      <c r="C1135" s="65"/>
      <c r="D1135" s="67">
        <v>1453.5</v>
      </c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</row>
    <row r="1136" ht="12.75" customHeight="1">
      <c r="A1136" s="65" t="s">
        <v>14</v>
      </c>
      <c r="B1136" s="65" t="s">
        <v>15</v>
      </c>
      <c r="C1136" s="65"/>
      <c r="D1136" s="67">
        <v>1417.5</v>
      </c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</row>
    <row r="1137" ht="12.75" customHeight="1">
      <c r="A1137" s="65" t="s">
        <v>14</v>
      </c>
      <c r="B1137" s="65" t="s">
        <v>15</v>
      </c>
      <c r="C1137" s="65"/>
      <c r="D1137" s="67">
        <v>1413.0</v>
      </c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</row>
    <row r="1138" ht="12.75" customHeight="1">
      <c r="A1138" s="65" t="s">
        <v>14</v>
      </c>
      <c r="B1138" s="65" t="s">
        <v>15</v>
      </c>
      <c r="C1138" s="65"/>
      <c r="D1138" s="67">
        <v>1413.0</v>
      </c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</row>
    <row r="1139" ht="12.75" customHeight="1">
      <c r="A1139" s="65" t="s">
        <v>14</v>
      </c>
      <c r="B1139" s="65" t="s">
        <v>15</v>
      </c>
      <c r="C1139" s="65"/>
      <c r="D1139" s="67">
        <v>1404.0</v>
      </c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</row>
    <row r="1140" ht="12.75" customHeight="1">
      <c r="A1140" s="65" t="s">
        <v>14</v>
      </c>
      <c r="B1140" s="65" t="s">
        <v>15</v>
      </c>
      <c r="C1140" s="65"/>
      <c r="D1140" s="67">
        <v>1404.0</v>
      </c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</row>
    <row r="1141" ht="12.75" customHeight="1">
      <c r="A1141" s="65" t="s">
        <v>14</v>
      </c>
      <c r="B1141" s="65" t="s">
        <v>15</v>
      </c>
      <c r="C1141" s="65"/>
      <c r="D1141" s="67">
        <v>1404.0</v>
      </c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</row>
    <row r="1142" ht="12.75" customHeight="1">
      <c r="A1142" s="65" t="s">
        <v>14</v>
      </c>
      <c r="B1142" s="65" t="s">
        <v>15</v>
      </c>
      <c r="C1142" s="65"/>
      <c r="D1142" s="67">
        <v>1404.0</v>
      </c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</row>
    <row r="1143" ht="12.75" customHeight="1">
      <c r="A1143" s="65" t="s">
        <v>14</v>
      </c>
      <c r="B1143" s="65" t="s">
        <v>15</v>
      </c>
      <c r="C1143" s="65"/>
      <c r="D1143" s="67">
        <v>1381.5</v>
      </c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</row>
    <row r="1144" ht="12.75" customHeight="1">
      <c r="A1144" s="65" t="s">
        <v>14</v>
      </c>
      <c r="B1144" s="65" t="s">
        <v>15</v>
      </c>
      <c r="C1144" s="65"/>
      <c r="D1144" s="67">
        <v>1377.0</v>
      </c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</row>
    <row r="1145" ht="12.75" customHeight="1">
      <c r="A1145" s="65" t="s">
        <v>14</v>
      </c>
      <c r="B1145" s="65" t="s">
        <v>15</v>
      </c>
      <c r="C1145" s="65"/>
      <c r="D1145" s="67">
        <v>1363.5</v>
      </c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</row>
    <row r="1146" ht="12.75" customHeight="1">
      <c r="A1146" s="65" t="s">
        <v>14</v>
      </c>
      <c r="B1146" s="65" t="s">
        <v>15</v>
      </c>
      <c r="C1146" s="65"/>
      <c r="D1146" s="67">
        <v>1363.5</v>
      </c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</row>
    <row r="1147" ht="12.75" customHeight="1">
      <c r="A1147" s="65" t="s">
        <v>14</v>
      </c>
      <c r="B1147" s="65" t="s">
        <v>15</v>
      </c>
      <c r="C1147" s="65"/>
      <c r="D1147" s="67">
        <v>1363.5</v>
      </c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</row>
    <row r="1148" ht="12.75" customHeight="1">
      <c r="A1148" s="65" t="s">
        <v>14</v>
      </c>
      <c r="B1148" s="65" t="s">
        <v>15</v>
      </c>
      <c r="C1148" s="65"/>
      <c r="D1148" s="67">
        <v>1359.0</v>
      </c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</row>
    <row r="1149" ht="12.75" customHeight="1">
      <c r="A1149" s="65" t="s">
        <v>14</v>
      </c>
      <c r="B1149" s="65" t="s">
        <v>15</v>
      </c>
      <c r="C1149" s="65"/>
      <c r="D1149" s="67">
        <v>1350.0</v>
      </c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</row>
    <row r="1150" ht="12.75" customHeight="1">
      <c r="A1150" s="65" t="s">
        <v>14</v>
      </c>
      <c r="B1150" s="65" t="s">
        <v>15</v>
      </c>
      <c r="C1150" s="65"/>
      <c r="D1150" s="67">
        <v>1350.0</v>
      </c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</row>
    <row r="1151" ht="12.75" customHeight="1">
      <c r="A1151" s="65" t="s">
        <v>14</v>
      </c>
      <c r="B1151" s="65" t="s">
        <v>15</v>
      </c>
      <c r="C1151" s="65"/>
      <c r="D1151" s="67">
        <v>1350.0</v>
      </c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</row>
    <row r="1152" ht="12.75" customHeight="1">
      <c r="A1152" s="65" t="s">
        <v>14</v>
      </c>
      <c r="B1152" s="65" t="s">
        <v>15</v>
      </c>
      <c r="C1152" s="65"/>
      <c r="D1152" s="67">
        <v>1350.0</v>
      </c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</row>
    <row r="1153" ht="12.75" customHeight="1">
      <c r="A1153" s="65" t="s">
        <v>14</v>
      </c>
      <c r="B1153" s="65" t="s">
        <v>15</v>
      </c>
      <c r="C1153" s="65"/>
      <c r="D1153" s="67">
        <v>1350.0</v>
      </c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</row>
    <row r="1154" ht="12.75" customHeight="1">
      <c r="A1154" s="65" t="s">
        <v>14</v>
      </c>
      <c r="B1154" s="65" t="s">
        <v>15</v>
      </c>
      <c r="C1154" s="65"/>
      <c r="D1154" s="67">
        <v>1350.0</v>
      </c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</row>
    <row r="1155" ht="12.75" customHeight="1">
      <c r="A1155" s="65" t="s">
        <v>14</v>
      </c>
      <c r="B1155" s="65" t="s">
        <v>15</v>
      </c>
      <c r="C1155" s="65"/>
      <c r="D1155" s="67">
        <v>1350.0</v>
      </c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</row>
    <row r="1156" ht="12.75" customHeight="1">
      <c r="A1156" s="65" t="s">
        <v>14</v>
      </c>
      <c r="B1156" s="65" t="s">
        <v>15</v>
      </c>
      <c r="C1156" s="65"/>
      <c r="D1156" s="67">
        <v>1350.0</v>
      </c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</row>
    <row r="1157" ht="12.75" customHeight="1">
      <c r="A1157" s="65" t="s">
        <v>14</v>
      </c>
      <c r="B1157" s="65" t="s">
        <v>15</v>
      </c>
      <c r="C1157" s="65"/>
      <c r="D1157" s="67">
        <v>1350.0</v>
      </c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</row>
    <row r="1158" ht="12.75" customHeight="1">
      <c r="A1158" s="65" t="s">
        <v>14</v>
      </c>
      <c r="B1158" s="65" t="s">
        <v>15</v>
      </c>
      <c r="C1158" s="65"/>
      <c r="D1158" s="67">
        <v>1350.0</v>
      </c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</row>
    <row r="1159" ht="12.75" customHeight="1">
      <c r="A1159" s="65" t="s">
        <v>14</v>
      </c>
      <c r="B1159" s="65" t="s">
        <v>15</v>
      </c>
      <c r="C1159" s="65"/>
      <c r="D1159" s="67">
        <v>1350.0</v>
      </c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</row>
    <row r="1160" ht="12.75" customHeight="1">
      <c r="A1160" s="65" t="s">
        <v>14</v>
      </c>
      <c r="B1160" s="65" t="s">
        <v>15</v>
      </c>
      <c r="C1160" s="65"/>
      <c r="D1160" s="67">
        <v>1350.0</v>
      </c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</row>
    <row r="1161" ht="12.75" customHeight="1">
      <c r="A1161" s="65" t="s">
        <v>14</v>
      </c>
      <c r="B1161" s="65" t="s">
        <v>15</v>
      </c>
      <c r="C1161" s="65"/>
      <c r="D1161" s="67">
        <v>1350.0</v>
      </c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</row>
    <row r="1162" ht="12.75" customHeight="1">
      <c r="A1162" s="65" t="s">
        <v>14</v>
      </c>
      <c r="B1162" s="65" t="s">
        <v>15</v>
      </c>
      <c r="C1162" s="65"/>
      <c r="D1162" s="67">
        <v>1350.0</v>
      </c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</row>
    <row r="1163" ht="12.75" customHeight="1">
      <c r="A1163" s="65" t="s">
        <v>14</v>
      </c>
      <c r="B1163" s="65" t="s">
        <v>15</v>
      </c>
      <c r="C1163" s="65"/>
      <c r="D1163" s="67">
        <v>1350.0</v>
      </c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</row>
    <row r="1164" ht="12.75" customHeight="1">
      <c r="A1164" s="65" t="s">
        <v>14</v>
      </c>
      <c r="B1164" s="65" t="s">
        <v>15</v>
      </c>
      <c r="C1164" s="65"/>
      <c r="D1164" s="67">
        <v>1350.0</v>
      </c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</row>
    <row r="1165" ht="12.75" customHeight="1">
      <c r="A1165" s="65" t="s">
        <v>14</v>
      </c>
      <c r="B1165" s="65" t="s">
        <v>15</v>
      </c>
      <c r="C1165" s="65"/>
      <c r="D1165" s="67">
        <v>1350.0</v>
      </c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</row>
    <row r="1166" ht="12.75" customHeight="1">
      <c r="A1166" s="65" t="s">
        <v>14</v>
      </c>
      <c r="B1166" s="65" t="s">
        <v>15</v>
      </c>
      <c r="C1166" s="65"/>
      <c r="D1166" s="67">
        <v>1350.0</v>
      </c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</row>
    <row r="1167" ht="12.75" customHeight="1">
      <c r="A1167" s="65" t="s">
        <v>14</v>
      </c>
      <c r="B1167" s="65" t="s">
        <v>15</v>
      </c>
      <c r="C1167" s="65"/>
      <c r="D1167" s="67">
        <v>1350.0</v>
      </c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</row>
    <row r="1168" ht="12.75" customHeight="1">
      <c r="A1168" s="65" t="s">
        <v>14</v>
      </c>
      <c r="B1168" s="65" t="s">
        <v>15</v>
      </c>
      <c r="C1168" s="65"/>
      <c r="D1168" s="67">
        <v>1350.0</v>
      </c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</row>
    <row r="1169" ht="12.75" customHeight="1">
      <c r="A1169" s="65" t="s">
        <v>14</v>
      </c>
      <c r="B1169" s="65" t="s">
        <v>15</v>
      </c>
      <c r="C1169" s="65"/>
      <c r="D1169" s="67">
        <v>1345.5</v>
      </c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</row>
    <row r="1170" ht="12.75" customHeight="1">
      <c r="A1170" s="65" t="s">
        <v>14</v>
      </c>
      <c r="B1170" s="65" t="s">
        <v>15</v>
      </c>
      <c r="C1170" s="65"/>
      <c r="D1170" s="67">
        <v>1336.5</v>
      </c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</row>
    <row r="1171" ht="12.75" customHeight="1">
      <c r="A1171" s="65" t="s">
        <v>14</v>
      </c>
      <c r="B1171" s="65" t="s">
        <v>15</v>
      </c>
      <c r="C1171" s="65"/>
      <c r="D1171" s="67">
        <v>1318.5</v>
      </c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</row>
    <row r="1172" ht="12.75" customHeight="1">
      <c r="A1172" s="65" t="s">
        <v>14</v>
      </c>
      <c r="B1172" s="65" t="s">
        <v>15</v>
      </c>
      <c r="C1172" s="65"/>
      <c r="D1172" s="67">
        <v>1291.5</v>
      </c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</row>
    <row r="1173" ht="12.75" customHeight="1">
      <c r="A1173" s="65" t="s">
        <v>14</v>
      </c>
      <c r="B1173" s="65" t="s">
        <v>15</v>
      </c>
      <c r="C1173" s="65"/>
      <c r="D1173" s="67">
        <v>1282.5</v>
      </c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</row>
    <row r="1174" ht="12.75" customHeight="1">
      <c r="A1174" s="65" t="s">
        <v>14</v>
      </c>
      <c r="B1174" s="65" t="s">
        <v>15</v>
      </c>
      <c r="C1174" s="65"/>
      <c r="D1174" s="67">
        <v>1255.5</v>
      </c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</row>
    <row r="1175" ht="12.75" customHeight="1">
      <c r="A1175" s="65" t="s">
        <v>14</v>
      </c>
      <c r="B1175" s="65" t="s">
        <v>15</v>
      </c>
      <c r="C1175" s="65"/>
      <c r="D1175" s="67">
        <v>1242.0</v>
      </c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</row>
    <row r="1176" ht="12.75" customHeight="1">
      <c r="A1176" s="65" t="s">
        <v>14</v>
      </c>
      <c r="B1176" s="65" t="s">
        <v>15</v>
      </c>
      <c r="C1176" s="65"/>
      <c r="D1176" s="67">
        <v>1242.0</v>
      </c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</row>
    <row r="1177" ht="12.75" customHeight="1">
      <c r="A1177" s="65" t="s">
        <v>14</v>
      </c>
      <c r="B1177" s="65" t="s">
        <v>15</v>
      </c>
      <c r="C1177" s="65"/>
      <c r="D1177" s="67">
        <v>1233.0</v>
      </c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</row>
    <row r="1178" ht="12.75" customHeight="1">
      <c r="A1178" s="65" t="s">
        <v>14</v>
      </c>
      <c r="B1178" s="65" t="s">
        <v>15</v>
      </c>
      <c r="C1178" s="65"/>
      <c r="D1178" s="67">
        <v>1174.5</v>
      </c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</row>
    <row r="1179" ht="12.75" customHeight="1">
      <c r="A1179" s="65" t="s">
        <v>14</v>
      </c>
      <c r="B1179" s="65" t="s">
        <v>15</v>
      </c>
      <c r="C1179" s="65"/>
      <c r="D1179" s="67">
        <v>1174.5</v>
      </c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</row>
    <row r="1180" ht="12.75" customHeight="1">
      <c r="A1180" s="65" t="s">
        <v>14</v>
      </c>
      <c r="B1180" s="65" t="s">
        <v>15</v>
      </c>
      <c r="C1180" s="65"/>
      <c r="D1180" s="67">
        <v>1161.0</v>
      </c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</row>
    <row r="1181" ht="12.75" customHeight="1">
      <c r="A1181" s="65" t="s">
        <v>14</v>
      </c>
      <c r="B1181" s="65" t="s">
        <v>15</v>
      </c>
      <c r="C1181" s="65"/>
      <c r="D1181" s="67">
        <v>1147.5</v>
      </c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</row>
    <row r="1182" ht="12.75" customHeight="1">
      <c r="A1182" s="65" t="s">
        <v>14</v>
      </c>
      <c r="B1182" s="65" t="s">
        <v>15</v>
      </c>
      <c r="C1182" s="65"/>
      <c r="D1182" s="67">
        <v>1125.0</v>
      </c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</row>
    <row r="1183" ht="12.75" customHeight="1">
      <c r="A1183" s="65" t="s">
        <v>14</v>
      </c>
      <c r="B1183" s="65" t="s">
        <v>15</v>
      </c>
      <c r="C1183" s="65"/>
      <c r="D1183" s="67">
        <v>1125.0</v>
      </c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</row>
    <row r="1184" ht="12.75" customHeight="1">
      <c r="A1184" s="65" t="s">
        <v>14</v>
      </c>
      <c r="B1184" s="65" t="s">
        <v>15</v>
      </c>
      <c r="C1184" s="65"/>
      <c r="D1184" s="67">
        <v>1125.0</v>
      </c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</row>
    <row r="1185" ht="12.75" customHeight="1">
      <c r="A1185" s="65" t="s">
        <v>14</v>
      </c>
      <c r="B1185" s="65" t="s">
        <v>15</v>
      </c>
      <c r="C1185" s="65"/>
      <c r="D1185" s="67">
        <v>1125.0</v>
      </c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</row>
    <row r="1186" ht="12.75" customHeight="1">
      <c r="A1186" s="65" t="s">
        <v>14</v>
      </c>
      <c r="B1186" s="65" t="s">
        <v>15</v>
      </c>
      <c r="C1186" s="65"/>
      <c r="D1186" s="67">
        <v>1125.0</v>
      </c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</row>
    <row r="1187" ht="12.75" customHeight="1">
      <c r="A1187" s="65" t="s">
        <v>14</v>
      </c>
      <c r="B1187" s="65" t="s">
        <v>15</v>
      </c>
      <c r="C1187" s="65"/>
      <c r="D1187" s="67">
        <v>1125.0</v>
      </c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</row>
    <row r="1188" ht="12.75" customHeight="1">
      <c r="A1188" s="65" t="s">
        <v>14</v>
      </c>
      <c r="B1188" s="65" t="s">
        <v>15</v>
      </c>
      <c r="C1188" s="65"/>
      <c r="D1188" s="67">
        <v>1125.0</v>
      </c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</row>
    <row r="1189" ht="12.75" customHeight="1">
      <c r="A1189" s="65" t="s">
        <v>14</v>
      </c>
      <c r="B1189" s="65" t="s">
        <v>15</v>
      </c>
      <c r="C1189" s="65"/>
      <c r="D1189" s="67">
        <v>1116.0</v>
      </c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</row>
    <row r="1190" ht="12.75" customHeight="1">
      <c r="A1190" s="65" t="s">
        <v>14</v>
      </c>
      <c r="B1190" s="65" t="s">
        <v>15</v>
      </c>
      <c r="C1190" s="65"/>
      <c r="D1190" s="67">
        <v>1089.0</v>
      </c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</row>
    <row r="1191" ht="12.75" customHeight="1">
      <c r="A1191" s="65" t="s">
        <v>14</v>
      </c>
      <c r="B1191" s="65" t="s">
        <v>15</v>
      </c>
      <c r="C1191" s="65"/>
      <c r="D1191" s="67">
        <v>1080.0</v>
      </c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</row>
    <row r="1192" ht="12.75" customHeight="1">
      <c r="A1192" s="65" t="s">
        <v>14</v>
      </c>
      <c r="B1192" s="65" t="s">
        <v>15</v>
      </c>
      <c r="C1192" s="65"/>
      <c r="D1192" s="67">
        <v>1057.5</v>
      </c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</row>
    <row r="1193" ht="12.75" customHeight="1">
      <c r="A1193" s="65" t="s">
        <v>14</v>
      </c>
      <c r="B1193" s="65" t="s">
        <v>15</v>
      </c>
      <c r="C1193" s="65"/>
      <c r="D1193" s="67">
        <v>1057.5</v>
      </c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</row>
    <row r="1194" ht="12.75" customHeight="1">
      <c r="A1194" s="65" t="s">
        <v>14</v>
      </c>
      <c r="B1194" s="65" t="s">
        <v>15</v>
      </c>
      <c r="C1194" s="65"/>
      <c r="D1194" s="67">
        <v>1057.5</v>
      </c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</row>
    <row r="1195" ht="12.75" customHeight="1">
      <c r="A1195" s="65" t="s">
        <v>14</v>
      </c>
      <c r="B1195" s="65" t="s">
        <v>15</v>
      </c>
      <c r="C1195" s="65"/>
      <c r="D1195" s="67">
        <v>1057.5</v>
      </c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</row>
    <row r="1196" ht="12.75" customHeight="1">
      <c r="A1196" s="65" t="s">
        <v>14</v>
      </c>
      <c r="B1196" s="65" t="s">
        <v>15</v>
      </c>
      <c r="C1196" s="65"/>
      <c r="D1196" s="67">
        <v>1044.0</v>
      </c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</row>
    <row r="1197" ht="12.75" customHeight="1">
      <c r="A1197" s="65" t="s">
        <v>14</v>
      </c>
      <c r="B1197" s="65" t="s">
        <v>15</v>
      </c>
      <c r="C1197" s="65"/>
      <c r="D1197" s="67">
        <v>1039.5</v>
      </c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</row>
    <row r="1198" ht="12.75" customHeight="1">
      <c r="A1198" s="65" t="s">
        <v>14</v>
      </c>
      <c r="B1198" s="65" t="s">
        <v>15</v>
      </c>
      <c r="C1198" s="65"/>
      <c r="D1198" s="67">
        <v>1030.5</v>
      </c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</row>
    <row r="1199" ht="12.75" customHeight="1">
      <c r="A1199" s="65" t="s">
        <v>14</v>
      </c>
      <c r="B1199" s="65" t="s">
        <v>15</v>
      </c>
      <c r="C1199" s="65"/>
      <c r="D1199" s="67">
        <v>1017.0</v>
      </c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</row>
    <row r="1200" ht="12.75" customHeight="1">
      <c r="A1200" s="65" t="s">
        <v>14</v>
      </c>
      <c r="B1200" s="65" t="s">
        <v>15</v>
      </c>
      <c r="C1200" s="65"/>
      <c r="D1200" s="67">
        <v>1012.5</v>
      </c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</row>
    <row r="1201" ht="12.75" customHeight="1">
      <c r="A1201" s="65" t="s">
        <v>14</v>
      </c>
      <c r="B1201" s="65" t="s">
        <v>15</v>
      </c>
      <c r="C1201" s="65"/>
      <c r="D1201" s="67">
        <v>999.0</v>
      </c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</row>
    <row r="1202" ht="12.75" customHeight="1">
      <c r="A1202" s="65" t="s">
        <v>14</v>
      </c>
      <c r="B1202" s="65" t="s">
        <v>15</v>
      </c>
      <c r="C1202" s="65"/>
      <c r="D1202" s="67">
        <v>954.0</v>
      </c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</row>
    <row r="1203" ht="12.75" customHeight="1">
      <c r="A1203" s="65" t="s">
        <v>14</v>
      </c>
      <c r="B1203" s="65" t="s">
        <v>15</v>
      </c>
      <c r="C1203" s="65"/>
      <c r="D1203" s="67">
        <v>949.5</v>
      </c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</row>
    <row r="1204" ht="12.75" customHeight="1">
      <c r="A1204" s="65" t="s">
        <v>14</v>
      </c>
      <c r="B1204" s="65" t="s">
        <v>15</v>
      </c>
      <c r="C1204" s="65"/>
      <c r="D1204" s="67">
        <v>945.0</v>
      </c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</row>
    <row r="1205" ht="12.75" customHeight="1">
      <c r="A1205" s="65" t="s">
        <v>14</v>
      </c>
      <c r="B1205" s="65" t="s">
        <v>15</v>
      </c>
      <c r="C1205" s="65"/>
      <c r="D1205" s="67">
        <v>940.5</v>
      </c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</row>
    <row r="1206" ht="12.75" customHeight="1">
      <c r="A1206" s="65" t="s">
        <v>14</v>
      </c>
      <c r="B1206" s="65" t="s">
        <v>15</v>
      </c>
      <c r="C1206" s="65"/>
      <c r="D1206" s="67">
        <v>936.0</v>
      </c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</row>
    <row r="1207" ht="12.75" customHeight="1">
      <c r="A1207" s="65" t="s">
        <v>14</v>
      </c>
      <c r="B1207" s="65" t="s">
        <v>15</v>
      </c>
      <c r="C1207" s="65"/>
      <c r="D1207" s="67">
        <v>931.5</v>
      </c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</row>
    <row r="1208" ht="12.75" customHeight="1">
      <c r="A1208" s="65" t="s">
        <v>14</v>
      </c>
      <c r="B1208" s="65" t="s">
        <v>15</v>
      </c>
      <c r="C1208" s="65"/>
      <c r="D1208" s="67">
        <v>927.0</v>
      </c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</row>
    <row r="1209" ht="12.75" customHeight="1">
      <c r="A1209" s="65" t="s">
        <v>14</v>
      </c>
      <c r="B1209" s="65" t="s">
        <v>15</v>
      </c>
      <c r="C1209" s="65"/>
      <c r="D1209" s="67">
        <v>918.0</v>
      </c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</row>
    <row r="1210" ht="12.75" customHeight="1">
      <c r="A1210" s="65" t="s">
        <v>14</v>
      </c>
      <c r="B1210" s="65" t="s">
        <v>15</v>
      </c>
      <c r="C1210" s="65"/>
      <c r="D1210" s="67">
        <v>913.5</v>
      </c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</row>
    <row r="1211" ht="12.75" customHeight="1">
      <c r="A1211" s="65" t="s">
        <v>14</v>
      </c>
      <c r="B1211" s="65" t="s">
        <v>15</v>
      </c>
      <c r="C1211" s="65"/>
      <c r="D1211" s="67">
        <v>900.0</v>
      </c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</row>
    <row r="1212" ht="12.75" customHeight="1">
      <c r="A1212" s="65" t="s">
        <v>14</v>
      </c>
      <c r="B1212" s="65" t="s">
        <v>15</v>
      </c>
      <c r="C1212" s="65"/>
      <c r="D1212" s="67">
        <v>895.5</v>
      </c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</row>
    <row r="1213" ht="12.75" customHeight="1">
      <c r="A1213" s="65" t="s">
        <v>14</v>
      </c>
      <c r="B1213" s="65" t="s">
        <v>15</v>
      </c>
      <c r="C1213" s="65"/>
      <c r="D1213" s="67">
        <v>864.0</v>
      </c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</row>
    <row r="1214" ht="12.75" customHeight="1">
      <c r="A1214" s="65" t="s">
        <v>14</v>
      </c>
      <c r="B1214" s="65" t="s">
        <v>15</v>
      </c>
      <c r="C1214" s="65"/>
      <c r="D1214" s="67">
        <v>859.5</v>
      </c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</row>
    <row r="1215" ht="12.75" customHeight="1">
      <c r="A1215" s="65" t="s">
        <v>14</v>
      </c>
      <c r="B1215" s="65" t="s">
        <v>15</v>
      </c>
      <c r="C1215" s="65"/>
      <c r="D1215" s="67">
        <v>855.0</v>
      </c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</row>
    <row r="1216" ht="12.75" customHeight="1">
      <c r="A1216" s="65" t="s">
        <v>14</v>
      </c>
      <c r="B1216" s="65" t="s">
        <v>15</v>
      </c>
      <c r="C1216" s="65"/>
      <c r="D1216" s="67">
        <v>846.0</v>
      </c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</row>
    <row r="1217" ht="12.75" customHeight="1">
      <c r="A1217" s="65" t="s">
        <v>14</v>
      </c>
      <c r="B1217" s="65" t="s">
        <v>15</v>
      </c>
      <c r="C1217" s="65"/>
      <c r="D1217" s="67">
        <v>841.5</v>
      </c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</row>
    <row r="1218" ht="12.75" customHeight="1">
      <c r="A1218" s="65" t="s">
        <v>14</v>
      </c>
      <c r="B1218" s="65" t="s">
        <v>15</v>
      </c>
      <c r="C1218" s="65"/>
      <c r="D1218" s="67">
        <v>814.5</v>
      </c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</row>
    <row r="1219" ht="12.75" customHeight="1">
      <c r="A1219" s="65" t="s">
        <v>14</v>
      </c>
      <c r="B1219" s="65" t="s">
        <v>15</v>
      </c>
      <c r="C1219" s="65"/>
      <c r="D1219" s="67">
        <v>805.5</v>
      </c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</row>
    <row r="1220" ht="12.75" customHeight="1">
      <c r="A1220" s="65" t="s">
        <v>14</v>
      </c>
      <c r="B1220" s="65" t="s">
        <v>15</v>
      </c>
      <c r="C1220" s="65"/>
      <c r="D1220" s="67">
        <v>796.5</v>
      </c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</row>
    <row r="1221" ht="12.75" customHeight="1">
      <c r="A1221" s="65" t="s">
        <v>14</v>
      </c>
      <c r="B1221" s="65" t="s">
        <v>15</v>
      </c>
      <c r="C1221" s="65"/>
      <c r="D1221" s="67">
        <v>792.0</v>
      </c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</row>
    <row r="1222" ht="12.75" customHeight="1">
      <c r="A1222" s="65" t="s">
        <v>14</v>
      </c>
      <c r="B1222" s="65" t="s">
        <v>15</v>
      </c>
      <c r="C1222" s="65"/>
      <c r="D1222" s="67">
        <v>787.5</v>
      </c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</row>
    <row r="1223" ht="12.75" customHeight="1">
      <c r="A1223" s="65" t="s">
        <v>14</v>
      </c>
      <c r="B1223" s="65" t="s">
        <v>15</v>
      </c>
      <c r="C1223" s="65"/>
      <c r="D1223" s="67">
        <v>769.5</v>
      </c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</row>
    <row r="1224" ht="12.75" customHeight="1">
      <c r="A1224" s="65" t="s">
        <v>14</v>
      </c>
      <c r="B1224" s="65" t="s">
        <v>15</v>
      </c>
      <c r="C1224" s="65"/>
      <c r="D1224" s="67">
        <v>760.5</v>
      </c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</row>
    <row r="1225" ht="12.75" customHeight="1">
      <c r="A1225" s="65" t="s">
        <v>14</v>
      </c>
      <c r="B1225" s="65" t="s">
        <v>15</v>
      </c>
      <c r="C1225" s="65"/>
      <c r="D1225" s="67">
        <v>747.0</v>
      </c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</row>
    <row r="1226" ht="12.75" customHeight="1">
      <c r="A1226" s="65" t="s">
        <v>14</v>
      </c>
      <c r="B1226" s="65" t="s">
        <v>15</v>
      </c>
      <c r="C1226" s="65"/>
      <c r="D1226" s="67">
        <v>742.5</v>
      </c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</row>
    <row r="1227" ht="12.75" customHeight="1">
      <c r="A1227" s="65" t="s">
        <v>14</v>
      </c>
      <c r="B1227" s="65" t="s">
        <v>15</v>
      </c>
      <c r="C1227" s="65"/>
      <c r="D1227" s="67">
        <v>742.5</v>
      </c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</row>
    <row r="1228" ht="12.75" customHeight="1">
      <c r="A1228" s="65" t="s">
        <v>14</v>
      </c>
      <c r="B1228" s="65" t="s">
        <v>15</v>
      </c>
      <c r="C1228" s="65"/>
      <c r="D1228" s="67">
        <v>675.0</v>
      </c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</row>
    <row r="1229" ht="12.75" customHeight="1">
      <c r="A1229" s="65" t="s">
        <v>14</v>
      </c>
      <c r="B1229" s="65" t="s">
        <v>15</v>
      </c>
      <c r="C1229" s="65"/>
      <c r="D1229" s="67">
        <v>675.0</v>
      </c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</row>
    <row r="1230" ht="12.75" customHeight="1">
      <c r="A1230" s="65" t="s">
        <v>14</v>
      </c>
      <c r="B1230" s="65" t="s">
        <v>15</v>
      </c>
      <c r="C1230" s="65"/>
      <c r="D1230" s="67">
        <v>675.0</v>
      </c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</row>
    <row r="1231" ht="12.75" customHeight="1">
      <c r="A1231" s="65" t="s">
        <v>14</v>
      </c>
      <c r="B1231" s="65" t="s">
        <v>15</v>
      </c>
      <c r="C1231" s="65"/>
      <c r="D1231" s="67">
        <v>661.5</v>
      </c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</row>
    <row r="1232" ht="12.75" customHeight="1">
      <c r="A1232" s="65" t="s">
        <v>14</v>
      </c>
      <c r="B1232" s="65" t="s">
        <v>15</v>
      </c>
      <c r="C1232" s="65"/>
      <c r="D1232" s="67">
        <v>643.5</v>
      </c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</row>
    <row r="1233" ht="12.75" customHeight="1">
      <c r="A1233" s="65" t="s">
        <v>14</v>
      </c>
      <c r="B1233" s="65" t="s">
        <v>15</v>
      </c>
      <c r="C1233" s="65"/>
      <c r="D1233" s="67">
        <v>639.0</v>
      </c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</row>
    <row r="1234" ht="12.75" customHeight="1">
      <c r="A1234" s="65" t="s">
        <v>14</v>
      </c>
      <c r="B1234" s="65" t="s">
        <v>15</v>
      </c>
      <c r="C1234" s="65"/>
      <c r="D1234" s="67">
        <v>589.5</v>
      </c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</row>
    <row r="1235" ht="12.75" customHeight="1">
      <c r="A1235" s="65" t="s">
        <v>14</v>
      </c>
      <c r="B1235" s="65" t="s">
        <v>15</v>
      </c>
      <c r="C1235" s="65"/>
      <c r="D1235" s="67">
        <v>562.5</v>
      </c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</row>
    <row r="1236" ht="12.75" customHeight="1">
      <c r="A1236" s="65" t="s">
        <v>14</v>
      </c>
      <c r="B1236" s="65" t="s">
        <v>15</v>
      </c>
      <c r="C1236" s="65"/>
      <c r="D1236" s="67">
        <v>562.5</v>
      </c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</row>
    <row r="1237" ht="12.75" customHeight="1">
      <c r="A1237" s="65" t="s">
        <v>14</v>
      </c>
      <c r="B1237" s="65" t="s">
        <v>15</v>
      </c>
      <c r="C1237" s="65"/>
      <c r="D1237" s="67">
        <v>562.5</v>
      </c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</row>
    <row r="1238" ht="12.75" customHeight="1">
      <c r="A1238" s="65" t="s">
        <v>14</v>
      </c>
      <c r="B1238" s="65" t="s">
        <v>15</v>
      </c>
      <c r="C1238" s="65"/>
      <c r="D1238" s="67">
        <v>562.5</v>
      </c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</row>
    <row r="1239" ht="12.75" customHeight="1">
      <c r="A1239" s="65" t="s">
        <v>14</v>
      </c>
      <c r="B1239" s="65" t="s">
        <v>15</v>
      </c>
      <c r="C1239" s="65"/>
      <c r="D1239" s="67">
        <v>562.5</v>
      </c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</row>
    <row r="1240" ht="12.75" customHeight="1">
      <c r="A1240" s="65" t="s">
        <v>14</v>
      </c>
      <c r="B1240" s="65" t="s">
        <v>15</v>
      </c>
      <c r="C1240" s="65"/>
      <c r="D1240" s="67">
        <v>562.5</v>
      </c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</row>
    <row r="1241" ht="12.75" customHeight="1">
      <c r="A1241" s="65" t="s">
        <v>14</v>
      </c>
      <c r="B1241" s="65" t="s">
        <v>15</v>
      </c>
      <c r="C1241" s="65"/>
      <c r="D1241" s="67">
        <v>562.5</v>
      </c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</row>
    <row r="1242" ht="12.75" customHeight="1">
      <c r="A1242" s="65" t="s">
        <v>14</v>
      </c>
      <c r="B1242" s="65" t="s">
        <v>15</v>
      </c>
      <c r="C1242" s="65"/>
      <c r="D1242" s="67">
        <v>562.5</v>
      </c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</row>
    <row r="1243" ht="12.75" customHeight="1">
      <c r="A1243" s="65" t="s">
        <v>14</v>
      </c>
      <c r="B1243" s="65" t="s">
        <v>15</v>
      </c>
      <c r="C1243" s="65"/>
      <c r="D1243" s="67">
        <v>562.5</v>
      </c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</row>
    <row r="1244" ht="12.75" customHeight="1">
      <c r="A1244" s="65" t="s">
        <v>14</v>
      </c>
      <c r="B1244" s="65" t="s">
        <v>15</v>
      </c>
      <c r="C1244" s="65"/>
      <c r="D1244" s="67">
        <v>540.0</v>
      </c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</row>
    <row r="1245" ht="12.75" customHeight="1">
      <c r="A1245" s="65" t="s">
        <v>14</v>
      </c>
      <c r="B1245" s="65" t="s">
        <v>15</v>
      </c>
      <c r="C1245" s="65"/>
      <c r="D1245" s="67">
        <v>526.5</v>
      </c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</row>
    <row r="1246" ht="12.75" customHeight="1">
      <c r="A1246" s="65" t="s">
        <v>14</v>
      </c>
      <c r="B1246" s="65" t="s">
        <v>15</v>
      </c>
      <c r="C1246" s="65"/>
      <c r="D1246" s="67">
        <v>526.5</v>
      </c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</row>
    <row r="1247" ht="12.75" customHeight="1">
      <c r="A1247" s="65" t="s">
        <v>14</v>
      </c>
      <c r="B1247" s="65" t="s">
        <v>15</v>
      </c>
      <c r="C1247" s="65"/>
      <c r="D1247" s="67">
        <v>522.0</v>
      </c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</row>
    <row r="1248" ht="12.75" customHeight="1">
      <c r="A1248" s="65" t="s">
        <v>14</v>
      </c>
      <c r="B1248" s="65" t="s">
        <v>15</v>
      </c>
      <c r="C1248" s="65"/>
      <c r="D1248" s="67">
        <v>513.0</v>
      </c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</row>
    <row r="1249" ht="12.75" customHeight="1">
      <c r="A1249" s="65" t="s">
        <v>14</v>
      </c>
      <c r="B1249" s="65" t="s">
        <v>15</v>
      </c>
      <c r="C1249" s="65"/>
      <c r="D1249" s="67">
        <v>508.5</v>
      </c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</row>
    <row r="1250" ht="12.75" customHeight="1">
      <c r="A1250" s="65" t="s">
        <v>14</v>
      </c>
      <c r="B1250" s="65" t="s">
        <v>15</v>
      </c>
      <c r="C1250" s="65"/>
      <c r="D1250" s="67">
        <v>508.5</v>
      </c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</row>
    <row r="1251" ht="12.75" customHeight="1">
      <c r="A1251" s="65" t="s">
        <v>14</v>
      </c>
      <c r="B1251" s="65" t="s">
        <v>15</v>
      </c>
      <c r="C1251" s="65"/>
      <c r="D1251" s="67">
        <v>504.0</v>
      </c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</row>
    <row r="1252" ht="12.75" customHeight="1">
      <c r="A1252" s="65" t="s">
        <v>14</v>
      </c>
      <c r="B1252" s="65" t="s">
        <v>15</v>
      </c>
      <c r="C1252" s="65"/>
      <c r="D1252" s="67">
        <v>495.0</v>
      </c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</row>
    <row r="1253" ht="12.75" customHeight="1">
      <c r="A1253" s="65" t="s">
        <v>14</v>
      </c>
      <c r="B1253" s="65" t="s">
        <v>15</v>
      </c>
      <c r="C1253" s="65"/>
      <c r="D1253" s="67">
        <v>495.0</v>
      </c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</row>
    <row r="1254" ht="12.75" customHeight="1">
      <c r="A1254" s="65" t="s">
        <v>14</v>
      </c>
      <c r="B1254" s="65" t="s">
        <v>15</v>
      </c>
      <c r="C1254" s="65"/>
      <c r="D1254" s="67">
        <v>486.0</v>
      </c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</row>
    <row r="1255" ht="12.75" customHeight="1">
      <c r="A1255" s="65" t="s">
        <v>14</v>
      </c>
      <c r="B1255" s="65" t="s">
        <v>15</v>
      </c>
      <c r="C1255" s="65"/>
      <c r="D1255" s="67">
        <v>472.5</v>
      </c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</row>
    <row r="1256" ht="12.75" customHeight="1">
      <c r="A1256" s="65" t="s">
        <v>14</v>
      </c>
      <c r="B1256" s="65" t="s">
        <v>15</v>
      </c>
      <c r="C1256" s="65"/>
      <c r="D1256" s="67">
        <v>463.5</v>
      </c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</row>
    <row r="1257" ht="12.75" customHeight="1">
      <c r="A1257" s="65" t="s">
        <v>14</v>
      </c>
      <c r="B1257" s="65" t="s">
        <v>15</v>
      </c>
      <c r="C1257" s="65"/>
      <c r="D1257" s="67">
        <v>459.0</v>
      </c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</row>
    <row r="1258" ht="12.75" customHeight="1">
      <c r="A1258" s="65" t="s">
        <v>14</v>
      </c>
      <c r="B1258" s="65" t="s">
        <v>15</v>
      </c>
      <c r="C1258" s="65"/>
      <c r="D1258" s="67">
        <v>450.0</v>
      </c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</row>
    <row r="1259" ht="12.75" customHeight="1">
      <c r="A1259" s="65" t="s">
        <v>14</v>
      </c>
      <c r="B1259" s="65" t="s">
        <v>15</v>
      </c>
      <c r="C1259" s="65"/>
      <c r="D1259" s="67">
        <v>450.0</v>
      </c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</row>
    <row r="1260" ht="12.75" customHeight="1">
      <c r="A1260" s="65" t="s">
        <v>14</v>
      </c>
      <c r="B1260" s="65" t="s">
        <v>15</v>
      </c>
      <c r="C1260" s="65"/>
      <c r="D1260" s="67">
        <v>445.5</v>
      </c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</row>
    <row r="1261" ht="12.75" customHeight="1">
      <c r="A1261" s="65" t="s">
        <v>14</v>
      </c>
      <c r="B1261" s="65" t="s">
        <v>15</v>
      </c>
      <c r="C1261" s="65"/>
      <c r="D1261" s="67">
        <v>445.5</v>
      </c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</row>
    <row r="1262" ht="12.75" customHeight="1">
      <c r="A1262" s="65" t="s">
        <v>14</v>
      </c>
      <c r="B1262" s="65" t="s">
        <v>15</v>
      </c>
      <c r="C1262" s="65"/>
      <c r="D1262" s="67">
        <v>423.0</v>
      </c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</row>
    <row r="1263" ht="12.75" customHeight="1">
      <c r="A1263" s="65" t="s">
        <v>14</v>
      </c>
      <c r="B1263" s="65" t="s">
        <v>15</v>
      </c>
      <c r="C1263" s="65"/>
      <c r="D1263" s="67">
        <v>391.5</v>
      </c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</row>
    <row r="1264" ht="12.75" customHeight="1">
      <c r="A1264" s="65" t="s">
        <v>14</v>
      </c>
      <c r="B1264" s="65" t="s">
        <v>15</v>
      </c>
      <c r="C1264" s="65"/>
      <c r="D1264" s="67">
        <v>391.5</v>
      </c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</row>
    <row r="1265" ht="12.75" customHeight="1">
      <c r="A1265" s="65" t="s">
        <v>14</v>
      </c>
      <c r="B1265" s="65" t="s">
        <v>15</v>
      </c>
      <c r="C1265" s="65"/>
      <c r="D1265" s="67">
        <v>391.5</v>
      </c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</row>
    <row r="1266" ht="12.75" customHeight="1">
      <c r="A1266" s="65" t="s">
        <v>14</v>
      </c>
      <c r="B1266" s="65" t="s">
        <v>15</v>
      </c>
      <c r="C1266" s="65"/>
      <c r="D1266" s="67">
        <v>391.5</v>
      </c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</row>
    <row r="1267" ht="12.75" customHeight="1">
      <c r="A1267" s="65" t="s">
        <v>14</v>
      </c>
      <c r="B1267" s="65" t="s">
        <v>15</v>
      </c>
      <c r="C1267" s="65"/>
      <c r="D1267" s="67">
        <v>387.0</v>
      </c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</row>
    <row r="1268" ht="12.75" customHeight="1">
      <c r="A1268" s="65" t="s">
        <v>14</v>
      </c>
      <c r="B1268" s="65" t="s">
        <v>15</v>
      </c>
      <c r="C1268" s="65"/>
      <c r="D1268" s="67">
        <v>382.5</v>
      </c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</row>
    <row r="1269" ht="12.75" customHeight="1">
      <c r="A1269" s="65" t="s">
        <v>14</v>
      </c>
      <c r="B1269" s="65" t="s">
        <v>15</v>
      </c>
      <c r="C1269" s="65"/>
      <c r="D1269" s="67">
        <v>378.0</v>
      </c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</row>
    <row r="1270" ht="12.75" customHeight="1">
      <c r="A1270" s="65" t="s">
        <v>14</v>
      </c>
      <c r="B1270" s="65" t="s">
        <v>15</v>
      </c>
      <c r="C1270" s="65"/>
      <c r="D1270" s="67">
        <v>369.0</v>
      </c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</row>
    <row r="1271" ht="12.75" customHeight="1">
      <c r="A1271" s="65" t="s">
        <v>14</v>
      </c>
      <c r="B1271" s="65" t="s">
        <v>15</v>
      </c>
      <c r="C1271" s="65"/>
      <c r="D1271" s="67">
        <v>355.5</v>
      </c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</row>
    <row r="1272" ht="12.75" customHeight="1">
      <c r="A1272" s="65" t="s">
        <v>14</v>
      </c>
      <c r="B1272" s="65" t="s">
        <v>15</v>
      </c>
      <c r="C1272" s="65"/>
      <c r="D1272" s="67">
        <v>355.5</v>
      </c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</row>
    <row r="1273" ht="12.75" customHeight="1">
      <c r="A1273" s="65" t="s">
        <v>14</v>
      </c>
      <c r="B1273" s="65" t="s">
        <v>15</v>
      </c>
      <c r="C1273" s="65"/>
      <c r="D1273" s="67">
        <v>355.5</v>
      </c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</row>
    <row r="1274" ht="12.75" customHeight="1">
      <c r="A1274" s="65" t="s">
        <v>14</v>
      </c>
      <c r="B1274" s="65" t="s">
        <v>15</v>
      </c>
      <c r="C1274" s="65"/>
      <c r="D1274" s="67">
        <v>346.5</v>
      </c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</row>
    <row r="1275" ht="12.75" customHeight="1">
      <c r="A1275" s="65" t="s">
        <v>14</v>
      </c>
      <c r="B1275" s="65" t="s">
        <v>15</v>
      </c>
      <c r="C1275" s="65"/>
      <c r="D1275" s="67">
        <v>342.0</v>
      </c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</row>
    <row r="1276" ht="12.75" customHeight="1">
      <c r="A1276" s="65" t="s">
        <v>14</v>
      </c>
      <c r="B1276" s="65" t="s">
        <v>15</v>
      </c>
      <c r="C1276" s="65"/>
      <c r="D1276" s="67">
        <v>337.5</v>
      </c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</row>
    <row r="1277" ht="12.75" customHeight="1">
      <c r="A1277" s="65" t="s">
        <v>14</v>
      </c>
      <c r="B1277" s="65" t="s">
        <v>15</v>
      </c>
      <c r="C1277" s="65"/>
      <c r="D1277" s="67">
        <v>337.5</v>
      </c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</row>
    <row r="1278" ht="12.75" customHeight="1">
      <c r="A1278" s="65" t="s">
        <v>14</v>
      </c>
      <c r="B1278" s="65" t="s">
        <v>15</v>
      </c>
      <c r="C1278" s="65"/>
      <c r="D1278" s="67">
        <v>337.5</v>
      </c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</row>
    <row r="1279" ht="12.75" customHeight="1">
      <c r="A1279" s="65" t="s">
        <v>14</v>
      </c>
      <c r="B1279" s="65" t="s">
        <v>15</v>
      </c>
      <c r="C1279" s="65"/>
      <c r="D1279" s="67">
        <v>337.5</v>
      </c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</row>
    <row r="1280" ht="12.75" customHeight="1">
      <c r="A1280" s="65" t="s">
        <v>14</v>
      </c>
      <c r="B1280" s="65" t="s">
        <v>15</v>
      </c>
      <c r="C1280" s="65"/>
      <c r="D1280" s="67">
        <v>337.5</v>
      </c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</row>
    <row r="1281" ht="12.75" customHeight="1">
      <c r="A1281" s="65" t="s">
        <v>14</v>
      </c>
      <c r="B1281" s="65" t="s">
        <v>15</v>
      </c>
      <c r="C1281" s="65"/>
      <c r="D1281" s="67">
        <v>328.5</v>
      </c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</row>
    <row r="1282" ht="12.75" customHeight="1">
      <c r="A1282" s="65" t="s">
        <v>14</v>
      </c>
      <c r="B1282" s="65" t="s">
        <v>15</v>
      </c>
      <c r="C1282" s="65"/>
      <c r="D1282" s="67">
        <v>328.5</v>
      </c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</row>
    <row r="1283" ht="12.75" customHeight="1">
      <c r="A1283" s="65" t="s">
        <v>14</v>
      </c>
      <c r="B1283" s="65" t="s">
        <v>15</v>
      </c>
      <c r="C1283" s="65"/>
      <c r="D1283" s="67">
        <v>310.5</v>
      </c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</row>
    <row r="1284" ht="12.75" customHeight="1">
      <c r="A1284" s="65" t="s">
        <v>14</v>
      </c>
      <c r="B1284" s="65" t="s">
        <v>15</v>
      </c>
      <c r="C1284" s="65"/>
      <c r="D1284" s="67">
        <v>310.5</v>
      </c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</row>
    <row r="1285" ht="12.75" customHeight="1">
      <c r="A1285" s="65" t="s">
        <v>14</v>
      </c>
      <c r="B1285" s="65" t="s">
        <v>15</v>
      </c>
      <c r="C1285" s="65"/>
      <c r="D1285" s="67">
        <v>306.0</v>
      </c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</row>
    <row r="1286" ht="12.75" customHeight="1">
      <c r="A1286" s="65" t="s">
        <v>14</v>
      </c>
      <c r="B1286" s="65" t="s">
        <v>15</v>
      </c>
      <c r="C1286" s="65"/>
      <c r="D1286" s="67">
        <v>297.0</v>
      </c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</row>
    <row r="1287" ht="12.75" customHeight="1">
      <c r="A1287" s="65" t="s">
        <v>14</v>
      </c>
      <c r="B1287" s="65" t="s">
        <v>15</v>
      </c>
      <c r="C1287" s="65"/>
      <c r="D1287" s="67">
        <v>297.0</v>
      </c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</row>
    <row r="1288" ht="12.75" customHeight="1">
      <c r="A1288" s="65" t="s">
        <v>14</v>
      </c>
      <c r="B1288" s="65" t="s">
        <v>15</v>
      </c>
      <c r="C1288" s="65"/>
      <c r="D1288" s="67">
        <v>297.0</v>
      </c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</row>
    <row r="1289" ht="12.75" customHeight="1">
      <c r="A1289" s="65" t="s">
        <v>14</v>
      </c>
      <c r="B1289" s="65" t="s">
        <v>15</v>
      </c>
      <c r="C1289" s="65"/>
      <c r="D1289" s="67">
        <v>297.0</v>
      </c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</row>
    <row r="1290" ht="12.75" customHeight="1">
      <c r="A1290" s="65" t="s">
        <v>14</v>
      </c>
      <c r="B1290" s="65" t="s">
        <v>15</v>
      </c>
      <c r="C1290" s="65"/>
      <c r="D1290" s="67">
        <v>292.5</v>
      </c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</row>
    <row r="1291" ht="12.75" customHeight="1">
      <c r="A1291" s="65" t="s">
        <v>14</v>
      </c>
      <c r="B1291" s="65" t="s">
        <v>15</v>
      </c>
      <c r="C1291" s="65"/>
      <c r="D1291" s="67">
        <v>288.0</v>
      </c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</row>
    <row r="1292" ht="12.75" customHeight="1">
      <c r="A1292" s="65" t="s">
        <v>14</v>
      </c>
      <c r="B1292" s="65" t="s">
        <v>15</v>
      </c>
      <c r="C1292" s="65"/>
      <c r="D1292" s="67">
        <v>283.5</v>
      </c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</row>
    <row r="1293" ht="12.75" customHeight="1">
      <c r="A1293" s="65" t="s">
        <v>14</v>
      </c>
      <c r="B1293" s="65" t="s">
        <v>15</v>
      </c>
      <c r="C1293" s="65"/>
      <c r="D1293" s="67">
        <v>270.0</v>
      </c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</row>
    <row r="1294" ht="12.75" customHeight="1">
      <c r="A1294" s="65" t="s">
        <v>14</v>
      </c>
      <c r="B1294" s="65" t="s">
        <v>15</v>
      </c>
      <c r="C1294" s="65"/>
      <c r="D1294" s="67">
        <v>265.5</v>
      </c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</row>
    <row r="1295" ht="12.75" customHeight="1">
      <c r="A1295" s="65" t="s">
        <v>14</v>
      </c>
      <c r="B1295" s="65" t="s">
        <v>15</v>
      </c>
      <c r="C1295" s="65"/>
      <c r="D1295" s="67">
        <v>265.5</v>
      </c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</row>
    <row r="1296" ht="12.75" customHeight="1">
      <c r="A1296" s="65" t="s">
        <v>14</v>
      </c>
      <c r="B1296" s="65" t="s">
        <v>15</v>
      </c>
      <c r="C1296" s="65"/>
      <c r="D1296" s="67">
        <v>261.0</v>
      </c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</row>
    <row r="1297" ht="12.75" customHeight="1">
      <c r="A1297" s="65" t="s">
        <v>14</v>
      </c>
      <c r="B1297" s="65" t="s">
        <v>15</v>
      </c>
      <c r="C1297" s="65"/>
      <c r="D1297" s="67">
        <v>256.5</v>
      </c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</row>
    <row r="1298" ht="12.75" customHeight="1">
      <c r="A1298" s="65" t="s">
        <v>14</v>
      </c>
      <c r="B1298" s="65" t="s">
        <v>15</v>
      </c>
      <c r="C1298" s="65"/>
      <c r="D1298" s="67">
        <v>256.5</v>
      </c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</row>
    <row r="1299" ht="12.75" customHeight="1">
      <c r="A1299" s="65" t="s">
        <v>14</v>
      </c>
      <c r="B1299" s="65" t="s">
        <v>15</v>
      </c>
      <c r="C1299" s="65"/>
      <c r="D1299" s="67">
        <v>256.5</v>
      </c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</row>
    <row r="1300" ht="12.75" customHeight="1">
      <c r="A1300" s="65" t="s">
        <v>14</v>
      </c>
      <c r="B1300" s="65" t="s">
        <v>15</v>
      </c>
      <c r="C1300" s="65"/>
      <c r="D1300" s="67">
        <v>238.5</v>
      </c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</row>
    <row r="1301" ht="12.75" customHeight="1">
      <c r="A1301" s="65" t="s">
        <v>14</v>
      </c>
      <c r="B1301" s="65" t="s">
        <v>15</v>
      </c>
      <c r="C1301" s="65"/>
      <c r="D1301" s="67">
        <v>234.0</v>
      </c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</row>
    <row r="1302" ht="12.75" customHeight="1">
      <c r="A1302" s="65" t="s">
        <v>14</v>
      </c>
      <c r="B1302" s="65" t="s">
        <v>15</v>
      </c>
      <c r="C1302" s="65"/>
      <c r="D1302" s="67">
        <v>229.5</v>
      </c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</row>
    <row r="1303" ht="12.75" customHeight="1">
      <c r="A1303" s="65" t="s">
        <v>14</v>
      </c>
      <c r="B1303" s="65" t="s">
        <v>15</v>
      </c>
      <c r="C1303" s="65"/>
      <c r="D1303" s="67">
        <v>229.5</v>
      </c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</row>
    <row r="1304" ht="12.75" customHeight="1">
      <c r="A1304" s="65" t="s">
        <v>14</v>
      </c>
      <c r="B1304" s="65" t="s">
        <v>15</v>
      </c>
      <c r="C1304" s="65"/>
      <c r="D1304" s="67">
        <v>229.5</v>
      </c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</row>
    <row r="1305" ht="12.75" customHeight="1">
      <c r="A1305" s="65" t="s">
        <v>14</v>
      </c>
      <c r="B1305" s="65" t="s">
        <v>15</v>
      </c>
      <c r="C1305" s="65"/>
      <c r="D1305" s="67">
        <v>225.0</v>
      </c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</row>
    <row r="1306" ht="12.75" customHeight="1">
      <c r="A1306" s="65" t="s">
        <v>14</v>
      </c>
      <c r="B1306" s="65" t="s">
        <v>15</v>
      </c>
      <c r="C1306" s="65"/>
      <c r="D1306" s="67">
        <v>225.0</v>
      </c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</row>
    <row r="1307" ht="12.75" customHeight="1">
      <c r="A1307" s="65" t="s">
        <v>14</v>
      </c>
      <c r="B1307" s="65" t="s">
        <v>15</v>
      </c>
      <c r="C1307" s="65"/>
      <c r="D1307" s="67">
        <v>225.0</v>
      </c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</row>
    <row r="1308" ht="12.75" customHeight="1">
      <c r="A1308" s="65" t="s">
        <v>14</v>
      </c>
      <c r="B1308" s="65" t="s">
        <v>15</v>
      </c>
      <c r="C1308" s="65"/>
      <c r="D1308" s="67">
        <v>225.0</v>
      </c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</row>
    <row r="1309" ht="12.75" customHeight="1">
      <c r="A1309" s="65" t="s">
        <v>14</v>
      </c>
      <c r="B1309" s="65" t="s">
        <v>15</v>
      </c>
      <c r="C1309" s="65"/>
      <c r="D1309" s="67">
        <v>220.5</v>
      </c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</row>
    <row r="1310" ht="12.75" customHeight="1">
      <c r="A1310" s="65" t="s">
        <v>14</v>
      </c>
      <c r="B1310" s="65" t="s">
        <v>15</v>
      </c>
      <c r="C1310" s="65"/>
      <c r="D1310" s="67">
        <v>220.5</v>
      </c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</row>
    <row r="1311" ht="12.75" customHeight="1">
      <c r="A1311" s="65" t="s">
        <v>14</v>
      </c>
      <c r="B1311" s="65" t="s">
        <v>15</v>
      </c>
      <c r="C1311" s="65"/>
      <c r="D1311" s="67">
        <v>216.0</v>
      </c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</row>
    <row r="1312" ht="12.75" customHeight="1">
      <c r="A1312" s="65" t="s">
        <v>14</v>
      </c>
      <c r="B1312" s="65" t="s">
        <v>15</v>
      </c>
      <c r="C1312" s="65"/>
      <c r="D1312" s="67">
        <v>211.5</v>
      </c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</row>
    <row r="1313" ht="12.75" customHeight="1">
      <c r="A1313" s="65" t="s">
        <v>14</v>
      </c>
      <c r="B1313" s="65" t="s">
        <v>15</v>
      </c>
      <c r="C1313" s="65"/>
      <c r="D1313" s="67">
        <v>207.0</v>
      </c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</row>
    <row r="1314" ht="12.75" customHeight="1">
      <c r="A1314" s="65" t="s">
        <v>14</v>
      </c>
      <c r="B1314" s="65" t="s">
        <v>15</v>
      </c>
      <c r="C1314" s="65"/>
      <c r="D1314" s="67">
        <v>207.0</v>
      </c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</row>
    <row r="1315" ht="12.75" customHeight="1">
      <c r="A1315" s="65" t="s">
        <v>14</v>
      </c>
      <c r="B1315" s="65" t="s">
        <v>15</v>
      </c>
      <c r="C1315" s="65"/>
      <c r="D1315" s="67">
        <v>207.0</v>
      </c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</row>
    <row r="1316" ht="12.75" customHeight="1">
      <c r="A1316" s="65" t="s">
        <v>14</v>
      </c>
      <c r="B1316" s="65" t="s">
        <v>15</v>
      </c>
      <c r="C1316" s="65"/>
      <c r="D1316" s="67">
        <v>202.5</v>
      </c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</row>
    <row r="1317" ht="12.75" customHeight="1">
      <c r="A1317" s="65" t="s">
        <v>14</v>
      </c>
      <c r="B1317" s="65" t="s">
        <v>15</v>
      </c>
      <c r="C1317" s="65"/>
      <c r="D1317" s="67">
        <v>198.0</v>
      </c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</row>
    <row r="1318" ht="12.75" customHeight="1">
      <c r="A1318" s="65" t="s">
        <v>14</v>
      </c>
      <c r="B1318" s="65" t="s">
        <v>15</v>
      </c>
      <c r="C1318" s="65"/>
      <c r="D1318" s="67">
        <v>198.0</v>
      </c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</row>
    <row r="1319" ht="12.75" customHeight="1">
      <c r="A1319" s="65" t="s">
        <v>14</v>
      </c>
      <c r="B1319" s="65" t="s">
        <v>15</v>
      </c>
      <c r="C1319" s="65"/>
      <c r="D1319" s="67">
        <v>189.0</v>
      </c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</row>
    <row r="1320" ht="12.75" customHeight="1">
      <c r="A1320" s="65" t="s">
        <v>14</v>
      </c>
      <c r="B1320" s="65" t="s">
        <v>15</v>
      </c>
      <c r="C1320" s="65"/>
      <c r="D1320" s="67">
        <v>189.0</v>
      </c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</row>
    <row r="1321" ht="12.75" customHeight="1">
      <c r="A1321" s="65" t="s">
        <v>14</v>
      </c>
      <c r="B1321" s="65" t="s">
        <v>15</v>
      </c>
      <c r="C1321" s="65"/>
      <c r="D1321" s="67">
        <v>180.0</v>
      </c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</row>
    <row r="1322" ht="12.75" customHeight="1">
      <c r="A1322" s="65" t="s">
        <v>14</v>
      </c>
      <c r="B1322" s="65" t="s">
        <v>15</v>
      </c>
      <c r="C1322" s="65"/>
      <c r="D1322" s="67">
        <v>180.0</v>
      </c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</row>
    <row r="1323" ht="12.75" customHeight="1">
      <c r="A1323" s="65" t="s">
        <v>14</v>
      </c>
      <c r="B1323" s="65" t="s">
        <v>15</v>
      </c>
      <c r="C1323" s="65"/>
      <c r="D1323" s="67">
        <v>180.0</v>
      </c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</row>
    <row r="1324" ht="12.75" customHeight="1">
      <c r="A1324" s="65" t="s">
        <v>14</v>
      </c>
      <c r="B1324" s="65" t="s">
        <v>15</v>
      </c>
      <c r="C1324" s="65"/>
      <c r="D1324" s="67">
        <v>180.0</v>
      </c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</row>
    <row r="1325" ht="12.75" customHeight="1">
      <c r="A1325" s="65" t="s">
        <v>14</v>
      </c>
      <c r="B1325" s="65" t="s">
        <v>15</v>
      </c>
      <c r="C1325" s="65"/>
      <c r="D1325" s="67">
        <v>180.0</v>
      </c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</row>
    <row r="1326" ht="12.75" customHeight="1">
      <c r="A1326" s="65" t="s">
        <v>14</v>
      </c>
      <c r="B1326" s="65" t="s">
        <v>15</v>
      </c>
      <c r="C1326" s="65"/>
      <c r="D1326" s="67">
        <v>180.0</v>
      </c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</row>
    <row r="1327" ht="12.75" customHeight="1">
      <c r="A1327" s="65" t="s">
        <v>14</v>
      </c>
      <c r="B1327" s="65" t="s">
        <v>15</v>
      </c>
      <c r="C1327" s="65"/>
      <c r="D1327" s="67">
        <v>171.0</v>
      </c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</row>
    <row r="1328" ht="12.75" customHeight="1">
      <c r="A1328" s="65" t="s">
        <v>14</v>
      </c>
      <c r="B1328" s="65" t="s">
        <v>15</v>
      </c>
      <c r="C1328" s="65"/>
      <c r="D1328" s="67">
        <v>166.5</v>
      </c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</row>
    <row r="1329" ht="12.75" customHeight="1">
      <c r="A1329" s="65" t="s">
        <v>14</v>
      </c>
      <c r="B1329" s="65" t="s">
        <v>15</v>
      </c>
      <c r="C1329" s="65"/>
      <c r="D1329" s="67">
        <v>162.0</v>
      </c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</row>
    <row r="1330" ht="12.75" customHeight="1">
      <c r="A1330" s="65" t="s">
        <v>14</v>
      </c>
      <c r="B1330" s="65" t="s">
        <v>15</v>
      </c>
      <c r="C1330" s="65"/>
      <c r="D1330" s="67">
        <v>139.5</v>
      </c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</row>
    <row r="1331" ht="12.75" customHeight="1">
      <c r="A1331" s="65" t="s">
        <v>14</v>
      </c>
      <c r="B1331" s="65" t="s">
        <v>15</v>
      </c>
      <c r="C1331" s="65"/>
      <c r="D1331" s="67">
        <v>135.0</v>
      </c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</row>
    <row r="1332" ht="12.75" customHeight="1">
      <c r="A1332" s="65" t="s">
        <v>14</v>
      </c>
      <c r="B1332" s="65" t="s">
        <v>15</v>
      </c>
      <c r="C1332" s="65"/>
      <c r="D1332" s="67">
        <v>121.5</v>
      </c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</row>
    <row r="1333" ht="12.75" customHeight="1">
      <c r="A1333" s="65" t="s">
        <v>14</v>
      </c>
      <c r="B1333" s="65" t="s">
        <v>15</v>
      </c>
      <c r="C1333" s="65"/>
      <c r="D1333" s="67">
        <v>81.0</v>
      </c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</row>
    <row r="1334" ht="12.75" customHeight="1">
      <c r="A1334" s="65" t="s">
        <v>14</v>
      </c>
      <c r="B1334" s="65" t="s">
        <v>15</v>
      </c>
      <c r="C1334" s="65"/>
      <c r="D1334" s="67">
        <v>81.0</v>
      </c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</row>
    <row r="1335" ht="12.75" customHeight="1">
      <c r="A1335" s="65" t="s">
        <v>14</v>
      </c>
      <c r="B1335" s="65" t="s">
        <v>15</v>
      </c>
      <c r="C1335" s="65"/>
      <c r="D1335" s="67">
        <v>72.0</v>
      </c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</row>
    <row r="1336" ht="12.75" customHeight="1">
      <c r="A1336" s="65" t="s">
        <v>14</v>
      </c>
      <c r="B1336" s="65" t="s">
        <v>15</v>
      </c>
      <c r="C1336" s="65"/>
      <c r="D1336" s="67">
        <v>67.5</v>
      </c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</row>
    <row r="1337" ht="12.75" customHeight="1">
      <c r="A1337" s="65" t="s">
        <v>14</v>
      </c>
      <c r="B1337" s="65" t="s">
        <v>15</v>
      </c>
      <c r="C1337" s="65"/>
      <c r="D1337" s="67">
        <v>63.0</v>
      </c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</row>
    <row r="1338" ht="12.75" customHeight="1">
      <c r="A1338" s="65" t="s">
        <v>14</v>
      </c>
      <c r="B1338" s="65" t="s">
        <v>15</v>
      </c>
      <c r="C1338" s="65"/>
      <c r="D1338" s="67">
        <v>54.0</v>
      </c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</row>
    <row r="1339" ht="12.75" customHeight="1">
      <c r="A1339" s="65" t="s">
        <v>14</v>
      </c>
      <c r="B1339" s="65" t="s">
        <v>15</v>
      </c>
      <c r="C1339" s="65"/>
      <c r="D1339" s="67">
        <v>40.5</v>
      </c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</row>
    <row r="1340" ht="12.75" customHeight="1">
      <c r="A1340" s="65" t="s">
        <v>14</v>
      </c>
      <c r="B1340" s="65" t="s">
        <v>15</v>
      </c>
      <c r="C1340" s="65"/>
      <c r="D1340" s="67">
        <v>36.0</v>
      </c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</row>
    <row r="1341" ht="12.75" customHeight="1">
      <c r="A1341" s="65" t="s">
        <v>14</v>
      </c>
      <c r="B1341" s="65" t="s">
        <v>15</v>
      </c>
      <c r="C1341" s="65"/>
      <c r="D1341" s="67">
        <v>27.0</v>
      </c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</row>
    <row r="1342" ht="12.75" customHeight="1">
      <c r="A1342" s="65" t="s">
        <v>14</v>
      </c>
      <c r="B1342" s="65" t="s">
        <v>15</v>
      </c>
      <c r="C1342" s="65"/>
      <c r="D1342" s="67">
        <v>27.0</v>
      </c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</row>
    <row r="1343" ht="12.75" customHeight="1">
      <c r="A1343" s="65" t="s">
        <v>14</v>
      </c>
      <c r="B1343" s="65" t="s">
        <v>15</v>
      </c>
      <c r="C1343" s="65"/>
      <c r="D1343" s="67">
        <v>22.5</v>
      </c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</row>
    <row r="1344" ht="12.75" customHeight="1">
      <c r="A1344" s="65" t="s">
        <v>14</v>
      </c>
      <c r="B1344" s="65" t="s">
        <v>15</v>
      </c>
      <c r="C1344" s="65"/>
      <c r="D1344" s="67">
        <v>18.0</v>
      </c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</row>
    <row r="1345" ht="12.75" customHeight="1">
      <c r="A1345" s="65" t="s">
        <v>14</v>
      </c>
      <c r="B1345" s="65" t="s">
        <v>15</v>
      </c>
      <c r="C1345" s="65"/>
      <c r="D1345" s="67">
        <v>13.5</v>
      </c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</row>
    <row r="1346" ht="12.75" customHeight="1">
      <c r="A1346" s="65" t="s">
        <v>14</v>
      </c>
      <c r="B1346" s="65" t="s">
        <v>15</v>
      </c>
      <c r="C1346" s="65"/>
      <c r="D1346" s="67">
        <v>9.0</v>
      </c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</row>
    <row r="1347" ht="12.75" customHeight="1">
      <c r="A1347" s="65" t="s">
        <v>14</v>
      </c>
      <c r="B1347" s="65" t="s">
        <v>15</v>
      </c>
      <c r="C1347" s="65"/>
      <c r="D1347" s="67">
        <v>4.5</v>
      </c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</row>
    <row r="1348" ht="12.75" customHeight="1">
      <c r="A1348" s="65" t="s">
        <v>14</v>
      </c>
      <c r="B1348" s="65" t="s">
        <v>15</v>
      </c>
      <c r="C1348" s="65"/>
      <c r="D1348" s="67">
        <v>0.0</v>
      </c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</row>
    <row r="1349" ht="12.75" customHeight="1">
      <c r="A1349" s="65" t="s">
        <v>14</v>
      </c>
      <c r="B1349" s="65" t="s">
        <v>15</v>
      </c>
      <c r="C1349" s="65"/>
      <c r="D1349" s="67">
        <v>-189.0</v>
      </c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</row>
    <row r="1350" ht="12.75" customHeight="1">
      <c r="A1350" s="65" t="s">
        <v>14</v>
      </c>
      <c r="B1350" s="65" t="s">
        <v>15</v>
      </c>
      <c r="C1350" s="65"/>
      <c r="D1350" s="67">
        <v>-211.5</v>
      </c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</row>
    <row r="1351" ht="12.75" customHeight="1">
      <c r="A1351" s="65" t="s">
        <v>14</v>
      </c>
      <c r="B1351" s="65" t="s">
        <v>15</v>
      </c>
      <c r="C1351" s="65"/>
      <c r="D1351" s="67">
        <v>0.0</v>
      </c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</row>
    <row r="1352" ht="12.75" customHeight="1">
      <c r="A1352" s="65" t="s">
        <v>14</v>
      </c>
      <c r="B1352" s="65" t="s">
        <v>15</v>
      </c>
      <c r="C1352" s="65"/>
      <c r="D1352" s="67">
        <v>3010041.0</v>
      </c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</row>
    <row r="1353" ht="12.75" customHeight="1">
      <c r="A1353" s="65" t="s">
        <v>14</v>
      </c>
      <c r="B1353" s="65" t="s">
        <v>15</v>
      </c>
      <c r="C1353" s="65"/>
      <c r="D1353" s="67">
        <v>0.0</v>
      </c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</row>
    <row r="1354" ht="12.75" customHeight="1">
      <c r="A1354" s="65" t="s">
        <v>14</v>
      </c>
      <c r="B1354" s="65" t="s">
        <v>15</v>
      </c>
      <c r="C1354" s="65"/>
      <c r="D1354" s="67">
        <v>1558939.5</v>
      </c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</row>
    <row r="1355" ht="12.75" customHeight="1">
      <c r="A1355" s="65" t="s">
        <v>14</v>
      </c>
      <c r="B1355" s="65" t="s">
        <v>15</v>
      </c>
      <c r="C1355" s="65"/>
      <c r="D1355" s="67">
        <v>576846.0</v>
      </c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</row>
    <row r="1356" ht="12.75" customHeight="1">
      <c r="A1356" s="65" t="s">
        <v>14</v>
      </c>
      <c r="B1356" s="65" t="s">
        <v>15</v>
      </c>
      <c r="C1356" s="65"/>
      <c r="D1356" s="67">
        <v>446517.0</v>
      </c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</row>
    <row r="1357" ht="12.75" customHeight="1">
      <c r="A1357" s="65" t="s">
        <v>14</v>
      </c>
      <c r="B1357" s="65" t="s">
        <v>15</v>
      </c>
      <c r="C1357" s="65"/>
      <c r="D1357" s="67">
        <v>412924.5</v>
      </c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</row>
    <row r="1358" ht="12.75" customHeight="1">
      <c r="A1358" s="65" t="s">
        <v>14</v>
      </c>
      <c r="B1358" s="65" t="s">
        <v>15</v>
      </c>
      <c r="C1358" s="65"/>
      <c r="D1358" s="67">
        <v>224014.5</v>
      </c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</row>
    <row r="1359" ht="12.75" customHeight="1">
      <c r="A1359" s="65" t="s">
        <v>14</v>
      </c>
      <c r="B1359" s="65" t="s">
        <v>15</v>
      </c>
      <c r="C1359" s="65"/>
      <c r="D1359" s="67">
        <v>186417.0</v>
      </c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</row>
    <row r="1360" ht="12.75" customHeight="1">
      <c r="A1360" s="65" t="s">
        <v>14</v>
      </c>
      <c r="B1360" s="65" t="s">
        <v>15</v>
      </c>
      <c r="C1360" s="65"/>
      <c r="D1360" s="67">
        <v>162729.0</v>
      </c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</row>
    <row r="1361" ht="12.75" customHeight="1">
      <c r="A1361" s="65" t="s">
        <v>14</v>
      </c>
      <c r="B1361" s="65" t="s">
        <v>15</v>
      </c>
      <c r="C1361" s="65"/>
      <c r="D1361" s="67">
        <v>148500.0</v>
      </c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</row>
    <row r="1362" ht="12.75" customHeight="1">
      <c r="A1362" s="65" t="s">
        <v>14</v>
      </c>
      <c r="B1362" s="65" t="s">
        <v>15</v>
      </c>
      <c r="C1362" s="65"/>
      <c r="D1362" s="67">
        <v>145125.0</v>
      </c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</row>
    <row r="1363" ht="12.75" customHeight="1">
      <c r="A1363" s="65" t="s">
        <v>14</v>
      </c>
      <c r="B1363" s="65" t="s">
        <v>15</v>
      </c>
      <c r="C1363" s="65"/>
      <c r="D1363" s="67">
        <v>128997.0</v>
      </c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</row>
    <row r="1364" ht="12.75" customHeight="1">
      <c r="A1364" s="65" t="s">
        <v>14</v>
      </c>
      <c r="B1364" s="65" t="s">
        <v>15</v>
      </c>
      <c r="C1364" s="65"/>
      <c r="D1364" s="67">
        <v>125653.5</v>
      </c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</row>
    <row r="1365" ht="12.75" customHeight="1">
      <c r="A1365" s="65" t="s">
        <v>14</v>
      </c>
      <c r="B1365" s="65" t="s">
        <v>15</v>
      </c>
      <c r="C1365" s="65"/>
      <c r="D1365" s="67">
        <v>124875.0</v>
      </c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</row>
    <row r="1366" ht="12.75" customHeight="1">
      <c r="A1366" s="65" t="s">
        <v>14</v>
      </c>
      <c r="B1366" s="65" t="s">
        <v>15</v>
      </c>
      <c r="C1366" s="65"/>
      <c r="D1366" s="67">
        <v>113544.0</v>
      </c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</row>
    <row r="1367" ht="12.75" customHeight="1">
      <c r="A1367" s="65" t="s">
        <v>14</v>
      </c>
      <c r="B1367" s="65" t="s">
        <v>15</v>
      </c>
      <c r="C1367" s="65"/>
      <c r="D1367" s="67">
        <v>113278.5</v>
      </c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</row>
    <row r="1368" ht="12.75" customHeight="1">
      <c r="A1368" s="65" t="s">
        <v>14</v>
      </c>
      <c r="B1368" s="65" t="s">
        <v>15</v>
      </c>
      <c r="C1368" s="65"/>
      <c r="D1368" s="67">
        <v>105579.0</v>
      </c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</row>
    <row r="1369" ht="12.75" customHeight="1">
      <c r="A1369" s="65" t="s">
        <v>14</v>
      </c>
      <c r="B1369" s="65" t="s">
        <v>15</v>
      </c>
      <c r="C1369" s="65"/>
      <c r="D1369" s="67">
        <v>101911.5</v>
      </c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</row>
    <row r="1370" ht="12.75" customHeight="1">
      <c r="A1370" s="65" t="s">
        <v>14</v>
      </c>
      <c r="B1370" s="65" t="s">
        <v>15</v>
      </c>
      <c r="C1370" s="65"/>
      <c r="D1370" s="67">
        <v>99688.5</v>
      </c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</row>
    <row r="1371" ht="12.75" customHeight="1">
      <c r="A1371" s="65" t="s">
        <v>14</v>
      </c>
      <c r="B1371" s="65" t="s">
        <v>15</v>
      </c>
      <c r="C1371" s="65"/>
      <c r="D1371" s="67">
        <v>97897.5</v>
      </c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</row>
    <row r="1372" ht="12.75" customHeight="1">
      <c r="A1372" s="65" t="s">
        <v>14</v>
      </c>
      <c r="B1372" s="65" t="s">
        <v>15</v>
      </c>
      <c r="C1372" s="65"/>
      <c r="D1372" s="67">
        <v>94626.0</v>
      </c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</row>
    <row r="1373" ht="12.75" customHeight="1">
      <c r="A1373" s="65" t="s">
        <v>14</v>
      </c>
      <c r="B1373" s="65" t="s">
        <v>15</v>
      </c>
      <c r="C1373" s="65"/>
      <c r="D1373" s="67">
        <v>90450.0</v>
      </c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</row>
    <row r="1374" ht="12.75" customHeight="1">
      <c r="A1374" s="65" t="s">
        <v>14</v>
      </c>
      <c r="B1374" s="65" t="s">
        <v>15</v>
      </c>
      <c r="C1374" s="65"/>
      <c r="D1374" s="67">
        <v>90000.0</v>
      </c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</row>
    <row r="1375" ht="12.75" customHeight="1">
      <c r="A1375" s="65" t="s">
        <v>14</v>
      </c>
      <c r="B1375" s="65" t="s">
        <v>15</v>
      </c>
      <c r="C1375" s="65"/>
      <c r="D1375" s="67">
        <v>82530.0</v>
      </c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</row>
    <row r="1376" ht="12.75" customHeight="1">
      <c r="A1376" s="65" t="s">
        <v>14</v>
      </c>
      <c r="B1376" s="65" t="s">
        <v>15</v>
      </c>
      <c r="C1376" s="65"/>
      <c r="D1376" s="67">
        <v>79677.0</v>
      </c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</row>
    <row r="1377" ht="12.75" customHeight="1">
      <c r="A1377" s="65" t="s">
        <v>14</v>
      </c>
      <c r="B1377" s="65" t="s">
        <v>15</v>
      </c>
      <c r="C1377" s="65"/>
      <c r="D1377" s="67">
        <v>78475.5</v>
      </c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</row>
    <row r="1378" ht="12.75" customHeight="1">
      <c r="A1378" s="65" t="s">
        <v>14</v>
      </c>
      <c r="B1378" s="65" t="s">
        <v>15</v>
      </c>
      <c r="C1378" s="65"/>
      <c r="D1378" s="67">
        <v>78147.0</v>
      </c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</row>
    <row r="1379" ht="12.75" customHeight="1">
      <c r="A1379" s="65" t="s">
        <v>14</v>
      </c>
      <c r="B1379" s="65" t="s">
        <v>15</v>
      </c>
      <c r="C1379" s="65"/>
      <c r="D1379" s="67">
        <v>75685.5</v>
      </c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</row>
    <row r="1380" ht="12.75" customHeight="1">
      <c r="A1380" s="65" t="s">
        <v>14</v>
      </c>
      <c r="B1380" s="65" t="s">
        <v>15</v>
      </c>
      <c r="C1380" s="65"/>
      <c r="D1380" s="67">
        <v>74250.0</v>
      </c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</row>
    <row r="1381" ht="12.75" customHeight="1">
      <c r="A1381" s="65" t="s">
        <v>14</v>
      </c>
      <c r="B1381" s="65" t="s">
        <v>15</v>
      </c>
      <c r="C1381" s="65"/>
      <c r="D1381" s="67">
        <v>72985.5</v>
      </c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</row>
    <row r="1382" ht="12.75" customHeight="1">
      <c r="A1382" s="65" t="s">
        <v>14</v>
      </c>
      <c r="B1382" s="65" t="s">
        <v>15</v>
      </c>
      <c r="C1382" s="65"/>
      <c r="D1382" s="67">
        <v>70875.0</v>
      </c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</row>
    <row r="1383" ht="12.75" customHeight="1">
      <c r="A1383" s="65" t="s">
        <v>14</v>
      </c>
      <c r="B1383" s="65" t="s">
        <v>15</v>
      </c>
      <c r="C1383" s="65"/>
      <c r="D1383" s="67">
        <v>70875.0</v>
      </c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</row>
    <row r="1384" ht="12.75" customHeight="1">
      <c r="A1384" s="65" t="s">
        <v>14</v>
      </c>
      <c r="B1384" s="65" t="s">
        <v>15</v>
      </c>
      <c r="C1384" s="65"/>
      <c r="D1384" s="67">
        <v>68283.0</v>
      </c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</row>
    <row r="1385" ht="12.75" customHeight="1">
      <c r="A1385" s="65" t="s">
        <v>14</v>
      </c>
      <c r="B1385" s="65" t="s">
        <v>15</v>
      </c>
      <c r="C1385" s="65"/>
      <c r="D1385" s="67">
        <v>67779.0</v>
      </c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</row>
    <row r="1386" ht="12.75" customHeight="1">
      <c r="A1386" s="65" t="s">
        <v>14</v>
      </c>
      <c r="B1386" s="65" t="s">
        <v>15</v>
      </c>
      <c r="C1386" s="65"/>
      <c r="D1386" s="67">
        <v>64786.5</v>
      </c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</row>
    <row r="1387" ht="12.75" customHeight="1">
      <c r="A1387" s="65" t="s">
        <v>14</v>
      </c>
      <c r="B1387" s="65" t="s">
        <v>15</v>
      </c>
      <c r="C1387" s="65"/>
      <c r="D1387" s="67">
        <v>64732.5</v>
      </c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</row>
    <row r="1388" ht="12.75" customHeight="1">
      <c r="A1388" s="65" t="s">
        <v>14</v>
      </c>
      <c r="B1388" s="65" t="s">
        <v>15</v>
      </c>
      <c r="C1388" s="65"/>
      <c r="D1388" s="67">
        <v>62181.0</v>
      </c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</row>
    <row r="1389" ht="12.75" customHeight="1">
      <c r="A1389" s="65" t="s">
        <v>14</v>
      </c>
      <c r="B1389" s="65" t="s">
        <v>15</v>
      </c>
      <c r="C1389" s="65"/>
      <c r="D1389" s="67">
        <v>58563.0</v>
      </c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</row>
    <row r="1390" ht="12.75" customHeight="1">
      <c r="A1390" s="65" t="s">
        <v>14</v>
      </c>
      <c r="B1390" s="65" t="s">
        <v>15</v>
      </c>
      <c r="C1390" s="65"/>
      <c r="D1390" s="67">
        <v>56254.5</v>
      </c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</row>
    <row r="1391" ht="12.75" customHeight="1">
      <c r="A1391" s="65" t="s">
        <v>14</v>
      </c>
      <c r="B1391" s="65" t="s">
        <v>15</v>
      </c>
      <c r="C1391" s="65"/>
      <c r="D1391" s="67">
        <v>55354.5</v>
      </c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</row>
    <row r="1392" ht="12.75" customHeight="1">
      <c r="A1392" s="65" t="s">
        <v>14</v>
      </c>
      <c r="B1392" s="65" t="s">
        <v>15</v>
      </c>
      <c r="C1392" s="65"/>
      <c r="D1392" s="67">
        <v>55125.0</v>
      </c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</row>
    <row r="1393" ht="12.75" customHeight="1">
      <c r="A1393" s="65" t="s">
        <v>14</v>
      </c>
      <c r="B1393" s="65" t="s">
        <v>15</v>
      </c>
      <c r="C1393" s="65"/>
      <c r="D1393" s="67">
        <v>54900.0</v>
      </c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</row>
    <row r="1394" ht="12.75" customHeight="1">
      <c r="A1394" s="65" t="s">
        <v>14</v>
      </c>
      <c r="B1394" s="65" t="s">
        <v>15</v>
      </c>
      <c r="C1394" s="65"/>
      <c r="D1394" s="67">
        <v>54000.0</v>
      </c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</row>
    <row r="1395" ht="12.75" customHeight="1">
      <c r="A1395" s="65" t="s">
        <v>14</v>
      </c>
      <c r="B1395" s="65" t="s">
        <v>15</v>
      </c>
      <c r="C1395" s="65"/>
      <c r="D1395" s="67">
        <v>54000.0</v>
      </c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</row>
    <row r="1396" ht="12.75" customHeight="1">
      <c r="A1396" s="65" t="s">
        <v>14</v>
      </c>
      <c r="B1396" s="65" t="s">
        <v>15</v>
      </c>
      <c r="C1396" s="65"/>
      <c r="D1396" s="67">
        <v>54000.0</v>
      </c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</row>
    <row r="1397" ht="12.75" customHeight="1">
      <c r="A1397" s="65" t="s">
        <v>14</v>
      </c>
      <c r="B1397" s="65" t="s">
        <v>15</v>
      </c>
      <c r="C1397" s="65"/>
      <c r="D1397" s="67">
        <v>54000.0</v>
      </c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</row>
    <row r="1398" ht="12.75" customHeight="1">
      <c r="A1398" s="65" t="s">
        <v>14</v>
      </c>
      <c r="B1398" s="65" t="s">
        <v>15</v>
      </c>
      <c r="C1398" s="65"/>
      <c r="D1398" s="67">
        <v>54000.0</v>
      </c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</row>
    <row r="1399" ht="12.75" customHeight="1">
      <c r="A1399" s="65" t="s">
        <v>14</v>
      </c>
      <c r="B1399" s="65" t="s">
        <v>15</v>
      </c>
      <c r="C1399" s="65"/>
      <c r="D1399" s="67">
        <v>53964.0</v>
      </c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</row>
    <row r="1400" ht="12.75" customHeight="1">
      <c r="A1400" s="65" t="s">
        <v>14</v>
      </c>
      <c r="B1400" s="65" t="s">
        <v>15</v>
      </c>
      <c r="C1400" s="65"/>
      <c r="D1400" s="67">
        <v>52353.0</v>
      </c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</row>
    <row r="1401" ht="12.75" customHeight="1">
      <c r="A1401" s="65" t="s">
        <v>14</v>
      </c>
      <c r="B1401" s="65" t="s">
        <v>15</v>
      </c>
      <c r="C1401" s="65"/>
      <c r="D1401" s="67">
        <v>50625.0</v>
      </c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</row>
    <row r="1402" ht="12.75" customHeight="1">
      <c r="A1402" s="65" t="s">
        <v>14</v>
      </c>
      <c r="B1402" s="65" t="s">
        <v>15</v>
      </c>
      <c r="C1402" s="65"/>
      <c r="D1402" s="67">
        <v>50175.0</v>
      </c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</row>
    <row r="1403" ht="12.75" customHeight="1">
      <c r="A1403" s="65" t="s">
        <v>14</v>
      </c>
      <c r="B1403" s="65" t="s">
        <v>15</v>
      </c>
      <c r="C1403" s="65"/>
      <c r="D1403" s="67">
        <v>49261.5</v>
      </c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</row>
    <row r="1404" ht="12.75" customHeight="1">
      <c r="A1404" s="65" t="s">
        <v>14</v>
      </c>
      <c r="B1404" s="65" t="s">
        <v>15</v>
      </c>
      <c r="C1404" s="65"/>
      <c r="D1404" s="67">
        <v>48064.5</v>
      </c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</row>
    <row r="1405" ht="12.75" customHeight="1">
      <c r="A1405" s="65" t="s">
        <v>14</v>
      </c>
      <c r="B1405" s="65" t="s">
        <v>15</v>
      </c>
      <c r="C1405" s="65"/>
      <c r="D1405" s="67">
        <v>47250.0</v>
      </c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</row>
    <row r="1406" ht="12.75" customHeight="1">
      <c r="A1406" s="65" t="s">
        <v>14</v>
      </c>
      <c r="B1406" s="65" t="s">
        <v>15</v>
      </c>
      <c r="C1406" s="65"/>
      <c r="D1406" s="67">
        <v>46678.5</v>
      </c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</row>
    <row r="1407" ht="12.75" customHeight="1">
      <c r="A1407" s="65" t="s">
        <v>14</v>
      </c>
      <c r="B1407" s="65" t="s">
        <v>15</v>
      </c>
      <c r="C1407" s="65"/>
      <c r="D1407" s="67">
        <v>45000.0</v>
      </c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</row>
    <row r="1408" ht="12.75" customHeight="1">
      <c r="A1408" s="65" t="s">
        <v>14</v>
      </c>
      <c r="B1408" s="65" t="s">
        <v>15</v>
      </c>
      <c r="C1408" s="65"/>
      <c r="D1408" s="67">
        <v>45000.0</v>
      </c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</row>
    <row r="1409" ht="12.75" customHeight="1">
      <c r="A1409" s="65" t="s">
        <v>14</v>
      </c>
      <c r="B1409" s="65" t="s">
        <v>15</v>
      </c>
      <c r="C1409" s="65"/>
      <c r="D1409" s="67">
        <v>44001.0</v>
      </c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</row>
    <row r="1410" ht="12.75" customHeight="1">
      <c r="A1410" s="65" t="s">
        <v>14</v>
      </c>
      <c r="B1410" s="65" t="s">
        <v>15</v>
      </c>
      <c r="C1410" s="65"/>
      <c r="D1410" s="67">
        <v>43933.5</v>
      </c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</row>
    <row r="1411" ht="12.75" customHeight="1">
      <c r="A1411" s="65" t="s">
        <v>14</v>
      </c>
      <c r="B1411" s="65" t="s">
        <v>15</v>
      </c>
      <c r="C1411" s="65"/>
      <c r="D1411" s="67">
        <v>43569.0</v>
      </c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</row>
    <row r="1412" ht="12.75" customHeight="1">
      <c r="A1412" s="65" t="s">
        <v>14</v>
      </c>
      <c r="B1412" s="65" t="s">
        <v>15</v>
      </c>
      <c r="C1412" s="65"/>
      <c r="D1412" s="67">
        <v>43123.5</v>
      </c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</row>
    <row r="1413" ht="12.75" customHeight="1">
      <c r="A1413" s="65" t="s">
        <v>14</v>
      </c>
      <c r="B1413" s="65" t="s">
        <v>15</v>
      </c>
      <c r="C1413" s="65"/>
      <c r="D1413" s="67">
        <v>41850.0</v>
      </c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</row>
    <row r="1414" ht="12.75" customHeight="1">
      <c r="A1414" s="65" t="s">
        <v>14</v>
      </c>
      <c r="B1414" s="65" t="s">
        <v>15</v>
      </c>
      <c r="C1414" s="65"/>
      <c r="D1414" s="67">
        <v>40500.0</v>
      </c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</row>
    <row r="1415" ht="12.75" customHeight="1">
      <c r="A1415" s="65" t="s">
        <v>14</v>
      </c>
      <c r="B1415" s="65" t="s">
        <v>15</v>
      </c>
      <c r="C1415" s="65"/>
      <c r="D1415" s="67">
        <v>40500.0</v>
      </c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</row>
    <row r="1416" ht="12.75" customHeight="1">
      <c r="A1416" s="65" t="s">
        <v>14</v>
      </c>
      <c r="B1416" s="65" t="s">
        <v>15</v>
      </c>
      <c r="C1416" s="65"/>
      <c r="D1416" s="67">
        <v>40275.0</v>
      </c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</row>
    <row r="1417" ht="12.75" customHeight="1">
      <c r="A1417" s="65" t="s">
        <v>14</v>
      </c>
      <c r="B1417" s="65" t="s">
        <v>15</v>
      </c>
      <c r="C1417" s="65"/>
      <c r="D1417" s="67">
        <v>39897.0</v>
      </c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</row>
    <row r="1418" ht="12.75" customHeight="1">
      <c r="A1418" s="65" t="s">
        <v>14</v>
      </c>
      <c r="B1418" s="65" t="s">
        <v>15</v>
      </c>
      <c r="C1418" s="65"/>
      <c r="D1418" s="67">
        <v>39244.5</v>
      </c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</row>
    <row r="1419" ht="12.75" customHeight="1">
      <c r="A1419" s="65" t="s">
        <v>14</v>
      </c>
      <c r="B1419" s="65" t="s">
        <v>15</v>
      </c>
      <c r="C1419" s="65"/>
      <c r="D1419" s="67">
        <v>39150.0</v>
      </c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</row>
    <row r="1420" ht="12.75" customHeight="1">
      <c r="A1420" s="65" t="s">
        <v>14</v>
      </c>
      <c r="B1420" s="65" t="s">
        <v>15</v>
      </c>
      <c r="C1420" s="65"/>
      <c r="D1420" s="67">
        <v>38853.0</v>
      </c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</row>
    <row r="1421" ht="12.75" customHeight="1">
      <c r="A1421" s="65" t="s">
        <v>14</v>
      </c>
      <c r="B1421" s="65" t="s">
        <v>15</v>
      </c>
      <c r="C1421" s="65"/>
      <c r="D1421" s="67">
        <v>37507.5</v>
      </c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</row>
    <row r="1422" ht="12.75" customHeight="1">
      <c r="A1422" s="65" t="s">
        <v>14</v>
      </c>
      <c r="B1422" s="65" t="s">
        <v>15</v>
      </c>
      <c r="C1422" s="65"/>
      <c r="D1422" s="67">
        <v>37125.0</v>
      </c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</row>
    <row r="1423" ht="12.75" customHeight="1">
      <c r="A1423" s="65" t="s">
        <v>14</v>
      </c>
      <c r="B1423" s="65" t="s">
        <v>15</v>
      </c>
      <c r="C1423" s="65"/>
      <c r="D1423" s="67">
        <v>37125.0</v>
      </c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</row>
    <row r="1424" ht="12.75" customHeight="1">
      <c r="A1424" s="65" t="s">
        <v>14</v>
      </c>
      <c r="B1424" s="65" t="s">
        <v>15</v>
      </c>
      <c r="C1424" s="65"/>
      <c r="D1424" s="67">
        <v>37057.5</v>
      </c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</row>
    <row r="1425" ht="12.75" customHeight="1">
      <c r="A1425" s="65" t="s">
        <v>14</v>
      </c>
      <c r="B1425" s="65" t="s">
        <v>15</v>
      </c>
      <c r="C1425" s="65"/>
      <c r="D1425" s="67">
        <v>36000.0</v>
      </c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</row>
    <row r="1426" ht="12.75" customHeight="1">
      <c r="A1426" s="65" t="s">
        <v>14</v>
      </c>
      <c r="B1426" s="65" t="s">
        <v>15</v>
      </c>
      <c r="C1426" s="65"/>
      <c r="D1426" s="67">
        <v>35932.5</v>
      </c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</row>
    <row r="1427" ht="12.75" customHeight="1">
      <c r="A1427" s="65" t="s">
        <v>14</v>
      </c>
      <c r="B1427" s="65" t="s">
        <v>15</v>
      </c>
      <c r="C1427" s="65"/>
      <c r="D1427" s="67">
        <v>35739.0</v>
      </c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</row>
    <row r="1428" ht="12.75" customHeight="1">
      <c r="A1428" s="65" t="s">
        <v>14</v>
      </c>
      <c r="B1428" s="65" t="s">
        <v>15</v>
      </c>
      <c r="C1428" s="65"/>
      <c r="D1428" s="67">
        <v>34996.5</v>
      </c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</row>
    <row r="1429" ht="12.75" customHeight="1">
      <c r="A1429" s="65" t="s">
        <v>14</v>
      </c>
      <c r="B1429" s="65" t="s">
        <v>15</v>
      </c>
      <c r="C1429" s="65"/>
      <c r="D1429" s="67">
        <v>34767.0</v>
      </c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</row>
    <row r="1430" ht="12.75" customHeight="1">
      <c r="A1430" s="65" t="s">
        <v>14</v>
      </c>
      <c r="B1430" s="65" t="s">
        <v>15</v>
      </c>
      <c r="C1430" s="65"/>
      <c r="D1430" s="67">
        <v>34537.5</v>
      </c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</row>
    <row r="1431" ht="12.75" customHeight="1">
      <c r="A1431" s="65" t="s">
        <v>14</v>
      </c>
      <c r="B1431" s="65" t="s">
        <v>15</v>
      </c>
      <c r="C1431" s="65"/>
      <c r="D1431" s="67">
        <v>34092.0</v>
      </c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</row>
    <row r="1432" ht="12.75" customHeight="1">
      <c r="A1432" s="65" t="s">
        <v>14</v>
      </c>
      <c r="B1432" s="65" t="s">
        <v>15</v>
      </c>
      <c r="C1432" s="65"/>
      <c r="D1432" s="67">
        <v>33750.0</v>
      </c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</row>
    <row r="1433" ht="12.75" customHeight="1">
      <c r="A1433" s="65" t="s">
        <v>14</v>
      </c>
      <c r="B1433" s="65" t="s">
        <v>15</v>
      </c>
      <c r="C1433" s="65"/>
      <c r="D1433" s="67">
        <v>31959.0</v>
      </c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</row>
    <row r="1434" ht="12.75" customHeight="1">
      <c r="A1434" s="65" t="s">
        <v>14</v>
      </c>
      <c r="B1434" s="65" t="s">
        <v>15</v>
      </c>
      <c r="C1434" s="65"/>
      <c r="D1434" s="67">
        <v>31545.0</v>
      </c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</row>
    <row r="1435" ht="12.75" customHeight="1">
      <c r="A1435" s="65" t="s">
        <v>14</v>
      </c>
      <c r="B1435" s="65" t="s">
        <v>15</v>
      </c>
      <c r="C1435" s="65"/>
      <c r="D1435" s="67">
        <v>31500.0</v>
      </c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</row>
    <row r="1436" ht="12.75" customHeight="1">
      <c r="A1436" s="65" t="s">
        <v>14</v>
      </c>
      <c r="B1436" s="65" t="s">
        <v>15</v>
      </c>
      <c r="C1436" s="65"/>
      <c r="D1436" s="67">
        <v>31378.5</v>
      </c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</row>
    <row r="1437" ht="12.75" customHeight="1">
      <c r="A1437" s="65" t="s">
        <v>14</v>
      </c>
      <c r="B1437" s="65" t="s">
        <v>15</v>
      </c>
      <c r="C1437" s="65"/>
      <c r="D1437" s="67">
        <v>30847.5</v>
      </c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</row>
    <row r="1438" ht="12.75" customHeight="1">
      <c r="A1438" s="65" t="s">
        <v>14</v>
      </c>
      <c r="B1438" s="65" t="s">
        <v>15</v>
      </c>
      <c r="C1438" s="65"/>
      <c r="D1438" s="67">
        <v>30375.0</v>
      </c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</row>
    <row r="1439" ht="12.75" customHeight="1">
      <c r="A1439" s="65" t="s">
        <v>14</v>
      </c>
      <c r="B1439" s="65" t="s">
        <v>15</v>
      </c>
      <c r="C1439" s="65"/>
      <c r="D1439" s="67">
        <v>30348.0</v>
      </c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</row>
    <row r="1440" ht="12.75" customHeight="1">
      <c r="A1440" s="65" t="s">
        <v>14</v>
      </c>
      <c r="B1440" s="65" t="s">
        <v>15</v>
      </c>
      <c r="C1440" s="65"/>
      <c r="D1440" s="67">
        <v>27814.5</v>
      </c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</row>
    <row r="1441" ht="12.75" customHeight="1">
      <c r="A1441" s="65" t="s">
        <v>14</v>
      </c>
      <c r="B1441" s="65" t="s">
        <v>15</v>
      </c>
      <c r="C1441" s="65"/>
      <c r="D1441" s="67">
        <v>27594.0</v>
      </c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</row>
    <row r="1442" ht="12.75" customHeight="1">
      <c r="A1442" s="65" t="s">
        <v>14</v>
      </c>
      <c r="B1442" s="65" t="s">
        <v>15</v>
      </c>
      <c r="C1442" s="65"/>
      <c r="D1442" s="67">
        <v>27360.0</v>
      </c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</row>
    <row r="1443" ht="12.75" customHeight="1">
      <c r="A1443" s="65" t="s">
        <v>14</v>
      </c>
      <c r="B1443" s="65" t="s">
        <v>15</v>
      </c>
      <c r="C1443" s="65"/>
      <c r="D1443" s="67">
        <v>27076.5</v>
      </c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</row>
    <row r="1444" ht="12.75" customHeight="1">
      <c r="A1444" s="65" t="s">
        <v>14</v>
      </c>
      <c r="B1444" s="65" t="s">
        <v>15</v>
      </c>
      <c r="C1444" s="65"/>
      <c r="D1444" s="67">
        <v>27000.0</v>
      </c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</row>
    <row r="1445" ht="12.75" customHeight="1">
      <c r="A1445" s="65" t="s">
        <v>14</v>
      </c>
      <c r="B1445" s="65" t="s">
        <v>15</v>
      </c>
      <c r="C1445" s="65"/>
      <c r="D1445" s="67">
        <v>27000.0</v>
      </c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</row>
    <row r="1446" ht="12.75" customHeight="1">
      <c r="A1446" s="65" t="s">
        <v>14</v>
      </c>
      <c r="B1446" s="65" t="s">
        <v>15</v>
      </c>
      <c r="C1446" s="65"/>
      <c r="D1446" s="67">
        <v>27000.0</v>
      </c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</row>
    <row r="1447" ht="12.75" customHeight="1">
      <c r="A1447" s="65" t="s">
        <v>14</v>
      </c>
      <c r="B1447" s="65" t="s">
        <v>15</v>
      </c>
      <c r="C1447" s="65"/>
      <c r="D1447" s="67">
        <v>27000.0</v>
      </c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</row>
    <row r="1448" ht="12.75" customHeight="1">
      <c r="A1448" s="65" t="s">
        <v>14</v>
      </c>
      <c r="B1448" s="65" t="s">
        <v>15</v>
      </c>
      <c r="C1448" s="65"/>
      <c r="D1448" s="67">
        <v>27000.0</v>
      </c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</row>
    <row r="1449" ht="12.75" customHeight="1">
      <c r="A1449" s="65" t="s">
        <v>14</v>
      </c>
      <c r="B1449" s="65" t="s">
        <v>15</v>
      </c>
      <c r="C1449" s="65"/>
      <c r="D1449" s="67">
        <v>27000.0</v>
      </c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</row>
    <row r="1450" ht="12.75" customHeight="1">
      <c r="A1450" s="65" t="s">
        <v>14</v>
      </c>
      <c r="B1450" s="65" t="s">
        <v>15</v>
      </c>
      <c r="C1450" s="65"/>
      <c r="D1450" s="67">
        <v>27000.0</v>
      </c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</row>
    <row r="1451" ht="12.75" customHeight="1">
      <c r="A1451" s="65" t="s">
        <v>14</v>
      </c>
      <c r="B1451" s="65" t="s">
        <v>15</v>
      </c>
      <c r="C1451" s="65"/>
      <c r="D1451" s="67">
        <v>27000.0</v>
      </c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</row>
    <row r="1452" ht="12.75" customHeight="1">
      <c r="A1452" s="65" t="s">
        <v>14</v>
      </c>
      <c r="B1452" s="65" t="s">
        <v>15</v>
      </c>
      <c r="C1452" s="65"/>
      <c r="D1452" s="67">
        <v>27000.0</v>
      </c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</row>
    <row r="1453" ht="12.75" customHeight="1">
      <c r="A1453" s="65" t="s">
        <v>14</v>
      </c>
      <c r="B1453" s="65" t="s">
        <v>15</v>
      </c>
      <c r="C1453" s="65"/>
      <c r="D1453" s="67">
        <v>27000.0</v>
      </c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</row>
    <row r="1454" ht="12.75" customHeight="1">
      <c r="A1454" s="65" t="s">
        <v>14</v>
      </c>
      <c r="B1454" s="65" t="s">
        <v>15</v>
      </c>
      <c r="C1454" s="65"/>
      <c r="D1454" s="67">
        <v>27000.0</v>
      </c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</row>
    <row r="1455" ht="12.75" customHeight="1">
      <c r="A1455" s="65" t="s">
        <v>14</v>
      </c>
      <c r="B1455" s="65" t="s">
        <v>15</v>
      </c>
      <c r="C1455" s="65"/>
      <c r="D1455" s="67">
        <v>27000.0</v>
      </c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</row>
    <row r="1456" ht="12.75" customHeight="1">
      <c r="A1456" s="65" t="s">
        <v>14</v>
      </c>
      <c r="B1456" s="65" t="s">
        <v>15</v>
      </c>
      <c r="C1456" s="65"/>
      <c r="D1456" s="67">
        <v>27000.0</v>
      </c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</row>
    <row r="1457" ht="12.75" customHeight="1">
      <c r="A1457" s="65" t="s">
        <v>14</v>
      </c>
      <c r="B1457" s="65" t="s">
        <v>15</v>
      </c>
      <c r="C1457" s="65"/>
      <c r="D1457" s="67">
        <v>27000.0</v>
      </c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</row>
    <row r="1458" ht="12.75" customHeight="1">
      <c r="A1458" s="65" t="s">
        <v>14</v>
      </c>
      <c r="B1458" s="65" t="s">
        <v>15</v>
      </c>
      <c r="C1458" s="65"/>
      <c r="D1458" s="67">
        <v>27000.0</v>
      </c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</row>
    <row r="1459" ht="12.75" customHeight="1">
      <c r="A1459" s="65" t="s">
        <v>14</v>
      </c>
      <c r="B1459" s="65" t="s">
        <v>15</v>
      </c>
      <c r="C1459" s="65"/>
      <c r="D1459" s="67">
        <v>27000.0</v>
      </c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</row>
    <row r="1460" ht="12.75" customHeight="1">
      <c r="A1460" s="65" t="s">
        <v>14</v>
      </c>
      <c r="B1460" s="65" t="s">
        <v>15</v>
      </c>
      <c r="C1460" s="65"/>
      <c r="D1460" s="67">
        <v>27000.0</v>
      </c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</row>
    <row r="1461" ht="12.75" customHeight="1">
      <c r="A1461" s="65" t="s">
        <v>14</v>
      </c>
      <c r="B1461" s="65" t="s">
        <v>15</v>
      </c>
      <c r="C1461" s="65"/>
      <c r="D1461" s="67">
        <v>27000.0</v>
      </c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</row>
    <row r="1462" ht="12.75" customHeight="1">
      <c r="A1462" s="65" t="s">
        <v>14</v>
      </c>
      <c r="B1462" s="65" t="s">
        <v>15</v>
      </c>
      <c r="C1462" s="65"/>
      <c r="D1462" s="67">
        <v>27000.0</v>
      </c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</row>
    <row r="1463" ht="12.75" customHeight="1">
      <c r="A1463" s="65" t="s">
        <v>14</v>
      </c>
      <c r="B1463" s="65" t="s">
        <v>15</v>
      </c>
      <c r="C1463" s="65"/>
      <c r="D1463" s="67">
        <v>27000.0</v>
      </c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</row>
    <row r="1464" ht="12.75" customHeight="1">
      <c r="A1464" s="65" t="s">
        <v>14</v>
      </c>
      <c r="B1464" s="65" t="s">
        <v>15</v>
      </c>
      <c r="C1464" s="65"/>
      <c r="D1464" s="67">
        <v>27000.0</v>
      </c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</row>
    <row r="1465" ht="12.75" customHeight="1">
      <c r="A1465" s="65" t="s">
        <v>14</v>
      </c>
      <c r="B1465" s="65" t="s">
        <v>15</v>
      </c>
      <c r="C1465" s="65"/>
      <c r="D1465" s="67">
        <v>27000.0</v>
      </c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</row>
    <row r="1466" ht="12.75" customHeight="1">
      <c r="A1466" s="65" t="s">
        <v>14</v>
      </c>
      <c r="B1466" s="65" t="s">
        <v>15</v>
      </c>
      <c r="C1466" s="65"/>
      <c r="D1466" s="67">
        <v>27000.0</v>
      </c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</row>
    <row r="1467" ht="12.75" customHeight="1">
      <c r="A1467" s="65" t="s">
        <v>14</v>
      </c>
      <c r="B1467" s="65" t="s">
        <v>15</v>
      </c>
      <c r="C1467" s="65"/>
      <c r="D1467" s="67">
        <v>27000.0</v>
      </c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</row>
    <row r="1468" ht="12.75" customHeight="1">
      <c r="A1468" s="65" t="s">
        <v>14</v>
      </c>
      <c r="B1468" s="65" t="s">
        <v>15</v>
      </c>
      <c r="C1468" s="65"/>
      <c r="D1468" s="67">
        <v>27000.0</v>
      </c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</row>
    <row r="1469" ht="12.75" customHeight="1">
      <c r="A1469" s="65" t="s">
        <v>14</v>
      </c>
      <c r="B1469" s="65" t="s">
        <v>15</v>
      </c>
      <c r="C1469" s="65"/>
      <c r="D1469" s="67">
        <v>27000.0</v>
      </c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</row>
    <row r="1470" ht="12.75" customHeight="1">
      <c r="A1470" s="65" t="s">
        <v>14</v>
      </c>
      <c r="B1470" s="65" t="s">
        <v>15</v>
      </c>
      <c r="C1470" s="65"/>
      <c r="D1470" s="67">
        <v>27000.0</v>
      </c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</row>
    <row r="1471" ht="12.75" customHeight="1">
      <c r="A1471" s="65" t="s">
        <v>14</v>
      </c>
      <c r="B1471" s="65" t="s">
        <v>15</v>
      </c>
      <c r="C1471" s="65"/>
      <c r="D1471" s="67">
        <v>27000.0</v>
      </c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</row>
    <row r="1472" ht="12.75" customHeight="1">
      <c r="A1472" s="65" t="s">
        <v>14</v>
      </c>
      <c r="B1472" s="65" t="s">
        <v>15</v>
      </c>
      <c r="C1472" s="65"/>
      <c r="D1472" s="67">
        <v>27000.0</v>
      </c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</row>
    <row r="1473" ht="12.75" customHeight="1">
      <c r="A1473" s="65" t="s">
        <v>14</v>
      </c>
      <c r="B1473" s="65" t="s">
        <v>15</v>
      </c>
      <c r="C1473" s="65"/>
      <c r="D1473" s="67">
        <v>27000.0</v>
      </c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</row>
    <row r="1474" ht="12.75" customHeight="1">
      <c r="A1474" s="65" t="s">
        <v>14</v>
      </c>
      <c r="B1474" s="65" t="s">
        <v>15</v>
      </c>
      <c r="C1474" s="65"/>
      <c r="D1474" s="67">
        <v>27000.0</v>
      </c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</row>
    <row r="1475" ht="12.75" customHeight="1">
      <c r="A1475" s="65" t="s">
        <v>14</v>
      </c>
      <c r="B1475" s="65" t="s">
        <v>15</v>
      </c>
      <c r="C1475" s="65"/>
      <c r="D1475" s="67">
        <v>27000.0</v>
      </c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</row>
    <row r="1476" ht="12.75" customHeight="1">
      <c r="A1476" s="65" t="s">
        <v>14</v>
      </c>
      <c r="B1476" s="65" t="s">
        <v>15</v>
      </c>
      <c r="C1476" s="65"/>
      <c r="D1476" s="67">
        <v>27000.0</v>
      </c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</row>
    <row r="1477" ht="12.75" customHeight="1">
      <c r="A1477" s="65" t="s">
        <v>14</v>
      </c>
      <c r="B1477" s="65" t="s">
        <v>15</v>
      </c>
      <c r="C1477" s="65"/>
      <c r="D1477" s="67">
        <v>27000.0</v>
      </c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</row>
    <row r="1478" ht="12.75" customHeight="1">
      <c r="A1478" s="65" t="s">
        <v>14</v>
      </c>
      <c r="B1478" s="65" t="s">
        <v>15</v>
      </c>
      <c r="C1478" s="65"/>
      <c r="D1478" s="67">
        <v>27000.0</v>
      </c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</row>
    <row r="1479" ht="12.75" customHeight="1">
      <c r="A1479" s="65" t="s">
        <v>14</v>
      </c>
      <c r="B1479" s="65" t="s">
        <v>15</v>
      </c>
      <c r="C1479" s="65"/>
      <c r="D1479" s="67">
        <v>24750.0</v>
      </c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</row>
    <row r="1480" ht="12.75" customHeight="1">
      <c r="A1480" s="65" t="s">
        <v>14</v>
      </c>
      <c r="B1480" s="65" t="s">
        <v>15</v>
      </c>
      <c r="C1480" s="65"/>
      <c r="D1480" s="67">
        <v>24750.0</v>
      </c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</row>
    <row r="1481" ht="12.75" customHeight="1">
      <c r="A1481" s="65" t="s">
        <v>14</v>
      </c>
      <c r="B1481" s="65" t="s">
        <v>15</v>
      </c>
      <c r="C1481" s="65"/>
      <c r="D1481" s="67">
        <v>23868.0</v>
      </c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</row>
    <row r="1482" ht="12.75" customHeight="1">
      <c r="A1482" s="65" t="s">
        <v>14</v>
      </c>
      <c r="B1482" s="65" t="s">
        <v>15</v>
      </c>
      <c r="C1482" s="65"/>
      <c r="D1482" s="67">
        <v>23625.0</v>
      </c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</row>
    <row r="1483" ht="12.75" customHeight="1">
      <c r="A1483" s="65" t="s">
        <v>14</v>
      </c>
      <c r="B1483" s="65" t="s">
        <v>15</v>
      </c>
      <c r="C1483" s="65"/>
      <c r="D1483" s="67">
        <v>23625.0</v>
      </c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</row>
    <row r="1484" ht="12.75" customHeight="1">
      <c r="A1484" s="65" t="s">
        <v>14</v>
      </c>
      <c r="B1484" s="65" t="s">
        <v>15</v>
      </c>
      <c r="C1484" s="65"/>
      <c r="D1484" s="67">
        <v>23625.0</v>
      </c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</row>
    <row r="1485" ht="12.75" customHeight="1">
      <c r="A1485" s="65" t="s">
        <v>14</v>
      </c>
      <c r="B1485" s="65" t="s">
        <v>15</v>
      </c>
      <c r="C1485" s="65"/>
      <c r="D1485" s="67">
        <v>23584.5</v>
      </c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</row>
    <row r="1486" ht="12.75" customHeight="1">
      <c r="A1486" s="65" t="s">
        <v>14</v>
      </c>
      <c r="B1486" s="65" t="s">
        <v>15</v>
      </c>
      <c r="C1486" s="65"/>
      <c r="D1486" s="67">
        <v>23229.0</v>
      </c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</row>
    <row r="1487" ht="12.75" customHeight="1">
      <c r="A1487" s="65" t="s">
        <v>14</v>
      </c>
      <c r="B1487" s="65" t="s">
        <v>15</v>
      </c>
      <c r="C1487" s="65"/>
      <c r="D1487" s="67">
        <v>23112.0</v>
      </c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</row>
    <row r="1488" ht="12.75" customHeight="1">
      <c r="A1488" s="65" t="s">
        <v>14</v>
      </c>
      <c r="B1488" s="65" t="s">
        <v>15</v>
      </c>
      <c r="C1488" s="65"/>
      <c r="D1488" s="67">
        <v>22927.5</v>
      </c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</row>
    <row r="1489" ht="12.75" customHeight="1">
      <c r="A1489" s="65" t="s">
        <v>14</v>
      </c>
      <c r="B1489" s="65" t="s">
        <v>15</v>
      </c>
      <c r="C1489" s="65"/>
      <c r="D1489" s="67">
        <v>20736.0</v>
      </c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</row>
    <row r="1490" ht="12.75" customHeight="1">
      <c r="A1490" s="65" t="s">
        <v>14</v>
      </c>
      <c r="B1490" s="65" t="s">
        <v>15</v>
      </c>
      <c r="C1490" s="65"/>
      <c r="D1490" s="67">
        <v>20632.5</v>
      </c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</row>
    <row r="1491" ht="12.75" customHeight="1">
      <c r="A1491" s="65" t="s">
        <v>14</v>
      </c>
      <c r="B1491" s="65" t="s">
        <v>15</v>
      </c>
      <c r="C1491" s="65"/>
      <c r="D1491" s="67">
        <v>20250.0</v>
      </c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</row>
    <row r="1492" ht="12.75" customHeight="1">
      <c r="A1492" s="65" t="s">
        <v>14</v>
      </c>
      <c r="B1492" s="65" t="s">
        <v>15</v>
      </c>
      <c r="C1492" s="65"/>
      <c r="D1492" s="67">
        <v>20250.0</v>
      </c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</row>
    <row r="1493" ht="12.75" customHeight="1">
      <c r="A1493" s="65" t="s">
        <v>14</v>
      </c>
      <c r="B1493" s="65" t="s">
        <v>15</v>
      </c>
      <c r="C1493" s="65"/>
      <c r="D1493" s="67">
        <v>20250.0</v>
      </c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</row>
    <row r="1494" ht="12.75" customHeight="1">
      <c r="A1494" s="65" t="s">
        <v>14</v>
      </c>
      <c r="B1494" s="65" t="s">
        <v>15</v>
      </c>
      <c r="C1494" s="65"/>
      <c r="D1494" s="67">
        <v>20250.0</v>
      </c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</row>
    <row r="1495" ht="12.75" customHeight="1">
      <c r="A1495" s="65" t="s">
        <v>14</v>
      </c>
      <c r="B1495" s="65" t="s">
        <v>15</v>
      </c>
      <c r="C1495" s="65"/>
      <c r="D1495" s="67">
        <v>20250.0</v>
      </c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</row>
    <row r="1496" ht="12.75" customHeight="1">
      <c r="A1496" s="65" t="s">
        <v>14</v>
      </c>
      <c r="B1496" s="65" t="s">
        <v>15</v>
      </c>
      <c r="C1496" s="65"/>
      <c r="D1496" s="67">
        <v>20250.0</v>
      </c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</row>
    <row r="1497" ht="12.75" customHeight="1">
      <c r="A1497" s="65" t="s">
        <v>14</v>
      </c>
      <c r="B1497" s="65" t="s">
        <v>15</v>
      </c>
      <c r="C1497" s="65"/>
      <c r="D1497" s="67">
        <v>19845.0</v>
      </c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</row>
    <row r="1498" ht="12.75" customHeight="1">
      <c r="A1498" s="65" t="s">
        <v>14</v>
      </c>
      <c r="B1498" s="65" t="s">
        <v>15</v>
      </c>
      <c r="C1498" s="65"/>
      <c r="D1498" s="67">
        <v>19174.5</v>
      </c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</row>
    <row r="1499" ht="12.75" customHeight="1">
      <c r="A1499" s="65" t="s">
        <v>14</v>
      </c>
      <c r="B1499" s="65" t="s">
        <v>15</v>
      </c>
      <c r="C1499" s="65"/>
      <c r="D1499" s="67">
        <v>18378.0</v>
      </c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</row>
    <row r="1500" ht="12.75" customHeight="1">
      <c r="A1500" s="65" t="s">
        <v>14</v>
      </c>
      <c r="B1500" s="65" t="s">
        <v>15</v>
      </c>
      <c r="C1500" s="65"/>
      <c r="D1500" s="67">
        <v>18274.5</v>
      </c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</row>
    <row r="1501" ht="12.75" customHeight="1">
      <c r="A1501" s="65" t="s">
        <v>14</v>
      </c>
      <c r="B1501" s="65" t="s">
        <v>15</v>
      </c>
      <c r="C1501" s="65"/>
      <c r="D1501" s="67">
        <v>18261.0</v>
      </c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</row>
    <row r="1502" ht="12.75" customHeight="1">
      <c r="A1502" s="65" t="s">
        <v>14</v>
      </c>
      <c r="B1502" s="65" t="s">
        <v>15</v>
      </c>
      <c r="C1502" s="65"/>
      <c r="D1502" s="67">
        <v>18000.0</v>
      </c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</row>
    <row r="1503" ht="12.75" customHeight="1">
      <c r="A1503" s="65" t="s">
        <v>14</v>
      </c>
      <c r="B1503" s="65" t="s">
        <v>15</v>
      </c>
      <c r="C1503" s="65"/>
      <c r="D1503" s="67">
        <v>18000.0</v>
      </c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</row>
    <row r="1504" ht="12.75" customHeight="1">
      <c r="A1504" s="65" t="s">
        <v>14</v>
      </c>
      <c r="B1504" s="65" t="s">
        <v>15</v>
      </c>
      <c r="C1504" s="65"/>
      <c r="D1504" s="67">
        <v>17550.0</v>
      </c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</row>
    <row r="1505" ht="12.75" customHeight="1">
      <c r="A1505" s="65" t="s">
        <v>14</v>
      </c>
      <c r="B1505" s="65" t="s">
        <v>15</v>
      </c>
      <c r="C1505" s="65"/>
      <c r="D1505" s="67">
        <v>17550.0</v>
      </c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</row>
    <row r="1506" ht="12.75" customHeight="1">
      <c r="A1506" s="65" t="s">
        <v>14</v>
      </c>
      <c r="B1506" s="65" t="s">
        <v>15</v>
      </c>
      <c r="C1506" s="65"/>
      <c r="D1506" s="67">
        <v>16875.0</v>
      </c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</row>
    <row r="1507" ht="12.75" customHeight="1">
      <c r="A1507" s="65" t="s">
        <v>14</v>
      </c>
      <c r="B1507" s="65" t="s">
        <v>15</v>
      </c>
      <c r="C1507" s="65"/>
      <c r="D1507" s="67">
        <v>16875.0</v>
      </c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</row>
    <row r="1508" ht="12.75" customHeight="1">
      <c r="A1508" s="65" t="s">
        <v>14</v>
      </c>
      <c r="B1508" s="65" t="s">
        <v>15</v>
      </c>
      <c r="C1508" s="65"/>
      <c r="D1508" s="67">
        <v>16465.5</v>
      </c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</row>
    <row r="1509" ht="12.75" customHeight="1">
      <c r="A1509" s="65" t="s">
        <v>14</v>
      </c>
      <c r="B1509" s="65" t="s">
        <v>15</v>
      </c>
      <c r="C1509" s="65"/>
      <c r="D1509" s="67">
        <v>16200.0</v>
      </c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</row>
    <row r="1510" ht="12.75" customHeight="1">
      <c r="A1510" s="65" t="s">
        <v>14</v>
      </c>
      <c r="B1510" s="65" t="s">
        <v>15</v>
      </c>
      <c r="C1510" s="65"/>
      <c r="D1510" s="67">
        <v>15916.5</v>
      </c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</row>
    <row r="1511" ht="12.75" customHeight="1">
      <c r="A1511" s="65" t="s">
        <v>14</v>
      </c>
      <c r="B1511" s="65" t="s">
        <v>15</v>
      </c>
      <c r="C1511" s="65"/>
      <c r="D1511" s="67">
        <v>15340.5</v>
      </c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</row>
    <row r="1512" ht="12.75" customHeight="1">
      <c r="A1512" s="65" t="s">
        <v>14</v>
      </c>
      <c r="B1512" s="65" t="s">
        <v>15</v>
      </c>
      <c r="C1512" s="65"/>
      <c r="D1512" s="67">
        <v>15043.5</v>
      </c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</row>
    <row r="1513" ht="12.75" customHeight="1">
      <c r="A1513" s="65" t="s">
        <v>14</v>
      </c>
      <c r="B1513" s="65" t="s">
        <v>15</v>
      </c>
      <c r="C1513" s="65"/>
      <c r="D1513" s="67">
        <v>14805.0</v>
      </c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</row>
    <row r="1514" ht="12.75" customHeight="1">
      <c r="A1514" s="65" t="s">
        <v>14</v>
      </c>
      <c r="B1514" s="65" t="s">
        <v>15</v>
      </c>
      <c r="C1514" s="65"/>
      <c r="D1514" s="67">
        <v>14625.0</v>
      </c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</row>
    <row r="1515" ht="12.75" customHeight="1">
      <c r="A1515" s="65" t="s">
        <v>14</v>
      </c>
      <c r="B1515" s="65" t="s">
        <v>15</v>
      </c>
      <c r="C1515" s="65"/>
      <c r="D1515" s="67">
        <v>13819.5</v>
      </c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</row>
    <row r="1516" ht="12.75" customHeight="1">
      <c r="A1516" s="65" t="s">
        <v>14</v>
      </c>
      <c r="B1516" s="65" t="s">
        <v>15</v>
      </c>
      <c r="C1516" s="65"/>
      <c r="D1516" s="67">
        <v>13675.5</v>
      </c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</row>
    <row r="1517" ht="12.75" customHeight="1">
      <c r="A1517" s="65" t="s">
        <v>14</v>
      </c>
      <c r="B1517" s="65" t="s">
        <v>15</v>
      </c>
      <c r="C1517" s="65"/>
      <c r="D1517" s="67">
        <v>13500.0</v>
      </c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</row>
    <row r="1518" ht="12.75" customHeight="1">
      <c r="A1518" s="65" t="s">
        <v>14</v>
      </c>
      <c r="B1518" s="65" t="s">
        <v>15</v>
      </c>
      <c r="C1518" s="65"/>
      <c r="D1518" s="67">
        <v>13500.0</v>
      </c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</row>
    <row r="1519" ht="12.75" customHeight="1">
      <c r="A1519" s="65" t="s">
        <v>14</v>
      </c>
      <c r="B1519" s="65" t="s">
        <v>15</v>
      </c>
      <c r="C1519" s="65"/>
      <c r="D1519" s="67">
        <v>13500.0</v>
      </c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</row>
    <row r="1520" ht="12.75" customHeight="1">
      <c r="A1520" s="65" t="s">
        <v>14</v>
      </c>
      <c r="B1520" s="65" t="s">
        <v>15</v>
      </c>
      <c r="C1520" s="65"/>
      <c r="D1520" s="67">
        <v>13500.0</v>
      </c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</row>
    <row r="1521" ht="12.75" customHeight="1">
      <c r="A1521" s="65" t="s">
        <v>14</v>
      </c>
      <c r="B1521" s="65" t="s">
        <v>15</v>
      </c>
      <c r="C1521" s="65"/>
      <c r="D1521" s="67">
        <v>13500.0</v>
      </c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</row>
    <row r="1522" ht="12.75" customHeight="1">
      <c r="A1522" s="65" t="s">
        <v>14</v>
      </c>
      <c r="B1522" s="65" t="s">
        <v>15</v>
      </c>
      <c r="C1522" s="65"/>
      <c r="D1522" s="67">
        <v>13500.0</v>
      </c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</row>
    <row r="1523" ht="12.75" customHeight="1">
      <c r="A1523" s="65" t="s">
        <v>14</v>
      </c>
      <c r="B1523" s="65" t="s">
        <v>15</v>
      </c>
      <c r="C1523" s="65"/>
      <c r="D1523" s="67">
        <v>13500.0</v>
      </c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</row>
    <row r="1524" ht="12.75" customHeight="1">
      <c r="A1524" s="65" t="s">
        <v>14</v>
      </c>
      <c r="B1524" s="65" t="s">
        <v>15</v>
      </c>
      <c r="C1524" s="65"/>
      <c r="D1524" s="67">
        <v>13500.0</v>
      </c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</row>
    <row r="1525" ht="12.75" customHeight="1">
      <c r="A1525" s="65" t="s">
        <v>14</v>
      </c>
      <c r="B1525" s="65" t="s">
        <v>15</v>
      </c>
      <c r="C1525" s="65"/>
      <c r="D1525" s="67">
        <v>13500.0</v>
      </c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</row>
    <row r="1526" ht="12.75" customHeight="1">
      <c r="A1526" s="65" t="s">
        <v>14</v>
      </c>
      <c r="B1526" s="65" t="s">
        <v>15</v>
      </c>
      <c r="C1526" s="65"/>
      <c r="D1526" s="67">
        <v>13500.0</v>
      </c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</row>
    <row r="1527" ht="12.75" customHeight="1">
      <c r="A1527" s="65" t="s">
        <v>14</v>
      </c>
      <c r="B1527" s="65" t="s">
        <v>15</v>
      </c>
      <c r="C1527" s="65"/>
      <c r="D1527" s="67">
        <v>13500.0</v>
      </c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</row>
    <row r="1528" ht="12.75" customHeight="1">
      <c r="A1528" s="65" t="s">
        <v>14</v>
      </c>
      <c r="B1528" s="65" t="s">
        <v>15</v>
      </c>
      <c r="C1528" s="65"/>
      <c r="D1528" s="67">
        <v>13500.0</v>
      </c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</row>
    <row r="1529" ht="12.75" customHeight="1">
      <c r="A1529" s="65" t="s">
        <v>14</v>
      </c>
      <c r="B1529" s="65" t="s">
        <v>15</v>
      </c>
      <c r="C1529" s="65"/>
      <c r="D1529" s="67">
        <v>13500.0</v>
      </c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</row>
    <row r="1530" ht="12.75" customHeight="1">
      <c r="A1530" s="65" t="s">
        <v>14</v>
      </c>
      <c r="B1530" s="65" t="s">
        <v>15</v>
      </c>
      <c r="C1530" s="65"/>
      <c r="D1530" s="67">
        <v>13500.0</v>
      </c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</row>
    <row r="1531" ht="12.75" customHeight="1">
      <c r="A1531" s="65" t="s">
        <v>14</v>
      </c>
      <c r="B1531" s="65" t="s">
        <v>15</v>
      </c>
      <c r="C1531" s="65"/>
      <c r="D1531" s="67">
        <v>13500.0</v>
      </c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</row>
    <row r="1532" ht="12.75" customHeight="1">
      <c r="A1532" s="65" t="s">
        <v>14</v>
      </c>
      <c r="B1532" s="65" t="s">
        <v>15</v>
      </c>
      <c r="C1532" s="65"/>
      <c r="D1532" s="67">
        <v>13500.0</v>
      </c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</row>
    <row r="1533" ht="12.75" customHeight="1">
      <c r="A1533" s="65" t="s">
        <v>14</v>
      </c>
      <c r="B1533" s="65" t="s">
        <v>15</v>
      </c>
      <c r="C1533" s="65"/>
      <c r="D1533" s="67">
        <v>13500.0</v>
      </c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</row>
    <row r="1534" ht="12.75" customHeight="1">
      <c r="A1534" s="65" t="s">
        <v>14</v>
      </c>
      <c r="B1534" s="65" t="s">
        <v>15</v>
      </c>
      <c r="C1534" s="65"/>
      <c r="D1534" s="67">
        <v>13500.0</v>
      </c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</row>
    <row r="1535" ht="12.75" customHeight="1">
      <c r="A1535" s="65" t="s">
        <v>14</v>
      </c>
      <c r="B1535" s="65" t="s">
        <v>15</v>
      </c>
      <c r="C1535" s="65"/>
      <c r="D1535" s="67">
        <v>13500.0</v>
      </c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</row>
    <row r="1536" ht="12.75" customHeight="1">
      <c r="A1536" s="65" t="s">
        <v>14</v>
      </c>
      <c r="B1536" s="65" t="s">
        <v>15</v>
      </c>
      <c r="C1536" s="65"/>
      <c r="D1536" s="67">
        <v>13500.0</v>
      </c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</row>
    <row r="1537" ht="12.75" customHeight="1">
      <c r="A1537" s="65" t="s">
        <v>14</v>
      </c>
      <c r="B1537" s="65" t="s">
        <v>15</v>
      </c>
      <c r="C1537" s="65"/>
      <c r="D1537" s="67">
        <v>11475.0</v>
      </c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</row>
    <row r="1538" ht="12.75" customHeight="1">
      <c r="A1538" s="65" t="s">
        <v>14</v>
      </c>
      <c r="B1538" s="65" t="s">
        <v>15</v>
      </c>
      <c r="C1538" s="65"/>
      <c r="D1538" s="67">
        <v>11250.0</v>
      </c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</row>
    <row r="1539" ht="12.75" customHeight="1">
      <c r="A1539" s="65" t="s">
        <v>14</v>
      </c>
      <c r="B1539" s="65" t="s">
        <v>15</v>
      </c>
      <c r="C1539" s="65"/>
      <c r="D1539" s="67">
        <v>10800.0</v>
      </c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</row>
    <row r="1540" ht="12.75" customHeight="1">
      <c r="A1540" s="65" t="s">
        <v>14</v>
      </c>
      <c r="B1540" s="65" t="s">
        <v>15</v>
      </c>
      <c r="C1540" s="65"/>
      <c r="D1540" s="67">
        <v>10503.0</v>
      </c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</row>
    <row r="1541" ht="12.75" customHeight="1">
      <c r="A1541" s="65" t="s">
        <v>14</v>
      </c>
      <c r="B1541" s="65" t="s">
        <v>15</v>
      </c>
      <c r="C1541" s="65"/>
      <c r="D1541" s="67">
        <v>10125.0</v>
      </c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</row>
    <row r="1542" ht="12.75" customHeight="1">
      <c r="A1542" s="65" t="s">
        <v>14</v>
      </c>
      <c r="B1542" s="65" t="s">
        <v>15</v>
      </c>
      <c r="C1542" s="65"/>
      <c r="D1542" s="67">
        <v>9184.5</v>
      </c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</row>
    <row r="1543" ht="12.75" customHeight="1">
      <c r="A1543" s="65" t="s">
        <v>14</v>
      </c>
      <c r="B1543" s="65" t="s">
        <v>15</v>
      </c>
      <c r="C1543" s="65"/>
      <c r="D1543" s="67">
        <v>9180.0</v>
      </c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</row>
    <row r="1544" ht="12.75" customHeight="1">
      <c r="A1544" s="65" t="s">
        <v>14</v>
      </c>
      <c r="B1544" s="65" t="s">
        <v>15</v>
      </c>
      <c r="C1544" s="65"/>
      <c r="D1544" s="67">
        <v>9000.0</v>
      </c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</row>
    <row r="1545" ht="12.75" customHeight="1">
      <c r="A1545" s="65" t="s">
        <v>14</v>
      </c>
      <c r="B1545" s="65" t="s">
        <v>15</v>
      </c>
      <c r="C1545" s="65"/>
      <c r="D1545" s="67">
        <v>9000.0</v>
      </c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</row>
    <row r="1546" ht="12.75" customHeight="1">
      <c r="A1546" s="65" t="s">
        <v>14</v>
      </c>
      <c r="B1546" s="65" t="s">
        <v>15</v>
      </c>
      <c r="C1546" s="65"/>
      <c r="D1546" s="67">
        <v>8806.5</v>
      </c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</row>
    <row r="1547" ht="12.75" customHeight="1">
      <c r="A1547" s="65" t="s">
        <v>14</v>
      </c>
      <c r="B1547" s="65" t="s">
        <v>15</v>
      </c>
      <c r="C1547" s="65"/>
      <c r="D1547" s="67">
        <v>8757.0</v>
      </c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</row>
    <row r="1548" ht="12.75" customHeight="1">
      <c r="A1548" s="65" t="s">
        <v>14</v>
      </c>
      <c r="B1548" s="65" t="s">
        <v>15</v>
      </c>
      <c r="C1548" s="65"/>
      <c r="D1548" s="67">
        <v>8401.5</v>
      </c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</row>
    <row r="1549" ht="12.75" customHeight="1">
      <c r="A1549" s="65" t="s">
        <v>14</v>
      </c>
      <c r="B1549" s="65" t="s">
        <v>15</v>
      </c>
      <c r="C1549" s="65"/>
      <c r="D1549" s="67">
        <v>7344.0</v>
      </c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</row>
    <row r="1550" ht="12.75" customHeight="1">
      <c r="A1550" s="65" t="s">
        <v>14</v>
      </c>
      <c r="B1550" s="65" t="s">
        <v>15</v>
      </c>
      <c r="C1550" s="65"/>
      <c r="D1550" s="67">
        <v>7087.5</v>
      </c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</row>
    <row r="1551" ht="12.75" customHeight="1">
      <c r="A1551" s="65" t="s">
        <v>14</v>
      </c>
      <c r="B1551" s="65" t="s">
        <v>15</v>
      </c>
      <c r="C1551" s="65"/>
      <c r="D1551" s="67">
        <v>6988.5</v>
      </c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</row>
    <row r="1552" ht="12.75" customHeight="1">
      <c r="A1552" s="65" t="s">
        <v>14</v>
      </c>
      <c r="B1552" s="65" t="s">
        <v>15</v>
      </c>
      <c r="C1552" s="65"/>
      <c r="D1552" s="67">
        <v>6871.5</v>
      </c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</row>
    <row r="1553" ht="12.75" customHeight="1">
      <c r="A1553" s="65" t="s">
        <v>14</v>
      </c>
      <c r="B1553" s="65" t="s">
        <v>15</v>
      </c>
      <c r="C1553" s="65"/>
      <c r="D1553" s="67">
        <v>6750.0</v>
      </c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</row>
    <row r="1554" ht="12.75" customHeight="1">
      <c r="A1554" s="65" t="s">
        <v>14</v>
      </c>
      <c r="B1554" s="65" t="s">
        <v>15</v>
      </c>
      <c r="C1554" s="65"/>
      <c r="D1554" s="67">
        <v>6750.0</v>
      </c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</row>
    <row r="1555" ht="12.75" customHeight="1">
      <c r="A1555" s="65" t="s">
        <v>14</v>
      </c>
      <c r="B1555" s="65" t="s">
        <v>15</v>
      </c>
      <c r="C1555" s="65"/>
      <c r="D1555" s="67">
        <v>6750.0</v>
      </c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</row>
    <row r="1556" ht="12.75" customHeight="1">
      <c r="A1556" s="65" t="s">
        <v>14</v>
      </c>
      <c r="B1556" s="65" t="s">
        <v>15</v>
      </c>
      <c r="C1556" s="65"/>
      <c r="D1556" s="67">
        <v>6750.0</v>
      </c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</row>
    <row r="1557" ht="12.75" customHeight="1">
      <c r="A1557" s="65" t="s">
        <v>14</v>
      </c>
      <c r="B1557" s="65" t="s">
        <v>15</v>
      </c>
      <c r="C1557" s="65"/>
      <c r="D1557" s="67">
        <v>6750.0</v>
      </c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</row>
    <row r="1558" ht="12.75" customHeight="1">
      <c r="A1558" s="65" t="s">
        <v>14</v>
      </c>
      <c r="B1558" s="65" t="s">
        <v>15</v>
      </c>
      <c r="C1558" s="65"/>
      <c r="D1558" s="67">
        <v>6750.0</v>
      </c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</row>
    <row r="1559" ht="12.75" customHeight="1">
      <c r="A1559" s="65" t="s">
        <v>14</v>
      </c>
      <c r="B1559" s="65" t="s">
        <v>15</v>
      </c>
      <c r="C1559" s="65"/>
      <c r="D1559" s="67">
        <v>6750.0</v>
      </c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</row>
    <row r="1560" ht="12.75" customHeight="1">
      <c r="A1560" s="65" t="s">
        <v>14</v>
      </c>
      <c r="B1560" s="65" t="s">
        <v>15</v>
      </c>
      <c r="C1560" s="65"/>
      <c r="D1560" s="67">
        <v>6750.0</v>
      </c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</row>
    <row r="1561" ht="12.75" customHeight="1">
      <c r="A1561" s="65" t="s">
        <v>14</v>
      </c>
      <c r="B1561" s="65" t="s">
        <v>15</v>
      </c>
      <c r="C1561" s="65"/>
      <c r="D1561" s="67">
        <v>6750.0</v>
      </c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</row>
    <row r="1562" ht="12.75" customHeight="1">
      <c r="A1562" s="65" t="s">
        <v>14</v>
      </c>
      <c r="B1562" s="65" t="s">
        <v>15</v>
      </c>
      <c r="C1562" s="65"/>
      <c r="D1562" s="67">
        <v>6750.0</v>
      </c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</row>
    <row r="1563" ht="12.75" customHeight="1">
      <c r="A1563" s="65" t="s">
        <v>14</v>
      </c>
      <c r="B1563" s="65" t="s">
        <v>15</v>
      </c>
      <c r="C1563" s="65"/>
      <c r="D1563" s="67">
        <v>6750.0</v>
      </c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</row>
    <row r="1564" ht="12.75" customHeight="1">
      <c r="A1564" s="65" t="s">
        <v>14</v>
      </c>
      <c r="B1564" s="65" t="s">
        <v>15</v>
      </c>
      <c r="C1564" s="65"/>
      <c r="D1564" s="67">
        <v>6750.0</v>
      </c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</row>
    <row r="1565" ht="12.75" customHeight="1">
      <c r="A1565" s="65" t="s">
        <v>14</v>
      </c>
      <c r="B1565" s="65" t="s">
        <v>15</v>
      </c>
      <c r="C1565" s="65"/>
      <c r="D1565" s="67">
        <v>6750.0</v>
      </c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</row>
    <row r="1566" ht="12.75" customHeight="1">
      <c r="A1566" s="65" t="s">
        <v>14</v>
      </c>
      <c r="B1566" s="65" t="s">
        <v>15</v>
      </c>
      <c r="C1566" s="65"/>
      <c r="D1566" s="67">
        <v>6750.0</v>
      </c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</row>
    <row r="1567" ht="12.75" customHeight="1">
      <c r="A1567" s="65" t="s">
        <v>14</v>
      </c>
      <c r="B1567" s="65" t="s">
        <v>15</v>
      </c>
      <c r="C1567" s="65"/>
      <c r="D1567" s="67">
        <v>6750.0</v>
      </c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</row>
    <row r="1568" ht="12.75" customHeight="1">
      <c r="A1568" s="65" t="s">
        <v>14</v>
      </c>
      <c r="B1568" s="65" t="s">
        <v>15</v>
      </c>
      <c r="C1568" s="65"/>
      <c r="D1568" s="67">
        <v>6750.0</v>
      </c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</row>
    <row r="1569" ht="12.75" customHeight="1">
      <c r="A1569" s="65" t="s">
        <v>14</v>
      </c>
      <c r="B1569" s="65" t="s">
        <v>15</v>
      </c>
      <c r="C1569" s="65"/>
      <c r="D1569" s="67">
        <v>6682.5</v>
      </c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</row>
    <row r="1570" ht="12.75" customHeight="1">
      <c r="A1570" s="65" t="s">
        <v>14</v>
      </c>
      <c r="B1570" s="65" t="s">
        <v>15</v>
      </c>
      <c r="C1570" s="65"/>
      <c r="D1570" s="67">
        <v>6583.5</v>
      </c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</row>
    <row r="1571" ht="12.75" customHeight="1">
      <c r="A1571" s="65" t="s">
        <v>14</v>
      </c>
      <c r="B1571" s="65" t="s">
        <v>15</v>
      </c>
      <c r="C1571" s="65"/>
      <c r="D1571" s="67">
        <v>5859.0</v>
      </c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</row>
    <row r="1572" ht="12.75" customHeight="1">
      <c r="A1572" s="65" t="s">
        <v>14</v>
      </c>
      <c r="B1572" s="65" t="s">
        <v>15</v>
      </c>
      <c r="C1572" s="65"/>
      <c r="D1572" s="67">
        <v>5850.0</v>
      </c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</row>
    <row r="1573" ht="12.75" customHeight="1">
      <c r="A1573" s="65" t="s">
        <v>14</v>
      </c>
      <c r="B1573" s="65" t="s">
        <v>15</v>
      </c>
      <c r="C1573" s="65"/>
      <c r="D1573" s="67">
        <v>5346.0</v>
      </c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</row>
    <row r="1574" ht="12.75" customHeight="1">
      <c r="A1574" s="65" t="s">
        <v>14</v>
      </c>
      <c r="B1574" s="65" t="s">
        <v>15</v>
      </c>
      <c r="C1574" s="65"/>
      <c r="D1574" s="67">
        <v>4783.5</v>
      </c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</row>
    <row r="1575" ht="12.75" customHeight="1">
      <c r="A1575" s="65" t="s">
        <v>14</v>
      </c>
      <c r="B1575" s="65" t="s">
        <v>15</v>
      </c>
      <c r="C1575" s="65"/>
      <c r="D1575" s="67">
        <v>4500.0</v>
      </c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</row>
    <row r="1576" ht="12.75" customHeight="1">
      <c r="A1576" s="65" t="s">
        <v>14</v>
      </c>
      <c r="B1576" s="65" t="s">
        <v>15</v>
      </c>
      <c r="C1576" s="65"/>
      <c r="D1576" s="67">
        <v>4450.5</v>
      </c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</row>
    <row r="1577" ht="12.75" customHeight="1">
      <c r="A1577" s="65" t="s">
        <v>14</v>
      </c>
      <c r="B1577" s="65" t="s">
        <v>15</v>
      </c>
      <c r="C1577" s="65"/>
      <c r="D1577" s="67">
        <v>4284.0</v>
      </c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</row>
    <row r="1578" ht="12.75" customHeight="1">
      <c r="A1578" s="65" t="s">
        <v>14</v>
      </c>
      <c r="B1578" s="65" t="s">
        <v>15</v>
      </c>
      <c r="C1578" s="65"/>
      <c r="D1578" s="67">
        <v>4248.0</v>
      </c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</row>
    <row r="1579" ht="12.75" customHeight="1">
      <c r="A1579" s="65" t="s">
        <v>14</v>
      </c>
      <c r="B1579" s="65" t="s">
        <v>15</v>
      </c>
      <c r="C1579" s="65"/>
      <c r="D1579" s="67">
        <v>3798.0</v>
      </c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</row>
    <row r="1580" ht="12.75" customHeight="1">
      <c r="A1580" s="65" t="s">
        <v>14</v>
      </c>
      <c r="B1580" s="65" t="s">
        <v>15</v>
      </c>
      <c r="C1580" s="65"/>
      <c r="D1580" s="67">
        <v>3600.0</v>
      </c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</row>
    <row r="1581" ht="12.75" customHeight="1">
      <c r="A1581" s="65" t="s">
        <v>14</v>
      </c>
      <c r="B1581" s="65" t="s">
        <v>15</v>
      </c>
      <c r="C1581" s="65"/>
      <c r="D1581" s="67">
        <v>3568.5</v>
      </c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</row>
    <row r="1582" ht="12.75" customHeight="1">
      <c r="A1582" s="65" t="s">
        <v>14</v>
      </c>
      <c r="B1582" s="65" t="s">
        <v>15</v>
      </c>
      <c r="C1582" s="65"/>
      <c r="D1582" s="67">
        <v>3505.5</v>
      </c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</row>
    <row r="1583" ht="12.75" customHeight="1">
      <c r="A1583" s="65" t="s">
        <v>14</v>
      </c>
      <c r="B1583" s="65" t="s">
        <v>15</v>
      </c>
      <c r="C1583" s="65"/>
      <c r="D1583" s="67">
        <v>3375.0</v>
      </c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</row>
    <row r="1584" ht="12.75" customHeight="1">
      <c r="A1584" s="65" t="s">
        <v>14</v>
      </c>
      <c r="B1584" s="65" t="s">
        <v>15</v>
      </c>
      <c r="C1584" s="65"/>
      <c r="D1584" s="67">
        <v>3240.0</v>
      </c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</row>
    <row r="1585" ht="12.75" customHeight="1">
      <c r="A1585" s="65" t="s">
        <v>14</v>
      </c>
      <c r="B1585" s="65" t="s">
        <v>15</v>
      </c>
      <c r="C1585" s="65"/>
      <c r="D1585" s="67">
        <v>3141.0</v>
      </c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</row>
    <row r="1586" ht="12.75" customHeight="1">
      <c r="A1586" s="65" t="s">
        <v>14</v>
      </c>
      <c r="B1586" s="65" t="s">
        <v>15</v>
      </c>
      <c r="C1586" s="65"/>
      <c r="D1586" s="67">
        <v>3037.5</v>
      </c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</row>
    <row r="1587" ht="12.75" customHeight="1">
      <c r="A1587" s="65" t="s">
        <v>14</v>
      </c>
      <c r="B1587" s="65" t="s">
        <v>15</v>
      </c>
      <c r="C1587" s="65"/>
      <c r="D1587" s="67">
        <v>2925.0</v>
      </c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</row>
    <row r="1588" ht="12.75" customHeight="1">
      <c r="A1588" s="65" t="s">
        <v>14</v>
      </c>
      <c r="B1588" s="65" t="s">
        <v>15</v>
      </c>
      <c r="C1588" s="65"/>
      <c r="D1588" s="67">
        <v>2686.5</v>
      </c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</row>
    <row r="1589" ht="12.75" customHeight="1">
      <c r="A1589" s="65" t="s">
        <v>14</v>
      </c>
      <c r="B1589" s="65" t="s">
        <v>15</v>
      </c>
      <c r="C1589" s="65"/>
      <c r="D1589" s="67">
        <v>2623.5</v>
      </c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</row>
    <row r="1590" ht="12.75" customHeight="1">
      <c r="A1590" s="65" t="s">
        <v>14</v>
      </c>
      <c r="B1590" s="65" t="s">
        <v>15</v>
      </c>
      <c r="C1590" s="65"/>
      <c r="D1590" s="67">
        <v>2533.5</v>
      </c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</row>
    <row r="1591" ht="12.75" customHeight="1">
      <c r="A1591" s="65" t="s">
        <v>14</v>
      </c>
      <c r="B1591" s="65" t="s">
        <v>15</v>
      </c>
      <c r="C1591" s="65"/>
      <c r="D1591" s="67">
        <v>2524.5</v>
      </c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</row>
    <row r="1592" ht="12.75" customHeight="1">
      <c r="A1592" s="65" t="s">
        <v>14</v>
      </c>
      <c r="B1592" s="65" t="s">
        <v>15</v>
      </c>
      <c r="C1592" s="65"/>
      <c r="D1592" s="67">
        <v>2452.5</v>
      </c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</row>
    <row r="1593" ht="12.75" customHeight="1">
      <c r="A1593" s="65" t="s">
        <v>14</v>
      </c>
      <c r="B1593" s="65" t="s">
        <v>15</v>
      </c>
      <c r="C1593" s="65"/>
      <c r="D1593" s="67">
        <v>2367.0</v>
      </c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</row>
    <row r="1594" ht="12.75" customHeight="1">
      <c r="A1594" s="65" t="s">
        <v>14</v>
      </c>
      <c r="B1594" s="65" t="s">
        <v>15</v>
      </c>
      <c r="C1594" s="65"/>
      <c r="D1594" s="67">
        <v>2349.0</v>
      </c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</row>
    <row r="1595" ht="12.75" customHeight="1">
      <c r="A1595" s="65" t="s">
        <v>14</v>
      </c>
      <c r="B1595" s="65" t="s">
        <v>15</v>
      </c>
      <c r="C1595" s="65"/>
      <c r="D1595" s="67">
        <v>2344.5</v>
      </c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</row>
    <row r="1596" ht="12.75" customHeight="1">
      <c r="A1596" s="65" t="s">
        <v>14</v>
      </c>
      <c r="B1596" s="65" t="s">
        <v>15</v>
      </c>
      <c r="C1596" s="65"/>
      <c r="D1596" s="67">
        <v>2250.0</v>
      </c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</row>
    <row r="1597" ht="12.75" customHeight="1">
      <c r="A1597" s="65" t="s">
        <v>14</v>
      </c>
      <c r="B1597" s="65" t="s">
        <v>15</v>
      </c>
      <c r="C1597" s="65"/>
      <c r="D1597" s="67">
        <v>2250.0</v>
      </c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</row>
    <row r="1598" ht="12.75" customHeight="1">
      <c r="A1598" s="65" t="s">
        <v>14</v>
      </c>
      <c r="B1598" s="65" t="s">
        <v>15</v>
      </c>
      <c r="C1598" s="65"/>
      <c r="D1598" s="67">
        <v>2052.0</v>
      </c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</row>
    <row r="1599" ht="12.75" customHeight="1">
      <c r="A1599" s="65" t="s">
        <v>14</v>
      </c>
      <c r="B1599" s="65" t="s">
        <v>15</v>
      </c>
      <c r="C1599" s="65"/>
      <c r="D1599" s="67">
        <v>2043.0</v>
      </c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</row>
    <row r="1600" ht="12.75" customHeight="1">
      <c r="A1600" s="65" t="s">
        <v>14</v>
      </c>
      <c r="B1600" s="65" t="s">
        <v>15</v>
      </c>
      <c r="C1600" s="65"/>
      <c r="D1600" s="67">
        <v>2007.0</v>
      </c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</row>
    <row r="1601" ht="12.75" customHeight="1">
      <c r="A1601" s="65" t="s">
        <v>14</v>
      </c>
      <c r="B1601" s="65" t="s">
        <v>15</v>
      </c>
      <c r="C1601" s="65"/>
      <c r="D1601" s="67">
        <v>1998.0</v>
      </c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</row>
    <row r="1602" ht="12.75" customHeight="1">
      <c r="A1602" s="65" t="s">
        <v>14</v>
      </c>
      <c r="B1602" s="65" t="s">
        <v>15</v>
      </c>
      <c r="C1602" s="65"/>
      <c r="D1602" s="67">
        <v>1998.0</v>
      </c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</row>
    <row r="1603" ht="12.75" customHeight="1">
      <c r="A1603" s="65" t="s">
        <v>14</v>
      </c>
      <c r="B1603" s="65" t="s">
        <v>15</v>
      </c>
      <c r="C1603" s="65"/>
      <c r="D1603" s="67">
        <v>1336.5</v>
      </c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</row>
    <row r="1604" ht="12.75" customHeight="1">
      <c r="A1604" s="65" t="s">
        <v>14</v>
      </c>
      <c r="B1604" s="65" t="s">
        <v>15</v>
      </c>
      <c r="C1604" s="65"/>
      <c r="D1604" s="67">
        <v>1336.5</v>
      </c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</row>
    <row r="1605" ht="12.75" customHeight="1">
      <c r="A1605" s="65" t="s">
        <v>14</v>
      </c>
      <c r="B1605" s="65" t="s">
        <v>15</v>
      </c>
      <c r="C1605" s="65"/>
      <c r="D1605" s="67">
        <v>1336.5</v>
      </c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</row>
    <row r="1606" ht="12.75" customHeight="1">
      <c r="A1606" s="65" t="s">
        <v>14</v>
      </c>
      <c r="B1606" s="65" t="s">
        <v>15</v>
      </c>
      <c r="C1606" s="65"/>
      <c r="D1606" s="67">
        <v>1336.5</v>
      </c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</row>
    <row r="1607" ht="12.75" customHeight="1">
      <c r="A1607" s="65" t="s">
        <v>14</v>
      </c>
      <c r="B1607" s="65" t="s">
        <v>15</v>
      </c>
      <c r="C1607" s="65"/>
      <c r="D1607" s="67">
        <v>1336.5</v>
      </c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</row>
    <row r="1608" ht="12.75" customHeight="1">
      <c r="A1608" s="65" t="s">
        <v>14</v>
      </c>
      <c r="B1608" s="65" t="s">
        <v>15</v>
      </c>
      <c r="C1608" s="65"/>
      <c r="D1608" s="67">
        <v>1336.5</v>
      </c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</row>
    <row r="1609" ht="12.75" customHeight="1">
      <c r="A1609" s="65" t="s">
        <v>14</v>
      </c>
      <c r="B1609" s="65" t="s">
        <v>15</v>
      </c>
      <c r="C1609" s="65"/>
      <c r="D1609" s="67">
        <v>1305.0</v>
      </c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</row>
    <row r="1610" ht="12.75" customHeight="1">
      <c r="A1610" s="65" t="s">
        <v>14</v>
      </c>
      <c r="B1610" s="65" t="s">
        <v>15</v>
      </c>
      <c r="C1610" s="65"/>
      <c r="D1610" s="67">
        <v>1066.5</v>
      </c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</row>
    <row r="1611" ht="12.75" customHeight="1">
      <c r="A1611" s="65" t="s">
        <v>14</v>
      </c>
      <c r="B1611" s="65" t="s">
        <v>15</v>
      </c>
      <c r="C1611" s="65"/>
      <c r="D1611" s="67">
        <v>1066.5</v>
      </c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</row>
    <row r="1612" ht="12.75" customHeight="1">
      <c r="A1612" s="65" t="s">
        <v>14</v>
      </c>
      <c r="B1612" s="65" t="s">
        <v>15</v>
      </c>
      <c r="C1612" s="65"/>
      <c r="D1612" s="67">
        <v>1066.5</v>
      </c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</row>
    <row r="1613" ht="12.75" customHeight="1">
      <c r="A1613" s="65" t="s">
        <v>14</v>
      </c>
      <c r="B1613" s="65" t="s">
        <v>15</v>
      </c>
      <c r="C1613" s="65"/>
      <c r="D1613" s="67">
        <v>1066.5</v>
      </c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</row>
    <row r="1614" ht="12.75" customHeight="1">
      <c r="A1614" s="65" t="s">
        <v>14</v>
      </c>
      <c r="B1614" s="65" t="s">
        <v>15</v>
      </c>
      <c r="C1614" s="65"/>
      <c r="D1614" s="67">
        <v>1048.5</v>
      </c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</row>
    <row r="1615" ht="12.75" customHeight="1">
      <c r="A1615" s="65" t="s">
        <v>14</v>
      </c>
      <c r="B1615" s="65" t="s">
        <v>15</v>
      </c>
      <c r="C1615" s="65"/>
      <c r="D1615" s="67">
        <v>1048.5</v>
      </c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</row>
    <row r="1616" ht="12.75" customHeight="1">
      <c r="A1616" s="65" t="s">
        <v>14</v>
      </c>
      <c r="B1616" s="65" t="s">
        <v>15</v>
      </c>
      <c r="C1616" s="65"/>
      <c r="D1616" s="67">
        <v>810.0</v>
      </c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</row>
    <row r="1617" ht="12.75" customHeight="1">
      <c r="A1617" s="65" t="s">
        <v>14</v>
      </c>
      <c r="B1617" s="65" t="s">
        <v>15</v>
      </c>
      <c r="C1617" s="65"/>
      <c r="D1617" s="67">
        <v>675.0</v>
      </c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</row>
    <row r="1618" ht="12.75" customHeight="1">
      <c r="A1618" s="65" t="s">
        <v>14</v>
      </c>
      <c r="B1618" s="65" t="s">
        <v>15</v>
      </c>
      <c r="C1618" s="65"/>
      <c r="D1618" s="67">
        <v>661.5</v>
      </c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</row>
    <row r="1619" ht="12.75" customHeight="1">
      <c r="A1619" s="65" t="s">
        <v>14</v>
      </c>
      <c r="B1619" s="65" t="s">
        <v>15</v>
      </c>
      <c r="C1619" s="65"/>
      <c r="D1619" s="67">
        <v>661.5</v>
      </c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</row>
    <row r="1620" ht="12.75" customHeight="1">
      <c r="A1620" s="65" t="s">
        <v>14</v>
      </c>
      <c r="B1620" s="65" t="s">
        <v>15</v>
      </c>
      <c r="C1620" s="65"/>
      <c r="D1620" s="67">
        <v>661.5</v>
      </c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</row>
    <row r="1621" ht="12.75" customHeight="1">
      <c r="A1621" s="65" t="s">
        <v>14</v>
      </c>
      <c r="B1621" s="65" t="s">
        <v>15</v>
      </c>
      <c r="C1621" s="65"/>
      <c r="D1621" s="67">
        <v>661.5</v>
      </c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</row>
    <row r="1622" ht="12.75" customHeight="1">
      <c r="A1622" s="65" t="s">
        <v>14</v>
      </c>
      <c r="B1622" s="65" t="s">
        <v>15</v>
      </c>
      <c r="C1622" s="65"/>
      <c r="D1622" s="67">
        <v>661.5</v>
      </c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</row>
    <row r="1623" ht="12.75" customHeight="1">
      <c r="A1623" s="65" t="s">
        <v>14</v>
      </c>
      <c r="B1623" s="65" t="s">
        <v>15</v>
      </c>
      <c r="C1623" s="65"/>
      <c r="D1623" s="67">
        <v>661.5</v>
      </c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</row>
    <row r="1624" ht="12.75" customHeight="1">
      <c r="A1624" s="65" t="s">
        <v>14</v>
      </c>
      <c r="B1624" s="65" t="s">
        <v>15</v>
      </c>
      <c r="C1624" s="65"/>
      <c r="D1624" s="67">
        <v>661.5</v>
      </c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</row>
    <row r="1625" ht="12.75" customHeight="1">
      <c r="A1625" s="65" t="s">
        <v>14</v>
      </c>
      <c r="B1625" s="65" t="s">
        <v>15</v>
      </c>
      <c r="C1625" s="65"/>
      <c r="D1625" s="67">
        <v>661.5</v>
      </c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</row>
    <row r="1626" ht="12.75" customHeight="1">
      <c r="A1626" s="65" t="s">
        <v>14</v>
      </c>
      <c r="B1626" s="65" t="s">
        <v>15</v>
      </c>
      <c r="C1626" s="65"/>
      <c r="D1626" s="67">
        <v>661.5</v>
      </c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</row>
    <row r="1627" ht="12.75" customHeight="1">
      <c r="A1627" s="65" t="s">
        <v>14</v>
      </c>
      <c r="B1627" s="65" t="s">
        <v>15</v>
      </c>
      <c r="C1627" s="65"/>
      <c r="D1627" s="67">
        <v>661.5</v>
      </c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</row>
    <row r="1628" ht="12.75" customHeight="1">
      <c r="A1628" s="65" t="s">
        <v>14</v>
      </c>
      <c r="B1628" s="65" t="s">
        <v>15</v>
      </c>
      <c r="C1628" s="65"/>
      <c r="D1628" s="67">
        <v>661.5</v>
      </c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</row>
    <row r="1629" ht="12.75" customHeight="1">
      <c r="A1629" s="65" t="s">
        <v>14</v>
      </c>
      <c r="B1629" s="65" t="s">
        <v>15</v>
      </c>
      <c r="C1629" s="65"/>
      <c r="D1629" s="67">
        <v>661.5</v>
      </c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</row>
    <row r="1630" ht="12.75" customHeight="1">
      <c r="A1630" s="65" t="s">
        <v>14</v>
      </c>
      <c r="B1630" s="65" t="s">
        <v>15</v>
      </c>
      <c r="C1630" s="65"/>
      <c r="D1630" s="67">
        <v>661.5</v>
      </c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</row>
    <row r="1631" ht="12.75" customHeight="1">
      <c r="A1631" s="65" t="s">
        <v>14</v>
      </c>
      <c r="B1631" s="65" t="s">
        <v>15</v>
      </c>
      <c r="C1631" s="65"/>
      <c r="D1631" s="67">
        <v>661.5</v>
      </c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</row>
    <row r="1632" ht="12.75" customHeight="1">
      <c r="A1632" s="65" t="s">
        <v>14</v>
      </c>
      <c r="B1632" s="65" t="s">
        <v>15</v>
      </c>
      <c r="C1632" s="65"/>
      <c r="D1632" s="67">
        <v>553.5</v>
      </c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</row>
    <row r="1633" ht="12.75" customHeight="1">
      <c r="A1633" s="65" t="s">
        <v>14</v>
      </c>
      <c r="B1633" s="65" t="s">
        <v>15</v>
      </c>
      <c r="C1633" s="65"/>
      <c r="D1633" s="67">
        <v>207.0</v>
      </c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</row>
    <row r="1634" ht="12.75" customHeight="1">
      <c r="A1634" s="65" t="s">
        <v>14</v>
      </c>
      <c r="B1634" s="65" t="s">
        <v>15</v>
      </c>
      <c r="C1634" s="65"/>
      <c r="D1634" s="67">
        <v>49.5</v>
      </c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</row>
    <row r="1635" ht="12.75" customHeight="1">
      <c r="A1635" s="65" t="s">
        <v>14</v>
      </c>
      <c r="B1635" s="65" t="s">
        <v>15</v>
      </c>
      <c r="C1635" s="65"/>
      <c r="D1635" s="67">
        <v>4.5</v>
      </c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</row>
    <row r="1636" ht="12.75" customHeight="1">
      <c r="A1636" s="65" t="s">
        <v>14</v>
      </c>
      <c r="B1636" s="65" t="s">
        <v>15</v>
      </c>
      <c r="C1636" s="65"/>
      <c r="D1636" s="67">
        <v>0.0</v>
      </c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</row>
    <row r="1637" ht="12.75" customHeight="1">
      <c r="A1637" s="65" t="s">
        <v>14</v>
      </c>
      <c r="B1637" s="65" t="s">
        <v>15</v>
      </c>
      <c r="C1637" s="65"/>
      <c r="D1637" s="67">
        <v>-1350.0</v>
      </c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</row>
    <row r="1638" ht="12.75" customHeight="1">
      <c r="A1638" s="65" t="s">
        <v>14</v>
      </c>
      <c r="B1638" s="65" t="s">
        <v>15</v>
      </c>
      <c r="C1638" s="65"/>
      <c r="D1638" s="67">
        <v>737244.0</v>
      </c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</row>
    <row r="1639" ht="12.75" customHeight="1">
      <c r="A1639" s="65" t="s">
        <v>14</v>
      </c>
      <c r="B1639" s="65" t="s">
        <v>15</v>
      </c>
      <c r="C1639" s="65"/>
      <c r="D1639" s="67">
        <v>444487.5</v>
      </c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</row>
    <row r="1640" ht="12.75" customHeight="1">
      <c r="A1640" s="65" t="s">
        <v>14</v>
      </c>
      <c r="B1640" s="65" t="s">
        <v>15</v>
      </c>
      <c r="C1640" s="65"/>
      <c r="D1640" s="67">
        <v>391896.0</v>
      </c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</row>
    <row r="1641" ht="12.75" customHeight="1">
      <c r="A1641" s="65" t="s">
        <v>14</v>
      </c>
      <c r="B1641" s="65" t="s">
        <v>15</v>
      </c>
      <c r="C1641" s="65"/>
      <c r="D1641" s="67">
        <v>303030.0</v>
      </c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</row>
    <row r="1642" ht="12.75" customHeight="1">
      <c r="A1642" s="65" t="s">
        <v>14</v>
      </c>
      <c r="B1642" s="65" t="s">
        <v>15</v>
      </c>
      <c r="C1642" s="65"/>
      <c r="D1642" s="67">
        <v>301779.0</v>
      </c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</row>
    <row r="1643" ht="12.75" customHeight="1">
      <c r="A1643" s="65" t="s">
        <v>14</v>
      </c>
      <c r="B1643" s="65" t="s">
        <v>15</v>
      </c>
      <c r="C1643" s="65"/>
      <c r="D1643" s="67">
        <v>267336.0</v>
      </c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</row>
    <row r="1644" ht="12.75" customHeight="1">
      <c r="A1644" s="65" t="s">
        <v>14</v>
      </c>
      <c r="B1644" s="65" t="s">
        <v>15</v>
      </c>
      <c r="C1644" s="65"/>
      <c r="D1644" s="67">
        <v>259627.5</v>
      </c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</row>
    <row r="1645" ht="12.75" customHeight="1">
      <c r="A1645" s="65" t="s">
        <v>14</v>
      </c>
      <c r="B1645" s="65" t="s">
        <v>15</v>
      </c>
      <c r="C1645" s="65"/>
      <c r="D1645" s="67">
        <v>258957.0</v>
      </c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</row>
    <row r="1646" ht="12.75" customHeight="1">
      <c r="A1646" s="65" t="s">
        <v>14</v>
      </c>
      <c r="B1646" s="65" t="s">
        <v>15</v>
      </c>
      <c r="C1646" s="65"/>
      <c r="D1646" s="67">
        <v>244080.0</v>
      </c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</row>
    <row r="1647" ht="12.75" customHeight="1">
      <c r="A1647" s="65" t="s">
        <v>14</v>
      </c>
      <c r="B1647" s="65" t="s">
        <v>15</v>
      </c>
      <c r="C1647" s="65"/>
      <c r="D1647" s="67">
        <v>225000.0</v>
      </c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</row>
    <row r="1648" ht="12.75" customHeight="1">
      <c r="A1648" s="65" t="s">
        <v>14</v>
      </c>
      <c r="B1648" s="65" t="s">
        <v>15</v>
      </c>
      <c r="C1648" s="65"/>
      <c r="D1648" s="67">
        <v>193972.5</v>
      </c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</row>
    <row r="1649" ht="12.75" customHeight="1">
      <c r="A1649" s="65" t="s">
        <v>14</v>
      </c>
      <c r="B1649" s="65" t="s">
        <v>15</v>
      </c>
      <c r="C1649" s="65"/>
      <c r="D1649" s="67">
        <v>190426.5</v>
      </c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</row>
    <row r="1650" ht="12.75" customHeight="1">
      <c r="A1650" s="65" t="s">
        <v>14</v>
      </c>
      <c r="B1650" s="65" t="s">
        <v>15</v>
      </c>
      <c r="C1650" s="65"/>
      <c r="D1650" s="67">
        <v>187560.0</v>
      </c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</row>
    <row r="1651" ht="12.75" customHeight="1">
      <c r="A1651" s="65" t="s">
        <v>14</v>
      </c>
      <c r="B1651" s="65" t="s">
        <v>15</v>
      </c>
      <c r="C1651" s="65"/>
      <c r="D1651" s="67">
        <v>185998.5</v>
      </c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</row>
    <row r="1652" ht="12.75" customHeight="1">
      <c r="A1652" s="65" t="s">
        <v>14</v>
      </c>
      <c r="B1652" s="65" t="s">
        <v>15</v>
      </c>
      <c r="C1652" s="65"/>
      <c r="D1652" s="67">
        <v>168750.0</v>
      </c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</row>
    <row r="1653" ht="12.75" customHeight="1">
      <c r="A1653" s="65" t="s">
        <v>14</v>
      </c>
      <c r="B1653" s="65" t="s">
        <v>15</v>
      </c>
      <c r="C1653" s="65"/>
      <c r="D1653" s="67">
        <v>155533.5</v>
      </c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</row>
    <row r="1654" ht="12.75" customHeight="1">
      <c r="A1654" s="65" t="s">
        <v>14</v>
      </c>
      <c r="B1654" s="65" t="s">
        <v>15</v>
      </c>
      <c r="C1654" s="65"/>
      <c r="D1654" s="67">
        <v>152869.5</v>
      </c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</row>
    <row r="1655" ht="12.75" customHeight="1">
      <c r="A1655" s="65" t="s">
        <v>14</v>
      </c>
      <c r="B1655" s="65" t="s">
        <v>15</v>
      </c>
      <c r="C1655" s="65"/>
      <c r="D1655" s="67">
        <v>151875.0</v>
      </c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</row>
    <row r="1656" ht="12.75" customHeight="1">
      <c r="A1656" s="65" t="s">
        <v>14</v>
      </c>
      <c r="B1656" s="65" t="s">
        <v>15</v>
      </c>
      <c r="C1656" s="65"/>
      <c r="D1656" s="67">
        <v>150462.0</v>
      </c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</row>
    <row r="1657" ht="12.75" customHeight="1">
      <c r="A1657" s="65" t="s">
        <v>14</v>
      </c>
      <c r="B1657" s="65" t="s">
        <v>15</v>
      </c>
      <c r="C1657" s="65"/>
      <c r="D1657" s="67">
        <v>147190.5</v>
      </c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</row>
    <row r="1658" ht="12.75" customHeight="1">
      <c r="A1658" s="65" t="s">
        <v>14</v>
      </c>
      <c r="B1658" s="65" t="s">
        <v>15</v>
      </c>
      <c r="C1658" s="65"/>
      <c r="D1658" s="67">
        <v>146250.0</v>
      </c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</row>
    <row r="1659" ht="12.75" customHeight="1">
      <c r="A1659" s="65" t="s">
        <v>14</v>
      </c>
      <c r="B1659" s="65" t="s">
        <v>15</v>
      </c>
      <c r="C1659" s="65"/>
      <c r="D1659" s="67">
        <v>139095.0</v>
      </c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</row>
    <row r="1660" ht="12.75" customHeight="1">
      <c r="A1660" s="65" t="s">
        <v>14</v>
      </c>
      <c r="B1660" s="65" t="s">
        <v>15</v>
      </c>
      <c r="C1660" s="65"/>
      <c r="D1660" s="67">
        <v>135900.0</v>
      </c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</row>
    <row r="1661" ht="12.75" customHeight="1">
      <c r="A1661" s="65" t="s">
        <v>14</v>
      </c>
      <c r="B1661" s="65" t="s">
        <v>15</v>
      </c>
      <c r="C1661" s="65"/>
      <c r="D1661" s="67">
        <v>131823.0</v>
      </c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</row>
    <row r="1662" ht="12.75" customHeight="1">
      <c r="A1662" s="65" t="s">
        <v>14</v>
      </c>
      <c r="B1662" s="65" t="s">
        <v>15</v>
      </c>
      <c r="C1662" s="65"/>
      <c r="D1662" s="67">
        <v>126000.0</v>
      </c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</row>
    <row r="1663" ht="12.75" customHeight="1">
      <c r="A1663" s="65" t="s">
        <v>14</v>
      </c>
      <c r="B1663" s="65" t="s">
        <v>15</v>
      </c>
      <c r="C1663" s="65"/>
      <c r="D1663" s="67">
        <v>125464.5</v>
      </c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</row>
    <row r="1664" ht="12.75" customHeight="1">
      <c r="A1664" s="65" t="s">
        <v>14</v>
      </c>
      <c r="B1664" s="65" t="s">
        <v>15</v>
      </c>
      <c r="C1664" s="65"/>
      <c r="D1664" s="67">
        <v>125347.5</v>
      </c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</row>
    <row r="1665" ht="12.75" customHeight="1">
      <c r="A1665" s="65" t="s">
        <v>14</v>
      </c>
      <c r="B1665" s="65" t="s">
        <v>15</v>
      </c>
      <c r="C1665" s="65"/>
      <c r="D1665" s="67">
        <v>124294.5</v>
      </c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</row>
    <row r="1666" ht="12.75" customHeight="1">
      <c r="A1666" s="65" t="s">
        <v>14</v>
      </c>
      <c r="B1666" s="65" t="s">
        <v>15</v>
      </c>
      <c r="C1666" s="65"/>
      <c r="D1666" s="67">
        <v>119911.5</v>
      </c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</row>
    <row r="1667" ht="12.75" customHeight="1">
      <c r="A1667" s="65" t="s">
        <v>14</v>
      </c>
      <c r="B1667" s="65" t="s">
        <v>15</v>
      </c>
      <c r="C1667" s="65"/>
      <c r="D1667" s="67">
        <v>119790.0</v>
      </c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</row>
    <row r="1668" ht="12.75" customHeight="1">
      <c r="A1668" s="65" t="s">
        <v>14</v>
      </c>
      <c r="B1668" s="65" t="s">
        <v>15</v>
      </c>
      <c r="C1668" s="65"/>
      <c r="D1668" s="67">
        <v>119412.0</v>
      </c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</row>
    <row r="1669" ht="12.75" customHeight="1">
      <c r="A1669" s="65" t="s">
        <v>14</v>
      </c>
      <c r="B1669" s="65" t="s">
        <v>15</v>
      </c>
      <c r="C1669" s="65"/>
      <c r="D1669" s="67">
        <v>114480.0</v>
      </c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</row>
    <row r="1670" ht="12.75" customHeight="1">
      <c r="A1670" s="65" t="s">
        <v>14</v>
      </c>
      <c r="B1670" s="65" t="s">
        <v>15</v>
      </c>
      <c r="C1670" s="65"/>
      <c r="D1670" s="67">
        <v>107437.5</v>
      </c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</row>
    <row r="1671" ht="12.75" customHeight="1">
      <c r="A1671" s="65" t="s">
        <v>14</v>
      </c>
      <c r="B1671" s="65" t="s">
        <v>15</v>
      </c>
      <c r="C1671" s="65"/>
      <c r="D1671" s="67">
        <v>103275.0</v>
      </c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</row>
    <row r="1672" ht="12.75" customHeight="1">
      <c r="A1672" s="65" t="s">
        <v>14</v>
      </c>
      <c r="B1672" s="65" t="s">
        <v>15</v>
      </c>
      <c r="C1672" s="65"/>
      <c r="D1672" s="67">
        <v>99562.5</v>
      </c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</row>
    <row r="1673" ht="12.75" customHeight="1">
      <c r="A1673" s="65" t="s">
        <v>14</v>
      </c>
      <c r="B1673" s="65" t="s">
        <v>15</v>
      </c>
      <c r="C1673" s="65"/>
      <c r="D1673" s="67">
        <v>97254.0</v>
      </c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</row>
    <row r="1674" ht="12.75" customHeight="1">
      <c r="A1674" s="65" t="s">
        <v>14</v>
      </c>
      <c r="B1674" s="65" t="s">
        <v>15</v>
      </c>
      <c r="C1674" s="65"/>
      <c r="D1674" s="67">
        <v>96750.0</v>
      </c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</row>
    <row r="1675" ht="12.75" customHeight="1">
      <c r="A1675" s="65" t="s">
        <v>14</v>
      </c>
      <c r="B1675" s="65" t="s">
        <v>15</v>
      </c>
      <c r="C1675" s="65"/>
      <c r="D1675" s="67">
        <v>94770.0</v>
      </c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</row>
    <row r="1676" ht="12.75" customHeight="1">
      <c r="A1676" s="65" t="s">
        <v>14</v>
      </c>
      <c r="B1676" s="65" t="s">
        <v>15</v>
      </c>
      <c r="C1676" s="65"/>
      <c r="D1676" s="67">
        <v>93096.0</v>
      </c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</row>
    <row r="1677" ht="12.75" customHeight="1">
      <c r="A1677" s="65" t="s">
        <v>14</v>
      </c>
      <c r="B1677" s="65" t="s">
        <v>15</v>
      </c>
      <c r="C1677" s="65"/>
      <c r="D1677" s="67">
        <v>92461.5</v>
      </c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</row>
    <row r="1678" ht="12.75" customHeight="1">
      <c r="A1678" s="65" t="s">
        <v>14</v>
      </c>
      <c r="B1678" s="65" t="s">
        <v>15</v>
      </c>
      <c r="C1678" s="65"/>
      <c r="D1678" s="67">
        <v>91971.0</v>
      </c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</row>
    <row r="1679" ht="12.75" customHeight="1">
      <c r="A1679" s="65" t="s">
        <v>14</v>
      </c>
      <c r="B1679" s="65" t="s">
        <v>15</v>
      </c>
      <c r="C1679" s="65"/>
      <c r="D1679" s="67">
        <v>91845.0</v>
      </c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</row>
    <row r="1680" ht="12.75" customHeight="1">
      <c r="A1680" s="65" t="s">
        <v>14</v>
      </c>
      <c r="B1680" s="65" t="s">
        <v>15</v>
      </c>
      <c r="C1680" s="65"/>
      <c r="D1680" s="67">
        <v>90603.0</v>
      </c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</row>
    <row r="1681" ht="12.75" customHeight="1">
      <c r="A1681" s="65" t="s">
        <v>14</v>
      </c>
      <c r="B1681" s="65" t="s">
        <v>15</v>
      </c>
      <c r="C1681" s="65"/>
      <c r="D1681" s="67">
        <v>89478.0</v>
      </c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</row>
    <row r="1682" ht="12.75" customHeight="1">
      <c r="A1682" s="65" t="s">
        <v>14</v>
      </c>
      <c r="B1682" s="65" t="s">
        <v>15</v>
      </c>
      <c r="C1682" s="65"/>
      <c r="D1682" s="67">
        <v>88083.0</v>
      </c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</row>
    <row r="1683" ht="12.75" customHeight="1">
      <c r="A1683" s="65" t="s">
        <v>14</v>
      </c>
      <c r="B1683" s="65" t="s">
        <v>15</v>
      </c>
      <c r="C1683" s="65"/>
      <c r="D1683" s="67">
        <v>87075.0</v>
      </c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</row>
    <row r="1684" ht="12.75" customHeight="1">
      <c r="A1684" s="65" t="s">
        <v>14</v>
      </c>
      <c r="B1684" s="65" t="s">
        <v>15</v>
      </c>
      <c r="C1684" s="65"/>
      <c r="D1684" s="67">
        <v>83389.5</v>
      </c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</row>
    <row r="1685" ht="12.75" customHeight="1">
      <c r="A1685" s="65" t="s">
        <v>14</v>
      </c>
      <c r="B1685" s="65" t="s">
        <v>15</v>
      </c>
      <c r="C1685" s="65"/>
      <c r="D1685" s="67">
        <v>82066.5</v>
      </c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</row>
    <row r="1686" ht="12.75" customHeight="1">
      <c r="A1686" s="65" t="s">
        <v>14</v>
      </c>
      <c r="B1686" s="65" t="s">
        <v>15</v>
      </c>
      <c r="C1686" s="65"/>
      <c r="D1686" s="67">
        <v>81648.0</v>
      </c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</row>
    <row r="1687" ht="12.75" customHeight="1">
      <c r="A1687" s="65" t="s">
        <v>14</v>
      </c>
      <c r="B1687" s="65" t="s">
        <v>15</v>
      </c>
      <c r="C1687" s="65"/>
      <c r="D1687" s="67">
        <v>81139.5</v>
      </c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</row>
    <row r="1688" ht="12.75" customHeight="1">
      <c r="A1688" s="65" t="s">
        <v>14</v>
      </c>
      <c r="B1688" s="65" t="s">
        <v>15</v>
      </c>
      <c r="C1688" s="65"/>
      <c r="D1688" s="67">
        <v>80473.5</v>
      </c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</row>
    <row r="1689" ht="12.75" customHeight="1">
      <c r="A1689" s="65" t="s">
        <v>14</v>
      </c>
      <c r="B1689" s="65" t="s">
        <v>15</v>
      </c>
      <c r="C1689" s="65"/>
      <c r="D1689" s="67">
        <v>79335.0</v>
      </c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</row>
    <row r="1690" ht="12.75" customHeight="1">
      <c r="A1690" s="65" t="s">
        <v>14</v>
      </c>
      <c r="B1690" s="65" t="s">
        <v>15</v>
      </c>
      <c r="C1690" s="65"/>
      <c r="D1690" s="67">
        <v>78750.0</v>
      </c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</row>
    <row r="1691" ht="12.75" customHeight="1">
      <c r="A1691" s="65" t="s">
        <v>14</v>
      </c>
      <c r="B1691" s="65" t="s">
        <v>15</v>
      </c>
      <c r="C1691" s="65"/>
      <c r="D1691" s="67">
        <v>78750.0</v>
      </c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</row>
    <row r="1692" ht="12.75" customHeight="1">
      <c r="A1692" s="65" t="s">
        <v>14</v>
      </c>
      <c r="B1692" s="65" t="s">
        <v>15</v>
      </c>
      <c r="C1692" s="65"/>
      <c r="D1692" s="67">
        <v>77958.0</v>
      </c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</row>
    <row r="1693" ht="12.75" customHeight="1">
      <c r="A1693" s="65" t="s">
        <v>14</v>
      </c>
      <c r="B1693" s="65" t="s">
        <v>15</v>
      </c>
      <c r="C1693" s="65"/>
      <c r="D1693" s="67">
        <v>77107.5</v>
      </c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</row>
    <row r="1694" ht="12.75" customHeight="1">
      <c r="A1694" s="65" t="s">
        <v>14</v>
      </c>
      <c r="B1694" s="65" t="s">
        <v>15</v>
      </c>
      <c r="C1694" s="65"/>
      <c r="D1694" s="67">
        <v>76500.0</v>
      </c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</row>
    <row r="1695" ht="12.75" customHeight="1">
      <c r="A1695" s="65" t="s">
        <v>14</v>
      </c>
      <c r="B1695" s="65" t="s">
        <v>15</v>
      </c>
      <c r="C1695" s="65"/>
      <c r="D1695" s="67">
        <v>74925.0</v>
      </c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</row>
    <row r="1696" ht="12.75" customHeight="1">
      <c r="A1696" s="65" t="s">
        <v>14</v>
      </c>
      <c r="B1696" s="65" t="s">
        <v>15</v>
      </c>
      <c r="C1696" s="65"/>
      <c r="D1696" s="67">
        <v>70731.0</v>
      </c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</row>
    <row r="1697" ht="12.75" customHeight="1">
      <c r="A1697" s="65" t="s">
        <v>14</v>
      </c>
      <c r="B1697" s="65" t="s">
        <v>15</v>
      </c>
      <c r="C1697" s="65"/>
      <c r="D1697" s="67">
        <v>65610.0</v>
      </c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</row>
    <row r="1698" ht="12.75" customHeight="1">
      <c r="A1698" s="65" t="s">
        <v>14</v>
      </c>
      <c r="B1698" s="65" t="s">
        <v>15</v>
      </c>
      <c r="C1698" s="65"/>
      <c r="D1698" s="67">
        <v>65115.0</v>
      </c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</row>
    <row r="1699" ht="12.75" customHeight="1">
      <c r="A1699" s="65" t="s">
        <v>14</v>
      </c>
      <c r="B1699" s="65" t="s">
        <v>15</v>
      </c>
      <c r="C1699" s="65"/>
      <c r="D1699" s="67">
        <v>64485.0</v>
      </c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</row>
    <row r="1700" ht="12.75" customHeight="1">
      <c r="A1700" s="65" t="s">
        <v>14</v>
      </c>
      <c r="B1700" s="65" t="s">
        <v>15</v>
      </c>
      <c r="C1700" s="65"/>
      <c r="D1700" s="67">
        <v>64170.0</v>
      </c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</row>
    <row r="1701" ht="12.75" customHeight="1">
      <c r="A1701" s="65" t="s">
        <v>14</v>
      </c>
      <c r="B1701" s="65" t="s">
        <v>15</v>
      </c>
      <c r="C1701" s="65"/>
      <c r="D1701" s="67">
        <v>63751.5</v>
      </c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</row>
    <row r="1702" ht="12.75" customHeight="1">
      <c r="A1702" s="65" t="s">
        <v>14</v>
      </c>
      <c r="B1702" s="65" t="s">
        <v>15</v>
      </c>
      <c r="C1702" s="65"/>
      <c r="D1702" s="67">
        <v>62905.5</v>
      </c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</row>
    <row r="1703" ht="12.75" customHeight="1">
      <c r="A1703" s="65" t="s">
        <v>14</v>
      </c>
      <c r="B1703" s="65" t="s">
        <v>15</v>
      </c>
      <c r="C1703" s="65"/>
      <c r="D1703" s="67">
        <v>61875.0</v>
      </c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</row>
    <row r="1704" ht="12.75" customHeight="1">
      <c r="A1704" s="65" t="s">
        <v>14</v>
      </c>
      <c r="B1704" s="65" t="s">
        <v>15</v>
      </c>
      <c r="C1704" s="65"/>
      <c r="D1704" s="67">
        <v>61321.5</v>
      </c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</row>
    <row r="1705" ht="12.75" customHeight="1">
      <c r="A1705" s="65" t="s">
        <v>14</v>
      </c>
      <c r="B1705" s="65" t="s">
        <v>15</v>
      </c>
      <c r="C1705" s="65"/>
      <c r="D1705" s="67">
        <v>60835.5</v>
      </c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</row>
    <row r="1706" ht="12.75" customHeight="1">
      <c r="A1706" s="65" t="s">
        <v>14</v>
      </c>
      <c r="B1706" s="65" t="s">
        <v>15</v>
      </c>
      <c r="C1706" s="65"/>
      <c r="D1706" s="67">
        <v>60250.5</v>
      </c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</row>
    <row r="1707" ht="12.75" customHeight="1">
      <c r="A1707" s="65" t="s">
        <v>14</v>
      </c>
      <c r="B1707" s="65" t="s">
        <v>15</v>
      </c>
      <c r="C1707" s="65"/>
      <c r="D1707" s="67">
        <v>59737.5</v>
      </c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</row>
    <row r="1708" ht="12.75" customHeight="1">
      <c r="A1708" s="65" t="s">
        <v>14</v>
      </c>
      <c r="B1708" s="65" t="s">
        <v>15</v>
      </c>
      <c r="C1708" s="65"/>
      <c r="D1708" s="67">
        <v>59643.0</v>
      </c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</row>
    <row r="1709" ht="12.75" customHeight="1">
      <c r="A1709" s="65" t="s">
        <v>14</v>
      </c>
      <c r="B1709" s="65" t="s">
        <v>15</v>
      </c>
      <c r="C1709" s="65"/>
      <c r="D1709" s="67">
        <v>58905.0</v>
      </c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</row>
    <row r="1710" ht="12.75" customHeight="1">
      <c r="A1710" s="65" t="s">
        <v>14</v>
      </c>
      <c r="B1710" s="65" t="s">
        <v>15</v>
      </c>
      <c r="C1710" s="65"/>
      <c r="D1710" s="67">
        <v>56236.5</v>
      </c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</row>
    <row r="1711" ht="12.75" customHeight="1">
      <c r="A1711" s="65" t="s">
        <v>14</v>
      </c>
      <c r="B1711" s="65" t="s">
        <v>15</v>
      </c>
      <c r="C1711" s="65"/>
      <c r="D1711" s="67">
        <v>54805.5</v>
      </c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</row>
    <row r="1712" ht="12.75" customHeight="1">
      <c r="A1712" s="65" t="s">
        <v>14</v>
      </c>
      <c r="B1712" s="65" t="s">
        <v>15</v>
      </c>
      <c r="C1712" s="65"/>
      <c r="D1712" s="67">
        <v>53901.0</v>
      </c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</row>
    <row r="1713" ht="12.75" customHeight="1">
      <c r="A1713" s="65" t="s">
        <v>14</v>
      </c>
      <c r="B1713" s="65" t="s">
        <v>15</v>
      </c>
      <c r="C1713" s="65"/>
      <c r="D1713" s="67">
        <v>53833.5</v>
      </c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</row>
    <row r="1714" ht="12.75" customHeight="1">
      <c r="A1714" s="65" t="s">
        <v>14</v>
      </c>
      <c r="B1714" s="65" t="s">
        <v>15</v>
      </c>
      <c r="C1714" s="65"/>
      <c r="D1714" s="67">
        <v>53100.0</v>
      </c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</row>
    <row r="1715" ht="12.75" customHeight="1">
      <c r="A1715" s="65" t="s">
        <v>14</v>
      </c>
      <c r="B1715" s="65" t="s">
        <v>15</v>
      </c>
      <c r="C1715" s="65"/>
      <c r="D1715" s="67">
        <v>52506.0</v>
      </c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</row>
    <row r="1716" ht="12.75" customHeight="1">
      <c r="A1716" s="65" t="s">
        <v>14</v>
      </c>
      <c r="B1716" s="65" t="s">
        <v>15</v>
      </c>
      <c r="C1716" s="65"/>
      <c r="D1716" s="67">
        <v>50409.0</v>
      </c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</row>
    <row r="1717" ht="12.75" customHeight="1">
      <c r="A1717" s="65" t="s">
        <v>14</v>
      </c>
      <c r="B1717" s="65" t="s">
        <v>15</v>
      </c>
      <c r="C1717" s="65"/>
      <c r="D1717" s="67">
        <v>48676.5</v>
      </c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</row>
    <row r="1718" ht="12.75" customHeight="1">
      <c r="A1718" s="65" t="s">
        <v>14</v>
      </c>
      <c r="B1718" s="65" t="s">
        <v>15</v>
      </c>
      <c r="C1718" s="65"/>
      <c r="D1718" s="67">
        <v>47839.5</v>
      </c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</row>
    <row r="1719" ht="12.75" customHeight="1">
      <c r="A1719" s="65" t="s">
        <v>14</v>
      </c>
      <c r="B1719" s="65" t="s">
        <v>15</v>
      </c>
      <c r="C1719" s="65"/>
      <c r="D1719" s="67">
        <v>46989.0</v>
      </c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</row>
    <row r="1720" ht="12.75" customHeight="1">
      <c r="A1720" s="65" t="s">
        <v>14</v>
      </c>
      <c r="B1720" s="65" t="s">
        <v>15</v>
      </c>
      <c r="C1720" s="65"/>
      <c r="D1720" s="67">
        <v>46156.5</v>
      </c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</row>
    <row r="1721" ht="12.75" customHeight="1">
      <c r="A1721" s="65" t="s">
        <v>14</v>
      </c>
      <c r="B1721" s="65" t="s">
        <v>15</v>
      </c>
      <c r="C1721" s="65"/>
      <c r="D1721" s="67">
        <v>45000.0</v>
      </c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</row>
    <row r="1722" ht="12.75" customHeight="1">
      <c r="A1722" s="65" t="s">
        <v>14</v>
      </c>
      <c r="B1722" s="65" t="s">
        <v>15</v>
      </c>
      <c r="C1722" s="65"/>
      <c r="D1722" s="67">
        <v>44010.0</v>
      </c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</row>
    <row r="1723" ht="12.75" customHeight="1">
      <c r="A1723" s="65" t="s">
        <v>14</v>
      </c>
      <c r="B1723" s="65" t="s">
        <v>15</v>
      </c>
      <c r="C1723" s="65"/>
      <c r="D1723" s="67">
        <v>40311.0</v>
      </c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</row>
    <row r="1724" ht="12.75" customHeight="1">
      <c r="A1724" s="65" t="s">
        <v>14</v>
      </c>
      <c r="B1724" s="65" t="s">
        <v>15</v>
      </c>
      <c r="C1724" s="65"/>
      <c r="D1724" s="67">
        <v>39375.0</v>
      </c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</row>
    <row r="1725" ht="12.75" customHeight="1">
      <c r="A1725" s="65" t="s">
        <v>14</v>
      </c>
      <c r="B1725" s="65" t="s">
        <v>15</v>
      </c>
      <c r="C1725" s="65"/>
      <c r="D1725" s="67">
        <v>38389.5</v>
      </c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</row>
    <row r="1726" ht="12.75" customHeight="1">
      <c r="A1726" s="65" t="s">
        <v>14</v>
      </c>
      <c r="B1726" s="65" t="s">
        <v>15</v>
      </c>
      <c r="C1726" s="65"/>
      <c r="D1726" s="67">
        <v>36670.5</v>
      </c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</row>
    <row r="1727" ht="12.75" customHeight="1">
      <c r="A1727" s="65" t="s">
        <v>14</v>
      </c>
      <c r="B1727" s="65" t="s">
        <v>15</v>
      </c>
      <c r="C1727" s="65"/>
      <c r="D1727" s="67">
        <v>33700.5</v>
      </c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</row>
    <row r="1728" ht="12.75" customHeight="1">
      <c r="A1728" s="65" t="s">
        <v>14</v>
      </c>
      <c r="B1728" s="65" t="s">
        <v>15</v>
      </c>
      <c r="C1728" s="65"/>
      <c r="D1728" s="67">
        <v>32962.5</v>
      </c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</row>
    <row r="1729" ht="12.75" customHeight="1">
      <c r="A1729" s="65" t="s">
        <v>14</v>
      </c>
      <c r="B1729" s="65" t="s">
        <v>15</v>
      </c>
      <c r="C1729" s="65"/>
      <c r="D1729" s="67">
        <v>31572.0</v>
      </c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</row>
    <row r="1730" ht="12.75" customHeight="1">
      <c r="A1730" s="65" t="s">
        <v>14</v>
      </c>
      <c r="B1730" s="65" t="s">
        <v>15</v>
      </c>
      <c r="C1730" s="65"/>
      <c r="D1730" s="67">
        <v>28368.0</v>
      </c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</row>
    <row r="1731" ht="12.75" customHeight="1">
      <c r="A1731" s="65" t="s">
        <v>14</v>
      </c>
      <c r="B1731" s="65" t="s">
        <v>15</v>
      </c>
      <c r="C1731" s="65"/>
      <c r="D1731" s="67">
        <v>28327.5</v>
      </c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</row>
    <row r="1732" ht="12.75" customHeight="1">
      <c r="A1732" s="65" t="s">
        <v>14</v>
      </c>
      <c r="B1732" s="65" t="s">
        <v>15</v>
      </c>
      <c r="C1732" s="65"/>
      <c r="D1732" s="67">
        <v>28129.5</v>
      </c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</row>
    <row r="1733" ht="12.75" customHeight="1">
      <c r="A1733" s="65" t="s">
        <v>14</v>
      </c>
      <c r="B1733" s="65" t="s">
        <v>15</v>
      </c>
      <c r="C1733" s="65"/>
      <c r="D1733" s="67">
        <v>27927.0</v>
      </c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</row>
    <row r="1734" ht="12.75" customHeight="1">
      <c r="A1734" s="65" t="s">
        <v>14</v>
      </c>
      <c r="B1734" s="65" t="s">
        <v>15</v>
      </c>
      <c r="C1734" s="65"/>
      <c r="D1734" s="67">
        <v>26721.0</v>
      </c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</row>
    <row r="1735" ht="12.75" customHeight="1">
      <c r="A1735" s="65" t="s">
        <v>14</v>
      </c>
      <c r="B1735" s="65" t="s">
        <v>15</v>
      </c>
      <c r="C1735" s="65"/>
      <c r="D1735" s="67">
        <v>24115.5</v>
      </c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</row>
    <row r="1736" ht="12.75" customHeight="1">
      <c r="A1736" s="65" t="s">
        <v>14</v>
      </c>
      <c r="B1736" s="65" t="s">
        <v>15</v>
      </c>
      <c r="C1736" s="65"/>
      <c r="D1736" s="67">
        <v>23791.5</v>
      </c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</row>
    <row r="1737" ht="12.75" customHeight="1">
      <c r="A1737" s="65" t="s">
        <v>14</v>
      </c>
      <c r="B1737" s="65" t="s">
        <v>15</v>
      </c>
      <c r="C1737" s="65"/>
      <c r="D1737" s="67">
        <v>23400.0</v>
      </c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</row>
    <row r="1738" ht="12.75" customHeight="1">
      <c r="A1738" s="65" t="s">
        <v>14</v>
      </c>
      <c r="B1738" s="65" t="s">
        <v>15</v>
      </c>
      <c r="C1738" s="65"/>
      <c r="D1738" s="67">
        <v>20857.5</v>
      </c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</row>
    <row r="1739" ht="12.75" customHeight="1">
      <c r="A1739" s="65" t="s">
        <v>14</v>
      </c>
      <c r="B1739" s="65" t="s">
        <v>15</v>
      </c>
      <c r="C1739" s="65"/>
      <c r="D1739" s="67">
        <v>20250.0</v>
      </c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</row>
    <row r="1740" ht="12.75" customHeight="1">
      <c r="A1740" s="65" t="s">
        <v>14</v>
      </c>
      <c r="B1740" s="65" t="s">
        <v>15</v>
      </c>
      <c r="C1740" s="65"/>
      <c r="D1740" s="67">
        <v>19854.0</v>
      </c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</row>
    <row r="1741" ht="12.75" customHeight="1">
      <c r="A1741" s="65" t="s">
        <v>14</v>
      </c>
      <c r="B1741" s="65" t="s">
        <v>15</v>
      </c>
      <c r="C1741" s="65"/>
      <c r="D1741" s="67">
        <v>19440.0</v>
      </c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</row>
    <row r="1742" ht="12.75" customHeight="1">
      <c r="A1742" s="65" t="s">
        <v>14</v>
      </c>
      <c r="B1742" s="65" t="s">
        <v>15</v>
      </c>
      <c r="C1742" s="65"/>
      <c r="D1742" s="67">
        <v>19080.0</v>
      </c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</row>
    <row r="1743" ht="12.75" customHeight="1">
      <c r="A1743" s="65" t="s">
        <v>14</v>
      </c>
      <c r="B1743" s="65" t="s">
        <v>15</v>
      </c>
      <c r="C1743" s="65"/>
      <c r="D1743" s="67">
        <v>18049.5</v>
      </c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</row>
    <row r="1744" ht="12.75" customHeight="1">
      <c r="A1744" s="65" t="s">
        <v>14</v>
      </c>
      <c r="B1744" s="65" t="s">
        <v>15</v>
      </c>
      <c r="C1744" s="65"/>
      <c r="D1744" s="67">
        <v>18000.0</v>
      </c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</row>
    <row r="1745" ht="12.75" customHeight="1">
      <c r="A1745" s="65" t="s">
        <v>14</v>
      </c>
      <c r="B1745" s="65" t="s">
        <v>15</v>
      </c>
      <c r="C1745" s="65"/>
      <c r="D1745" s="67">
        <v>17590.5</v>
      </c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</row>
    <row r="1746" ht="12.75" customHeight="1">
      <c r="A1746" s="65" t="s">
        <v>14</v>
      </c>
      <c r="B1746" s="65" t="s">
        <v>15</v>
      </c>
      <c r="C1746" s="65"/>
      <c r="D1746" s="67">
        <v>17361.0</v>
      </c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</row>
    <row r="1747" ht="12.75" customHeight="1">
      <c r="A1747" s="65" t="s">
        <v>14</v>
      </c>
      <c r="B1747" s="65" t="s">
        <v>15</v>
      </c>
      <c r="C1747" s="65"/>
      <c r="D1747" s="67">
        <v>17059.5</v>
      </c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</row>
    <row r="1748" ht="12.75" customHeight="1">
      <c r="A1748" s="65" t="s">
        <v>14</v>
      </c>
      <c r="B1748" s="65" t="s">
        <v>15</v>
      </c>
      <c r="C1748" s="65"/>
      <c r="D1748" s="67">
        <v>16402.5</v>
      </c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</row>
    <row r="1749" ht="12.75" customHeight="1">
      <c r="A1749" s="65" t="s">
        <v>14</v>
      </c>
      <c r="B1749" s="65" t="s">
        <v>15</v>
      </c>
      <c r="C1749" s="65"/>
      <c r="D1749" s="67">
        <v>14400.0</v>
      </c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</row>
    <row r="1750" ht="12.75" customHeight="1">
      <c r="A1750" s="65" t="s">
        <v>14</v>
      </c>
      <c r="B1750" s="65" t="s">
        <v>15</v>
      </c>
      <c r="C1750" s="65"/>
      <c r="D1750" s="67">
        <v>13500.0</v>
      </c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</row>
    <row r="1751" ht="12.75" customHeight="1">
      <c r="A1751" s="65" t="s">
        <v>14</v>
      </c>
      <c r="B1751" s="65" t="s">
        <v>15</v>
      </c>
      <c r="C1751" s="65"/>
      <c r="D1751" s="67">
        <v>12001.5</v>
      </c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</row>
    <row r="1752" ht="12.75" customHeight="1">
      <c r="A1752" s="65" t="s">
        <v>14</v>
      </c>
      <c r="B1752" s="65" t="s">
        <v>15</v>
      </c>
      <c r="C1752" s="65"/>
      <c r="D1752" s="67">
        <v>10129.5</v>
      </c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</row>
    <row r="1753" ht="12.75" customHeight="1">
      <c r="A1753" s="65" t="s">
        <v>14</v>
      </c>
      <c r="B1753" s="65" t="s">
        <v>15</v>
      </c>
      <c r="C1753" s="65"/>
      <c r="D1753" s="67">
        <v>9792.0</v>
      </c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</row>
    <row r="1754" ht="12.75" customHeight="1">
      <c r="A1754" s="65" t="s">
        <v>14</v>
      </c>
      <c r="B1754" s="65" t="s">
        <v>15</v>
      </c>
      <c r="C1754" s="65"/>
      <c r="D1754" s="67">
        <v>8995.5</v>
      </c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</row>
    <row r="1755" ht="12.75" customHeight="1">
      <c r="A1755" s="65" t="s">
        <v>14</v>
      </c>
      <c r="B1755" s="65" t="s">
        <v>15</v>
      </c>
      <c r="C1755" s="65"/>
      <c r="D1755" s="67">
        <v>5404.5</v>
      </c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</row>
    <row r="1756" ht="12.75" customHeight="1">
      <c r="A1756" s="65" t="s">
        <v>14</v>
      </c>
      <c r="B1756" s="65" t="s">
        <v>15</v>
      </c>
      <c r="C1756" s="65"/>
      <c r="D1756" s="67">
        <v>4968.0</v>
      </c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</row>
    <row r="1757" ht="12.75" customHeight="1">
      <c r="A1757" s="65" t="s">
        <v>14</v>
      </c>
      <c r="B1757" s="65" t="s">
        <v>15</v>
      </c>
      <c r="C1757" s="65"/>
      <c r="D1757" s="67">
        <v>4423.5</v>
      </c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</row>
    <row r="1758" ht="12.75" customHeight="1">
      <c r="A1758" s="65" t="s">
        <v>14</v>
      </c>
      <c r="B1758" s="65" t="s">
        <v>15</v>
      </c>
      <c r="C1758" s="65"/>
      <c r="D1758" s="67">
        <v>0.0</v>
      </c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</row>
    <row r="1759" ht="12.75" customHeight="1">
      <c r="A1759" s="65" t="s">
        <v>14</v>
      </c>
      <c r="B1759" s="65" t="s">
        <v>15</v>
      </c>
      <c r="C1759" s="65"/>
      <c r="D1759" s="67">
        <v>-76315.5</v>
      </c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</row>
    <row r="1760" ht="12.75" customHeight="1">
      <c r="A1760" s="65" t="s">
        <v>14</v>
      </c>
      <c r="B1760" s="65" t="s">
        <v>15</v>
      </c>
      <c r="C1760" s="65"/>
      <c r="D1760" s="67">
        <v>901723.5</v>
      </c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</row>
    <row r="1761" ht="12.75" customHeight="1">
      <c r="A1761" s="65" t="s">
        <v>14</v>
      </c>
      <c r="B1761" s="65" t="s">
        <v>15</v>
      </c>
      <c r="C1761" s="65"/>
      <c r="D1761" s="67">
        <v>486648.0</v>
      </c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</row>
    <row r="1762" ht="12.75" customHeight="1">
      <c r="A1762" s="65" t="s">
        <v>14</v>
      </c>
      <c r="B1762" s="65" t="s">
        <v>15</v>
      </c>
      <c r="C1762" s="65"/>
      <c r="D1762" s="67">
        <v>340321.5</v>
      </c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</row>
    <row r="1763" ht="12.75" customHeight="1">
      <c r="A1763" s="65" t="s">
        <v>14</v>
      </c>
      <c r="B1763" s="65" t="s">
        <v>15</v>
      </c>
      <c r="C1763" s="65"/>
      <c r="D1763" s="67">
        <v>328855.5</v>
      </c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</row>
    <row r="1764" ht="12.75" customHeight="1">
      <c r="A1764" s="65" t="s">
        <v>14</v>
      </c>
      <c r="B1764" s="65" t="s">
        <v>15</v>
      </c>
      <c r="C1764" s="65"/>
      <c r="D1764" s="67">
        <v>284404.5</v>
      </c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</row>
    <row r="1765" ht="12.75" customHeight="1">
      <c r="A1765" s="65" t="s">
        <v>14</v>
      </c>
      <c r="B1765" s="65" t="s">
        <v>15</v>
      </c>
      <c r="C1765" s="65"/>
      <c r="D1765" s="67">
        <v>259866.0</v>
      </c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</row>
    <row r="1766" ht="12.75" customHeight="1">
      <c r="A1766" s="65" t="s">
        <v>14</v>
      </c>
      <c r="B1766" s="65" t="s">
        <v>15</v>
      </c>
      <c r="C1766" s="65"/>
      <c r="D1766" s="67">
        <v>232843.5</v>
      </c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</row>
    <row r="1767" ht="12.75" customHeight="1">
      <c r="A1767" s="65" t="s">
        <v>14</v>
      </c>
      <c r="B1767" s="65" t="s">
        <v>15</v>
      </c>
      <c r="C1767" s="65"/>
      <c r="D1767" s="67">
        <v>214884.0</v>
      </c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</row>
    <row r="1768" ht="12.75" customHeight="1">
      <c r="A1768" s="65" t="s">
        <v>14</v>
      </c>
      <c r="B1768" s="65" t="s">
        <v>15</v>
      </c>
      <c r="C1768" s="65"/>
      <c r="D1768" s="67">
        <v>194814.0</v>
      </c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</row>
    <row r="1769" ht="12.75" customHeight="1">
      <c r="A1769" s="65" t="s">
        <v>14</v>
      </c>
      <c r="B1769" s="65" t="s">
        <v>15</v>
      </c>
      <c r="C1769" s="65"/>
      <c r="D1769" s="67">
        <v>187290.0</v>
      </c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</row>
    <row r="1770" ht="12.75" customHeight="1">
      <c r="A1770" s="65" t="s">
        <v>14</v>
      </c>
      <c r="B1770" s="65" t="s">
        <v>15</v>
      </c>
      <c r="C1770" s="65"/>
      <c r="D1770" s="67">
        <v>184365.0</v>
      </c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</row>
    <row r="1771" ht="12.75" customHeight="1">
      <c r="A1771" s="65" t="s">
        <v>14</v>
      </c>
      <c r="B1771" s="65" t="s">
        <v>15</v>
      </c>
      <c r="C1771" s="65"/>
      <c r="D1771" s="67">
        <v>169965.0</v>
      </c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</row>
    <row r="1772" ht="12.75" customHeight="1">
      <c r="A1772" s="65" t="s">
        <v>14</v>
      </c>
      <c r="B1772" s="65" t="s">
        <v>15</v>
      </c>
      <c r="C1772" s="65"/>
      <c r="D1772" s="67">
        <v>161001.0</v>
      </c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</row>
    <row r="1773" ht="12.75" customHeight="1">
      <c r="A1773" s="65" t="s">
        <v>14</v>
      </c>
      <c r="B1773" s="65" t="s">
        <v>15</v>
      </c>
      <c r="C1773" s="65"/>
      <c r="D1773" s="67">
        <v>152217.0</v>
      </c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</row>
    <row r="1774" ht="12.75" customHeight="1">
      <c r="A1774" s="65" t="s">
        <v>14</v>
      </c>
      <c r="B1774" s="65" t="s">
        <v>15</v>
      </c>
      <c r="C1774" s="65"/>
      <c r="D1774" s="67">
        <v>139806.0</v>
      </c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</row>
    <row r="1775" ht="12.75" customHeight="1">
      <c r="A1775" s="65" t="s">
        <v>14</v>
      </c>
      <c r="B1775" s="65" t="s">
        <v>15</v>
      </c>
      <c r="C1775" s="65"/>
      <c r="D1775" s="67">
        <v>137160.0</v>
      </c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</row>
    <row r="1776" ht="12.75" customHeight="1">
      <c r="A1776" s="65" t="s">
        <v>14</v>
      </c>
      <c r="B1776" s="65" t="s">
        <v>15</v>
      </c>
      <c r="C1776" s="65"/>
      <c r="D1776" s="67">
        <v>134860.5</v>
      </c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</row>
    <row r="1777" ht="12.75" customHeight="1">
      <c r="A1777" s="65" t="s">
        <v>14</v>
      </c>
      <c r="B1777" s="65" t="s">
        <v>15</v>
      </c>
      <c r="C1777" s="65"/>
      <c r="D1777" s="67">
        <v>127107.0</v>
      </c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</row>
    <row r="1778" ht="12.75" customHeight="1">
      <c r="A1778" s="65" t="s">
        <v>14</v>
      </c>
      <c r="B1778" s="65" t="s">
        <v>15</v>
      </c>
      <c r="C1778" s="65"/>
      <c r="D1778" s="67">
        <v>122931.0</v>
      </c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</row>
    <row r="1779" ht="12.75" customHeight="1">
      <c r="A1779" s="65" t="s">
        <v>14</v>
      </c>
      <c r="B1779" s="65" t="s">
        <v>15</v>
      </c>
      <c r="C1779" s="65"/>
      <c r="D1779" s="67">
        <v>122431.5</v>
      </c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</row>
    <row r="1780" ht="12.75" customHeight="1">
      <c r="A1780" s="65" t="s">
        <v>14</v>
      </c>
      <c r="B1780" s="65" t="s">
        <v>15</v>
      </c>
      <c r="C1780" s="65"/>
      <c r="D1780" s="67">
        <v>121459.5</v>
      </c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</row>
    <row r="1781" ht="12.75" customHeight="1">
      <c r="A1781" s="65" t="s">
        <v>14</v>
      </c>
      <c r="B1781" s="65" t="s">
        <v>15</v>
      </c>
      <c r="C1781" s="65"/>
      <c r="D1781" s="67">
        <v>108751.5</v>
      </c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</row>
    <row r="1782" ht="12.75" customHeight="1">
      <c r="A1782" s="65" t="s">
        <v>14</v>
      </c>
      <c r="B1782" s="65" t="s">
        <v>15</v>
      </c>
      <c r="C1782" s="65"/>
      <c r="D1782" s="67">
        <v>106515.0</v>
      </c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</row>
    <row r="1783" ht="12.75" customHeight="1">
      <c r="A1783" s="65" t="s">
        <v>14</v>
      </c>
      <c r="B1783" s="65" t="s">
        <v>15</v>
      </c>
      <c r="C1783" s="65"/>
      <c r="D1783" s="67">
        <v>101610.0</v>
      </c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</row>
    <row r="1784" ht="12.75" customHeight="1">
      <c r="A1784" s="65" t="s">
        <v>14</v>
      </c>
      <c r="B1784" s="65" t="s">
        <v>15</v>
      </c>
      <c r="C1784" s="65"/>
      <c r="D1784" s="67">
        <v>100899.0</v>
      </c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</row>
    <row r="1785" ht="12.75" customHeight="1">
      <c r="A1785" s="65" t="s">
        <v>14</v>
      </c>
      <c r="B1785" s="65" t="s">
        <v>15</v>
      </c>
      <c r="C1785" s="65"/>
      <c r="D1785" s="67">
        <v>100449.0</v>
      </c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</row>
    <row r="1786" ht="12.75" customHeight="1">
      <c r="A1786" s="65" t="s">
        <v>14</v>
      </c>
      <c r="B1786" s="65" t="s">
        <v>15</v>
      </c>
      <c r="C1786" s="65"/>
      <c r="D1786" s="67">
        <v>95242.5</v>
      </c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</row>
    <row r="1787" ht="12.75" customHeight="1">
      <c r="A1787" s="65" t="s">
        <v>14</v>
      </c>
      <c r="B1787" s="65" t="s">
        <v>15</v>
      </c>
      <c r="C1787" s="65"/>
      <c r="D1787" s="67">
        <v>90297.0</v>
      </c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</row>
    <row r="1788" ht="12.75" customHeight="1">
      <c r="A1788" s="65" t="s">
        <v>14</v>
      </c>
      <c r="B1788" s="65" t="s">
        <v>15</v>
      </c>
      <c r="C1788" s="65"/>
      <c r="D1788" s="67">
        <v>84937.5</v>
      </c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</row>
    <row r="1789" ht="12.75" customHeight="1">
      <c r="A1789" s="65" t="s">
        <v>14</v>
      </c>
      <c r="B1789" s="65" t="s">
        <v>15</v>
      </c>
      <c r="C1789" s="65"/>
      <c r="D1789" s="67">
        <v>83695.5</v>
      </c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</row>
    <row r="1790" ht="12.75" customHeight="1">
      <c r="A1790" s="65" t="s">
        <v>14</v>
      </c>
      <c r="B1790" s="65" t="s">
        <v>15</v>
      </c>
      <c r="C1790" s="65"/>
      <c r="D1790" s="67">
        <v>83668.5</v>
      </c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</row>
    <row r="1791" ht="12.75" customHeight="1">
      <c r="A1791" s="65" t="s">
        <v>14</v>
      </c>
      <c r="B1791" s="65" t="s">
        <v>15</v>
      </c>
      <c r="C1791" s="65"/>
      <c r="D1791" s="67">
        <v>83106.0</v>
      </c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</row>
    <row r="1792" ht="12.75" customHeight="1">
      <c r="A1792" s="65" t="s">
        <v>14</v>
      </c>
      <c r="B1792" s="65" t="s">
        <v>15</v>
      </c>
      <c r="C1792" s="65"/>
      <c r="D1792" s="67">
        <v>83016.0</v>
      </c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</row>
    <row r="1793" ht="12.75" customHeight="1">
      <c r="A1793" s="65" t="s">
        <v>14</v>
      </c>
      <c r="B1793" s="65" t="s">
        <v>15</v>
      </c>
      <c r="C1793" s="65"/>
      <c r="D1793" s="67">
        <v>82147.5</v>
      </c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</row>
    <row r="1794" ht="12.75" customHeight="1">
      <c r="A1794" s="65" t="s">
        <v>14</v>
      </c>
      <c r="B1794" s="65" t="s">
        <v>15</v>
      </c>
      <c r="C1794" s="65"/>
      <c r="D1794" s="67">
        <v>81958.5</v>
      </c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</row>
    <row r="1795" ht="12.75" customHeight="1">
      <c r="A1795" s="65" t="s">
        <v>14</v>
      </c>
      <c r="B1795" s="65" t="s">
        <v>15</v>
      </c>
      <c r="C1795" s="65"/>
      <c r="D1795" s="67">
        <v>79587.0</v>
      </c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</row>
    <row r="1796" ht="12.75" customHeight="1">
      <c r="A1796" s="65" t="s">
        <v>14</v>
      </c>
      <c r="B1796" s="65" t="s">
        <v>15</v>
      </c>
      <c r="C1796" s="65"/>
      <c r="D1796" s="67">
        <v>76797.0</v>
      </c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</row>
    <row r="1797" ht="12.75" customHeight="1">
      <c r="A1797" s="65" t="s">
        <v>14</v>
      </c>
      <c r="B1797" s="65" t="s">
        <v>15</v>
      </c>
      <c r="C1797" s="65"/>
      <c r="D1797" s="67">
        <v>76536.0</v>
      </c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</row>
    <row r="1798" ht="12.75" customHeight="1">
      <c r="A1798" s="65" t="s">
        <v>14</v>
      </c>
      <c r="B1798" s="65" t="s">
        <v>15</v>
      </c>
      <c r="C1798" s="65"/>
      <c r="D1798" s="67">
        <v>75249.0</v>
      </c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</row>
    <row r="1799" ht="12.75" customHeight="1">
      <c r="A1799" s="65" t="s">
        <v>14</v>
      </c>
      <c r="B1799" s="65" t="s">
        <v>15</v>
      </c>
      <c r="C1799" s="65"/>
      <c r="D1799" s="67">
        <v>74961.0</v>
      </c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</row>
    <row r="1800" ht="12.75" customHeight="1">
      <c r="A1800" s="65" t="s">
        <v>14</v>
      </c>
      <c r="B1800" s="65" t="s">
        <v>15</v>
      </c>
      <c r="C1800" s="65"/>
      <c r="D1800" s="67">
        <v>74560.5</v>
      </c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</row>
    <row r="1801" ht="12.75" customHeight="1">
      <c r="A1801" s="65" t="s">
        <v>14</v>
      </c>
      <c r="B1801" s="65" t="s">
        <v>15</v>
      </c>
      <c r="C1801" s="65"/>
      <c r="D1801" s="67">
        <v>72058.5</v>
      </c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</row>
    <row r="1802" ht="12.75" customHeight="1">
      <c r="A1802" s="65" t="s">
        <v>14</v>
      </c>
      <c r="B1802" s="65" t="s">
        <v>15</v>
      </c>
      <c r="C1802" s="65"/>
      <c r="D1802" s="67">
        <v>71271.0</v>
      </c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</row>
    <row r="1803" ht="12.75" customHeight="1">
      <c r="A1803" s="65" t="s">
        <v>14</v>
      </c>
      <c r="B1803" s="65" t="s">
        <v>15</v>
      </c>
      <c r="C1803" s="65"/>
      <c r="D1803" s="67">
        <v>70425.0</v>
      </c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</row>
    <row r="1804" ht="12.75" customHeight="1">
      <c r="A1804" s="65" t="s">
        <v>14</v>
      </c>
      <c r="B1804" s="65" t="s">
        <v>15</v>
      </c>
      <c r="C1804" s="65"/>
      <c r="D1804" s="67">
        <v>66451.5</v>
      </c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</row>
    <row r="1805" ht="12.75" customHeight="1">
      <c r="A1805" s="65" t="s">
        <v>14</v>
      </c>
      <c r="B1805" s="65" t="s">
        <v>15</v>
      </c>
      <c r="C1805" s="65"/>
      <c r="D1805" s="67">
        <v>65731.5</v>
      </c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</row>
    <row r="1806" ht="12.75" customHeight="1">
      <c r="A1806" s="65" t="s">
        <v>14</v>
      </c>
      <c r="B1806" s="65" t="s">
        <v>15</v>
      </c>
      <c r="C1806" s="65"/>
      <c r="D1806" s="67">
        <v>65043.0</v>
      </c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</row>
    <row r="1807" ht="12.75" customHeight="1">
      <c r="A1807" s="65" t="s">
        <v>14</v>
      </c>
      <c r="B1807" s="65" t="s">
        <v>15</v>
      </c>
      <c r="C1807" s="65"/>
      <c r="D1807" s="67">
        <v>65007.0</v>
      </c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</row>
    <row r="1808" ht="12.75" customHeight="1">
      <c r="A1808" s="65" t="s">
        <v>14</v>
      </c>
      <c r="B1808" s="65" t="s">
        <v>15</v>
      </c>
      <c r="C1808" s="65"/>
      <c r="D1808" s="67">
        <v>65007.0</v>
      </c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</row>
    <row r="1809" ht="12.75" customHeight="1">
      <c r="A1809" s="65" t="s">
        <v>14</v>
      </c>
      <c r="B1809" s="65" t="s">
        <v>15</v>
      </c>
      <c r="C1809" s="65"/>
      <c r="D1809" s="67">
        <v>64885.5</v>
      </c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</row>
    <row r="1810" ht="12.75" customHeight="1">
      <c r="A1810" s="65" t="s">
        <v>14</v>
      </c>
      <c r="B1810" s="65" t="s">
        <v>15</v>
      </c>
      <c r="C1810" s="65"/>
      <c r="D1810" s="67">
        <v>64728.0</v>
      </c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</row>
    <row r="1811" ht="12.75" customHeight="1">
      <c r="A1811" s="65" t="s">
        <v>14</v>
      </c>
      <c r="B1811" s="65" t="s">
        <v>15</v>
      </c>
      <c r="C1811" s="65"/>
      <c r="D1811" s="67">
        <v>64314.0</v>
      </c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</row>
    <row r="1812" ht="12.75" customHeight="1">
      <c r="A1812" s="65" t="s">
        <v>14</v>
      </c>
      <c r="B1812" s="65" t="s">
        <v>15</v>
      </c>
      <c r="C1812" s="65"/>
      <c r="D1812" s="67">
        <v>63720.0</v>
      </c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</row>
    <row r="1813" ht="12.75" customHeight="1">
      <c r="A1813" s="65" t="s">
        <v>14</v>
      </c>
      <c r="B1813" s="65" t="s">
        <v>15</v>
      </c>
      <c r="C1813" s="65"/>
      <c r="D1813" s="67">
        <v>63508.5</v>
      </c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</row>
    <row r="1814" ht="12.75" customHeight="1">
      <c r="A1814" s="65" t="s">
        <v>14</v>
      </c>
      <c r="B1814" s="65" t="s">
        <v>15</v>
      </c>
      <c r="C1814" s="65"/>
      <c r="D1814" s="67">
        <v>63504.0</v>
      </c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</row>
    <row r="1815" ht="12.75" customHeight="1">
      <c r="A1815" s="65" t="s">
        <v>14</v>
      </c>
      <c r="B1815" s="65" t="s">
        <v>15</v>
      </c>
      <c r="C1815" s="65"/>
      <c r="D1815" s="67">
        <v>60705.0</v>
      </c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</row>
    <row r="1816" ht="12.75" customHeight="1">
      <c r="A1816" s="65" t="s">
        <v>14</v>
      </c>
      <c r="B1816" s="65" t="s">
        <v>15</v>
      </c>
      <c r="C1816" s="65"/>
      <c r="D1816" s="67">
        <v>60471.0</v>
      </c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</row>
    <row r="1817" ht="12.75" customHeight="1">
      <c r="A1817" s="65" t="s">
        <v>14</v>
      </c>
      <c r="B1817" s="65" t="s">
        <v>15</v>
      </c>
      <c r="C1817" s="65"/>
      <c r="D1817" s="67">
        <v>60079.5</v>
      </c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</row>
    <row r="1818" ht="12.75" customHeight="1">
      <c r="A1818" s="65" t="s">
        <v>14</v>
      </c>
      <c r="B1818" s="65" t="s">
        <v>15</v>
      </c>
      <c r="C1818" s="65"/>
      <c r="D1818" s="67">
        <v>57982.5</v>
      </c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</row>
    <row r="1819" ht="12.75" customHeight="1">
      <c r="A1819" s="65" t="s">
        <v>14</v>
      </c>
      <c r="B1819" s="65" t="s">
        <v>15</v>
      </c>
      <c r="C1819" s="65"/>
      <c r="D1819" s="67">
        <v>57681.0</v>
      </c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</row>
    <row r="1820" ht="12.75" customHeight="1">
      <c r="A1820" s="65" t="s">
        <v>14</v>
      </c>
      <c r="B1820" s="65" t="s">
        <v>15</v>
      </c>
      <c r="C1820" s="65"/>
      <c r="D1820" s="67">
        <v>57298.5</v>
      </c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</row>
    <row r="1821" ht="12.75" customHeight="1">
      <c r="A1821" s="65" t="s">
        <v>14</v>
      </c>
      <c r="B1821" s="65" t="s">
        <v>15</v>
      </c>
      <c r="C1821" s="65"/>
      <c r="D1821" s="67">
        <v>56772.0</v>
      </c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</row>
    <row r="1822" ht="12.75" customHeight="1">
      <c r="A1822" s="65" t="s">
        <v>14</v>
      </c>
      <c r="B1822" s="65" t="s">
        <v>15</v>
      </c>
      <c r="C1822" s="65"/>
      <c r="D1822" s="67">
        <v>56317.5</v>
      </c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</row>
    <row r="1823" ht="12.75" customHeight="1">
      <c r="A1823" s="65" t="s">
        <v>14</v>
      </c>
      <c r="B1823" s="65" t="s">
        <v>15</v>
      </c>
      <c r="C1823" s="65"/>
      <c r="D1823" s="67">
        <v>55233.0</v>
      </c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</row>
    <row r="1824" ht="12.75" customHeight="1">
      <c r="A1824" s="65" t="s">
        <v>14</v>
      </c>
      <c r="B1824" s="65" t="s">
        <v>15</v>
      </c>
      <c r="C1824" s="65"/>
      <c r="D1824" s="67">
        <v>53815.5</v>
      </c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</row>
    <row r="1825" ht="12.75" customHeight="1">
      <c r="A1825" s="65" t="s">
        <v>14</v>
      </c>
      <c r="B1825" s="65" t="s">
        <v>15</v>
      </c>
      <c r="C1825" s="65"/>
      <c r="D1825" s="67">
        <v>53437.5</v>
      </c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</row>
    <row r="1826" ht="12.75" customHeight="1">
      <c r="A1826" s="65" t="s">
        <v>14</v>
      </c>
      <c r="B1826" s="65" t="s">
        <v>15</v>
      </c>
      <c r="C1826" s="65"/>
      <c r="D1826" s="67">
        <v>53073.0</v>
      </c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</row>
    <row r="1827" ht="12.75" customHeight="1">
      <c r="A1827" s="65" t="s">
        <v>14</v>
      </c>
      <c r="B1827" s="65" t="s">
        <v>15</v>
      </c>
      <c r="C1827" s="65"/>
      <c r="D1827" s="67">
        <v>50089.5</v>
      </c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</row>
    <row r="1828" ht="12.75" customHeight="1">
      <c r="A1828" s="65" t="s">
        <v>14</v>
      </c>
      <c r="B1828" s="65" t="s">
        <v>15</v>
      </c>
      <c r="C1828" s="65"/>
      <c r="D1828" s="67">
        <v>49576.5</v>
      </c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</row>
    <row r="1829" ht="12.75" customHeight="1">
      <c r="A1829" s="65" t="s">
        <v>14</v>
      </c>
      <c r="B1829" s="65" t="s">
        <v>15</v>
      </c>
      <c r="C1829" s="65"/>
      <c r="D1829" s="67">
        <v>47655.0</v>
      </c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</row>
    <row r="1830" ht="12.75" customHeight="1">
      <c r="A1830" s="65" t="s">
        <v>14</v>
      </c>
      <c r="B1830" s="65" t="s">
        <v>15</v>
      </c>
      <c r="C1830" s="65"/>
      <c r="D1830" s="67">
        <v>47034.0</v>
      </c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</row>
    <row r="1831" ht="12.75" customHeight="1">
      <c r="A1831" s="65" t="s">
        <v>14</v>
      </c>
      <c r="B1831" s="65" t="s">
        <v>15</v>
      </c>
      <c r="C1831" s="65"/>
      <c r="D1831" s="67">
        <v>46638.0</v>
      </c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</row>
    <row r="1832" ht="12.75" customHeight="1">
      <c r="A1832" s="65" t="s">
        <v>14</v>
      </c>
      <c r="B1832" s="65" t="s">
        <v>15</v>
      </c>
      <c r="C1832" s="65"/>
      <c r="D1832" s="67">
        <v>46485.0</v>
      </c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</row>
    <row r="1833" ht="12.75" customHeight="1">
      <c r="A1833" s="65" t="s">
        <v>14</v>
      </c>
      <c r="B1833" s="65" t="s">
        <v>15</v>
      </c>
      <c r="C1833" s="65"/>
      <c r="D1833" s="67">
        <v>46147.5</v>
      </c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</row>
    <row r="1834" ht="12.75" customHeight="1">
      <c r="A1834" s="65" t="s">
        <v>14</v>
      </c>
      <c r="B1834" s="65" t="s">
        <v>15</v>
      </c>
      <c r="C1834" s="65"/>
      <c r="D1834" s="67">
        <v>45909.0</v>
      </c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</row>
    <row r="1835" ht="12.75" customHeight="1">
      <c r="A1835" s="65" t="s">
        <v>14</v>
      </c>
      <c r="B1835" s="65" t="s">
        <v>15</v>
      </c>
      <c r="C1835" s="65"/>
      <c r="D1835" s="67">
        <v>44860.5</v>
      </c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</row>
    <row r="1836" ht="12.75" customHeight="1">
      <c r="A1836" s="65" t="s">
        <v>14</v>
      </c>
      <c r="B1836" s="65" t="s">
        <v>15</v>
      </c>
      <c r="C1836" s="65"/>
      <c r="D1836" s="67">
        <v>44838.0</v>
      </c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</row>
    <row r="1837" ht="12.75" customHeight="1">
      <c r="A1837" s="65" t="s">
        <v>14</v>
      </c>
      <c r="B1837" s="65" t="s">
        <v>15</v>
      </c>
      <c r="C1837" s="65"/>
      <c r="D1837" s="67">
        <v>42799.5</v>
      </c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</row>
    <row r="1838" ht="12.75" customHeight="1">
      <c r="A1838" s="65" t="s">
        <v>14</v>
      </c>
      <c r="B1838" s="65" t="s">
        <v>15</v>
      </c>
      <c r="C1838" s="65"/>
      <c r="D1838" s="67">
        <v>42147.0</v>
      </c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</row>
    <row r="1839" ht="12.75" customHeight="1">
      <c r="A1839" s="65" t="s">
        <v>14</v>
      </c>
      <c r="B1839" s="65" t="s">
        <v>15</v>
      </c>
      <c r="C1839" s="65"/>
      <c r="D1839" s="67">
        <v>42079.5</v>
      </c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</row>
    <row r="1840" ht="12.75" customHeight="1">
      <c r="A1840" s="65" t="s">
        <v>14</v>
      </c>
      <c r="B1840" s="65" t="s">
        <v>15</v>
      </c>
      <c r="C1840" s="65"/>
      <c r="D1840" s="67">
        <v>41292.0</v>
      </c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</row>
    <row r="1841" ht="12.75" customHeight="1">
      <c r="A1841" s="65" t="s">
        <v>14</v>
      </c>
      <c r="B1841" s="65" t="s">
        <v>15</v>
      </c>
      <c r="C1841" s="65"/>
      <c r="D1841" s="67">
        <v>40554.0</v>
      </c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</row>
    <row r="1842" ht="12.75" customHeight="1">
      <c r="A1842" s="65" t="s">
        <v>14</v>
      </c>
      <c r="B1842" s="65" t="s">
        <v>15</v>
      </c>
      <c r="C1842" s="65"/>
      <c r="D1842" s="67">
        <v>40378.5</v>
      </c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</row>
    <row r="1843" ht="12.75" customHeight="1">
      <c r="A1843" s="65" t="s">
        <v>14</v>
      </c>
      <c r="B1843" s="65" t="s">
        <v>15</v>
      </c>
      <c r="C1843" s="65"/>
      <c r="D1843" s="67">
        <v>39460.5</v>
      </c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</row>
    <row r="1844" ht="12.75" customHeight="1">
      <c r="A1844" s="65" t="s">
        <v>14</v>
      </c>
      <c r="B1844" s="65" t="s">
        <v>15</v>
      </c>
      <c r="C1844" s="65"/>
      <c r="D1844" s="67">
        <v>39334.5</v>
      </c>
      <c r="E1844" s="14"/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</row>
    <row r="1845" ht="12.75" customHeight="1">
      <c r="A1845" s="65" t="s">
        <v>14</v>
      </c>
      <c r="B1845" s="65" t="s">
        <v>15</v>
      </c>
      <c r="C1845" s="65"/>
      <c r="D1845" s="67">
        <v>39037.5</v>
      </c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</row>
    <row r="1846" ht="12.75" customHeight="1">
      <c r="A1846" s="65" t="s">
        <v>14</v>
      </c>
      <c r="B1846" s="65" t="s">
        <v>15</v>
      </c>
      <c r="C1846" s="65"/>
      <c r="D1846" s="67">
        <v>37629.0</v>
      </c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</row>
    <row r="1847" ht="12.75" customHeight="1">
      <c r="A1847" s="65" t="s">
        <v>14</v>
      </c>
      <c r="B1847" s="65" t="s">
        <v>15</v>
      </c>
      <c r="C1847" s="65"/>
      <c r="D1847" s="67">
        <v>37287.0</v>
      </c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</row>
    <row r="1848" ht="12.75" customHeight="1">
      <c r="A1848" s="65" t="s">
        <v>14</v>
      </c>
      <c r="B1848" s="65" t="s">
        <v>15</v>
      </c>
      <c r="C1848" s="65"/>
      <c r="D1848" s="67">
        <v>37111.5</v>
      </c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</row>
    <row r="1849" ht="12.75" customHeight="1">
      <c r="A1849" s="65" t="s">
        <v>14</v>
      </c>
      <c r="B1849" s="65" t="s">
        <v>15</v>
      </c>
      <c r="C1849" s="65"/>
      <c r="D1849" s="67">
        <v>37053.0</v>
      </c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</row>
    <row r="1850" ht="12.75" customHeight="1">
      <c r="A1850" s="65" t="s">
        <v>14</v>
      </c>
      <c r="B1850" s="65" t="s">
        <v>15</v>
      </c>
      <c r="C1850" s="65"/>
      <c r="D1850" s="67">
        <v>36738.0</v>
      </c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</row>
    <row r="1851" ht="12.75" customHeight="1">
      <c r="A1851" s="65" t="s">
        <v>14</v>
      </c>
      <c r="B1851" s="65" t="s">
        <v>15</v>
      </c>
      <c r="C1851" s="65"/>
      <c r="D1851" s="67">
        <v>36328.5</v>
      </c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</row>
    <row r="1852" ht="12.75" customHeight="1">
      <c r="A1852" s="65" t="s">
        <v>14</v>
      </c>
      <c r="B1852" s="65" t="s">
        <v>15</v>
      </c>
      <c r="C1852" s="65"/>
      <c r="D1852" s="67">
        <v>35995.5</v>
      </c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</row>
    <row r="1853" ht="12.75" customHeight="1">
      <c r="A1853" s="65" t="s">
        <v>14</v>
      </c>
      <c r="B1853" s="65" t="s">
        <v>15</v>
      </c>
      <c r="C1853" s="65"/>
      <c r="D1853" s="67">
        <v>35815.5</v>
      </c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</row>
    <row r="1854" ht="12.75" customHeight="1">
      <c r="A1854" s="65" t="s">
        <v>14</v>
      </c>
      <c r="B1854" s="65" t="s">
        <v>15</v>
      </c>
      <c r="C1854" s="65"/>
      <c r="D1854" s="67">
        <v>34434.0</v>
      </c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</row>
    <row r="1855" ht="12.75" customHeight="1">
      <c r="A1855" s="65" t="s">
        <v>14</v>
      </c>
      <c r="B1855" s="65" t="s">
        <v>15</v>
      </c>
      <c r="C1855" s="65"/>
      <c r="D1855" s="67">
        <v>34312.5</v>
      </c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</row>
    <row r="1856" ht="12.75" customHeight="1">
      <c r="A1856" s="65" t="s">
        <v>14</v>
      </c>
      <c r="B1856" s="65" t="s">
        <v>15</v>
      </c>
      <c r="C1856" s="65"/>
      <c r="D1856" s="67">
        <v>34263.0</v>
      </c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</row>
    <row r="1857" ht="12.75" customHeight="1">
      <c r="A1857" s="65" t="s">
        <v>14</v>
      </c>
      <c r="B1857" s="65" t="s">
        <v>15</v>
      </c>
      <c r="C1857" s="65"/>
      <c r="D1857" s="67">
        <v>33997.5</v>
      </c>
      <c r="E1857" s="14"/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</row>
    <row r="1858" ht="12.75" customHeight="1">
      <c r="A1858" s="65" t="s">
        <v>14</v>
      </c>
      <c r="B1858" s="65" t="s">
        <v>15</v>
      </c>
      <c r="C1858" s="65"/>
      <c r="D1858" s="67">
        <v>33876.0</v>
      </c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</row>
    <row r="1859" ht="12.75" customHeight="1">
      <c r="A1859" s="65" t="s">
        <v>14</v>
      </c>
      <c r="B1859" s="65" t="s">
        <v>15</v>
      </c>
      <c r="C1859" s="65"/>
      <c r="D1859" s="67">
        <v>33840.0</v>
      </c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</row>
    <row r="1860" ht="12.75" customHeight="1">
      <c r="A1860" s="65" t="s">
        <v>14</v>
      </c>
      <c r="B1860" s="65" t="s">
        <v>15</v>
      </c>
      <c r="C1860" s="65"/>
      <c r="D1860" s="67">
        <v>33597.0</v>
      </c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</row>
    <row r="1861" ht="12.75" customHeight="1">
      <c r="A1861" s="65" t="s">
        <v>14</v>
      </c>
      <c r="B1861" s="65" t="s">
        <v>15</v>
      </c>
      <c r="C1861" s="65"/>
      <c r="D1861" s="67">
        <v>33264.0</v>
      </c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</row>
    <row r="1862" ht="12.75" customHeight="1">
      <c r="A1862" s="65" t="s">
        <v>14</v>
      </c>
      <c r="B1862" s="65" t="s">
        <v>15</v>
      </c>
      <c r="C1862" s="65"/>
      <c r="D1862" s="67">
        <v>32413.5</v>
      </c>
      <c r="E1862" s="14"/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</row>
    <row r="1863" ht="12.75" customHeight="1">
      <c r="A1863" s="65" t="s">
        <v>14</v>
      </c>
      <c r="B1863" s="65" t="s">
        <v>15</v>
      </c>
      <c r="C1863" s="65"/>
      <c r="D1863" s="67">
        <v>32202.0</v>
      </c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</row>
    <row r="1864" ht="12.75" customHeight="1">
      <c r="A1864" s="65" t="s">
        <v>14</v>
      </c>
      <c r="B1864" s="65" t="s">
        <v>15</v>
      </c>
      <c r="C1864" s="65"/>
      <c r="D1864" s="67">
        <v>32179.5</v>
      </c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</row>
    <row r="1865" ht="12.75" customHeight="1">
      <c r="A1865" s="65" t="s">
        <v>14</v>
      </c>
      <c r="B1865" s="65" t="s">
        <v>15</v>
      </c>
      <c r="C1865" s="65"/>
      <c r="D1865" s="67">
        <v>31810.5</v>
      </c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</row>
    <row r="1866" ht="12.75" customHeight="1">
      <c r="A1866" s="65" t="s">
        <v>14</v>
      </c>
      <c r="B1866" s="65" t="s">
        <v>15</v>
      </c>
      <c r="C1866" s="65"/>
      <c r="D1866" s="67">
        <v>31414.5</v>
      </c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</row>
    <row r="1867" ht="12.75" customHeight="1">
      <c r="A1867" s="65" t="s">
        <v>14</v>
      </c>
      <c r="B1867" s="65" t="s">
        <v>15</v>
      </c>
      <c r="C1867" s="65"/>
      <c r="D1867" s="67">
        <v>31009.5</v>
      </c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</row>
    <row r="1868" ht="12.75" customHeight="1">
      <c r="A1868" s="65" t="s">
        <v>14</v>
      </c>
      <c r="B1868" s="65" t="s">
        <v>15</v>
      </c>
      <c r="C1868" s="65"/>
      <c r="D1868" s="67">
        <v>30204.0</v>
      </c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</row>
    <row r="1869" ht="12.75" customHeight="1">
      <c r="A1869" s="65" t="s">
        <v>14</v>
      </c>
      <c r="B1869" s="65" t="s">
        <v>15</v>
      </c>
      <c r="C1869" s="65"/>
      <c r="D1869" s="67">
        <v>30150.0</v>
      </c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</row>
    <row r="1870" ht="12.75" customHeight="1">
      <c r="A1870" s="65" t="s">
        <v>14</v>
      </c>
      <c r="B1870" s="65" t="s">
        <v>15</v>
      </c>
      <c r="C1870" s="65"/>
      <c r="D1870" s="67">
        <v>29646.0</v>
      </c>
      <c r="E1870" s="14"/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</row>
    <row r="1871" ht="12.75" customHeight="1">
      <c r="A1871" s="65" t="s">
        <v>14</v>
      </c>
      <c r="B1871" s="65" t="s">
        <v>15</v>
      </c>
      <c r="C1871" s="65"/>
      <c r="D1871" s="67">
        <v>29637.0</v>
      </c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</row>
    <row r="1872" ht="12.75" customHeight="1">
      <c r="A1872" s="65" t="s">
        <v>14</v>
      </c>
      <c r="B1872" s="65" t="s">
        <v>15</v>
      </c>
      <c r="C1872" s="65"/>
      <c r="D1872" s="67">
        <v>28494.0</v>
      </c>
      <c r="E1872" s="14"/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</row>
    <row r="1873" ht="12.75" customHeight="1">
      <c r="A1873" s="65" t="s">
        <v>14</v>
      </c>
      <c r="B1873" s="65" t="s">
        <v>15</v>
      </c>
      <c r="C1873" s="65"/>
      <c r="D1873" s="67">
        <v>28417.5</v>
      </c>
      <c r="E1873" s="14"/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</row>
    <row r="1874" ht="12.75" customHeight="1">
      <c r="A1874" s="65" t="s">
        <v>14</v>
      </c>
      <c r="B1874" s="65" t="s">
        <v>15</v>
      </c>
      <c r="C1874" s="65"/>
      <c r="D1874" s="67">
        <v>27900.0</v>
      </c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</row>
    <row r="1875" ht="12.75" customHeight="1">
      <c r="A1875" s="65" t="s">
        <v>14</v>
      </c>
      <c r="B1875" s="65" t="s">
        <v>15</v>
      </c>
      <c r="C1875" s="65"/>
      <c r="D1875" s="67">
        <v>27409.5</v>
      </c>
      <c r="E1875" s="14"/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</row>
    <row r="1876" ht="12.75" customHeight="1">
      <c r="A1876" s="65" t="s">
        <v>14</v>
      </c>
      <c r="B1876" s="65" t="s">
        <v>15</v>
      </c>
      <c r="C1876" s="65"/>
      <c r="D1876" s="67">
        <v>27193.5</v>
      </c>
      <c r="E1876" s="14"/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</row>
    <row r="1877" ht="12.75" customHeight="1">
      <c r="A1877" s="65" t="s">
        <v>14</v>
      </c>
      <c r="B1877" s="65" t="s">
        <v>15</v>
      </c>
      <c r="C1877" s="65"/>
      <c r="D1877" s="67">
        <v>26064.0</v>
      </c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</row>
    <row r="1878" ht="12.75" customHeight="1">
      <c r="A1878" s="65" t="s">
        <v>14</v>
      </c>
      <c r="B1878" s="65" t="s">
        <v>15</v>
      </c>
      <c r="C1878" s="65"/>
      <c r="D1878" s="67">
        <v>26055.0</v>
      </c>
      <c r="E1878" s="14"/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</row>
    <row r="1879" ht="12.75" customHeight="1">
      <c r="A1879" s="65" t="s">
        <v>14</v>
      </c>
      <c r="B1879" s="65" t="s">
        <v>15</v>
      </c>
      <c r="C1879" s="65"/>
      <c r="D1879" s="67">
        <v>25438.5</v>
      </c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</row>
    <row r="1880" ht="12.75" customHeight="1">
      <c r="A1880" s="65" t="s">
        <v>14</v>
      </c>
      <c r="B1880" s="65" t="s">
        <v>15</v>
      </c>
      <c r="C1880" s="65"/>
      <c r="D1880" s="67">
        <v>25231.5</v>
      </c>
      <c r="E1880" s="14"/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</row>
    <row r="1881" ht="12.75" customHeight="1">
      <c r="A1881" s="65" t="s">
        <v>14</v>
      </c>
      <c r="B1881" s="65" t="s">
        <v>15</v>
      </c>
      <c r="C1881" s="65"/>
      <c r="D1881" s="67">
        <v>24705.0</v>
      </c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</row>
    <row r="1882" ht="12.75" customHeight="1">
      <c r="A1882" s="65" t="s">
        <v>14</v>
      </c>
      <c r="B1882" s="65" t="s">
        <v>15</v>
      </c>
      <c r="C1882" s="65"/>
      <c r="D1882" s="67">
        <v>24453.0</v>
      </c>
      <c r="E1882" s="14"/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</row>
    <row r="1883" ht="12.75" customHeight="1">
      <c r="A1883" s="65" t="s">
        <v>14</v>
      </c>
      <c r="B1883" s="65" t="s">
        <v>15</v>
      </c>
      <c r="C1883" s="65"/>
      <c r="D1883" s="67">
        <v>24336.0</v>
      </c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</row>
    <row r="1884" ht="12.75" customHeight="1">
      <c r="A1884" s="65" t="s">
        <v>14</v>
      </c>
      <c r="B1884" s="65" t="s">
        <v>15</v>
      </c>
      <c r="C1884" s="65"/>
      <c r="D1884" s="67">
        <v>24268.5</v>
      </c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</row>
    <row r="1885" ht="12.75" customHeight="1">
      <c r="A1885" s="65" t="s">
        <v>14</v>
      </c>
      <c r="B1885" s="65" t="s">
        <v>15</v>
      </c>
      <c r="C1885" s="65"/>
      <c r="D1885" s="67">
        <v>23782.5</v>
      </c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</row>
    <row r="1886" ht="12.75" customHeight="1">
      <c r="A1886" s="65" t="s">
        <v>14</v>
      </c>
      <c r="B1886" s="65" t="s">
        <v>15</v>
      </c>
      <c r="C1886" s="65"/>
      <c r="D1886" s="67">
        <v>23769.0</v>
      </c>
      <c r="E1886" s="14"/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</row>
    <row r="1887" ht="12.75" customHeight="1">
      <c r="A1887" s="65" t="s">
        <v>14</v>
      </c>
      <c r="B1887" s="65" t="s">
        <v>15</v>
      </c>
      <c r="C1887" s="65"/>
      <c r="D1887" s="67">
        <v>23382.0</v>
      </c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</row>
    <row r="1888" ht="12.75" customHeight="1">
      <c r="A1888" s="65" t="s">
        <v>14</v>
      </c>
      <c r="B1888" s="65" t="s">
        <v>15</v>
      </c>
      <c r="C1888" s="65"/>
      <c r="D1888" s="67">
        <v>23184.0</v>
      </c>
      <c r="E1888" s="14"/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</row>
    <row r="1889" ht="12.75" customHeight="1">
      <c r="A1889" s="65" t="s">
        <v>14</v>
      </c>
      <c r="B1889" s="65" t="s">
        <v>15</v>
      </c>
      <c r="C1889" s="65"/>
      <c r="D1889" s="67">
        <v>23139.0</v>
      </c>
      <c r="E1889" s="14"/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</row>
    <row r="1890" ht="12.75" customHeight="1">
      <c r="A1890" s="65" t="s">
        <v>14</v>
      </c>
      <c r="B1890" s="65" t="s">
        <v>15</v>
      </c>
      <c r="C1890" s="65"/>
      <c r="D1890" s="67">
        <v>22842.0</v>
      </c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</row>
    <row r="1891" ht="12.75" customHeight="1">
      <c r="A1891" s="65" t="s">
        <v>14</v>
      </c>
      <c r="B1891" s="65" t="s">
        <v>15</v>
      </c>
      <c r="C1891" s="65"/>
      <c r="D1891" s="67">
        <v>21721.5</v>
      </c>
      <c r="E1891" s="14"/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</row>
    <row r="1892" ht="12.75" customHeight="1">
      <c r="A1892" s="65" t="s">
        <v>14</v>
      </c>
      <c r="B1892" s="65" t="s">
        <v>15</v>
      </c>
      <c r="C1892" s="65"/>
      <c r="D1892" s="67">
        <v>21672.0</v>
      </c>
      <c r="E1892" s="14"/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</row>
    <row r="1893" ht="12.75" customHeight="1">
      <c r="A1893" s="65" t="s">
        <v>14</v>
      </c>
      <c r="B1893" s="65" t="s">
        <v>15</v>
      </c>
      <c r="C1893" s="65"/>
      <c r="D1893" s="67">
        <v>21523.5</v>
      </c>
      <c r="E1893" s="14"/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</row>
    <row r="1894" ht="12.75" customHeight="1">
      <c r="A1894" s="65" t="s">
        <v>14</v>
      </c>
      <c r="B1894" s="65" t="s">
        <v>15</v>
      </c>
      <c r="C1894" s="65"/>
      <c r="D1894" s="67">
        <v>21280.5</v>
      </c>
      <c r="E1894" s="14"/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</row>
    <row r="1895" ht="12.75" customHeight="1">
      <c r="A1895" s="65" t="s">
        <v>14</v>
      </c>
      <c r="B1895" s="65" t="s">
        <v>15</v>
      </c>
      <c r="C1895" s="65"/>
      <c r="D1895" s="67">
        <v>20907.0</v>
      </c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</row>
    <row r="1896" ht="12.75" customHeight="1">
      <c r="A1896" s="65" t="s">
        <v>14</v>
      </c>
      <c r="B1896" s="65" t="s">
        <v>15</v>
      </c>
      <c r="C1896" s="65"/>
      <c r="D1896" s="67">
        <v>20718.0</v>
      </c>
      <c r="E1896" s="14"/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</row>
    <row r="1897" ht="12.75" customHeight="1">
      <c r="A1897" s="65" t="s">
        <v>14</v>
      </c>
      <c r="B1897" s="65" t="s">
        <v>15</v>
      </c>
      <c r="C1897" s="65"/>
      <c r="D1897" s="67">
        <v>20295.0</v>
      </c>
      <c r="E1897" s="14"/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</row>
    <row r="1898" ht="12.75" customHeight="1">
      <c r="A1898" s="65" t="s">
        <v>14</v>
      </c>
      <c r="B1898" s="65" t="s">
        <v>15</v>
      </c>
      <c r="C1898" s="65"/>
      <c r="D1898" s="67">
        <v>19957.5</v>
      </c>
      <c r="E1898" s="14"/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</row>
    <row r="1899" ht="12.75" customHeight="1">
      <c r="A1899" s="65" t="s">
        <v>14</v>
      </c>
      <c r="B1899" s="65" t="s">
        <v>15</v>
      </c>
      <c r="C1899" s="65"/>
      <c r="D1899" s="67">
        <v>19831.5</v>
      </c>
      <c r="E1899" s="14"/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</row>
    <row r="1900" ht="12.75" customHeight="1">
      <c r="A1900" s="65" t="s">
        <v>14</v>
      </c>
      <c r="B1900" s="65" t="s">
        <v>15</v>
      </c>
      <c r="C1900" s="65"/>
      <c r="D1900" s="67">
        <v>19476.0</v>
      </c>
      <c r="E1900" s="14"/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</row>
    <row r="1901" ht="12.75" customHeight="1">
      <c r="A1901" s="65" t="s">
        <v>14</v>
      </c>
      <c r="B1901" s="65" t="s">
        <v>15</v>
      </c>
      <c r="C1901" s="65"/>
      <c r="D1901" s="67">
        <v>19422.0</v>
      </c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</row>
    <row r="1902" ht="12.75" customHeight="1">
      <c r="A1902" s="65" t="s">
        <v>14</v>
      </c>
      <c r="B1902" s="65" t="s">
        <v>15</v>
      </c>
      <c r="C1902" s="65"/>
      <c r="D1902" s="67">
        <v>19093.5</v>
      </c>
      <c r="E1902" s="14"/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</row>
    <row r="1903" ht="12.75" customHeight="1">
      <c r="A1903" s="65" t="s">
        <v>14</v>
      </c>
      <c r="B1903" s="65" t="s">
        <v>15</v>
      </c>
      <c r="C1903" s="65"/>
      <c r="D1903" s="67">
        <v>18963.0</v>
      </c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</row>
    <row r="1904" ht="12.75" customHeight="1">
      <c r="A1904" s="65" t="s">
        <v>14</v>
      </c>
      <c r="B1904" s="65" t="s">
        <v>15</v>
      </c>
      <c r="C1904" s="65"/>
      <c r="D1904" s="67">
        <v>18958.5</v>
      </c>
      <c r="E1904" s="14"/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</row>
    <row r="1905" ht="12.75" customHeight="1">
      <c r="A1905" s="65" t="s">
        <v>14</v>
      </c>
      <c r="B1905" s="65" t="s">
        <v>15</v>
      </c>
      <c r="C1905" s="65"/>
      <c r="D1905" s="67">
        <v>18670.5</v>
      </c>
      <c r="E1905" s="14"/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</row>
    <row r="1906" ht="12.75" customHeight="1">
      <c r="A1906" s="65" t="s">
        <v>14</v>
      </c>
      <c r="B1906" s="65" t="s">
        <v>15</v>
      </c>
      <c r="C1906" s="65"/>
      <c r="D1906" s="67">
        <v>18549.0</v>
      </c>
      <c r="E1906" s="14"/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</row>
    <row r="1907" ht="12.75" customHeight="1">
      <c r="A1907" s="65" t="s">
        <v>14</v>
      </c>
      <c r="B1907" s="65" t="s">
        <v>15</v>
      </c>
      <c r="C1907" s="65"/>
      <c r="D1907" s="67">
        <v>18495.0</v>
      </c>
      <c r="E1907" s="14"/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</row>
    <row r="1908" ht="12.75" customHeight="1">
      <c r="A1908" s="65" t="s">
        <v>14</v>
      </c>
      <c r="B1908" s="65" t="s">
        <v>15</v>
      </c>
      <c r="C1908" s="65"/>
      <c r="D1908" s="67">
        <v>18355.5</v>
      </c>
      <c r="E1908" s="14"/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</row>
    <row r="1909" ht="12.75" customHeight="1">
      <c r="A1909" s="65" t="s">
        <v>14</v>
      </c>
      <c r="B1909" s="65" t="s">
        <v>15</v>
      </c>
      <c r="C1909" s="65"/>
      <c r="D1909" s="67">
        <v>18063.0</v>
      </c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</row>
    <row r="1910" ht="12.75" customHeight="1">
      <c r="A1910" s="65" t="s">
        <v>14</v>
      </c>
      <c r="B1910" s="65" t="s">
        <v>15</v>
      </c>
      <c r="C1910" s="65"/>
      <c r="D1910" s="67">
        <v>17829.0</v>
      </c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</row>
    <row r="1911" ht="12.75" customHeight="1">
      <c r="A1911" s="65" t="s">
        <v>14</v>
      </c>
      <c r="B1911" s="65" t="s">
        <v>15</v>
      </c>
      <c r="C1911" s="65"/>
      <c r="D1911" s="67">
        <v>17347.5</v>
      </c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</row>
    <row r="1912" ht="12.75" customHeight="1">
      <c r="A1912" s="65" t="s">
        <v>14</v>
      </c>
      <c r="B1912" s="65" t="s">
        <v>15</v>
      </c>
      <c r="C1912" s="65"/>
      <c r="D1912" s="67">
        <v>17145.0</v>
      </c>
      <c r="E1912" s="14"/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</row>
    <row r="1913" ht="12.75" customHeight="1">
      <c r="A1913" s="65" t="s">
        <v>14</v>
      </c>
      <c r="B1913" s="65" t="s">
        <v>15</v>
      </c>
      <c r="C1913" s="65"/>
      <c r="D1913" s="67">
        <v>17118.0</v>
      </c>
      <c r="E1913" s="14"/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</row>
    <row r="1914" ht="12.75" customHeight="1">
      <c r="A1914" s="65" t="s">
        <v>14</v>
      </c>
      <c r="B1914" s="65" t="s">
        <v>15</v>
      </c>
      <c r="C1914" s="65"/>
      <c r="D1914" s="67">
        <v>16960.5</v>
      </c>
      <c r="E1914" s="14"/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</row>
    <row r="1915" ht="12.75" customHeight="1">
      <c r="A1915" s="65" t="s">
        <v>14</v>
      </c>
      <c r="B1915" s="65" t="s">
        <v>15</v>
      </c>
      <c r="C1915" s="65"/>
      <c r="D1915" s="67">
        <v>16947.0</v>
      </c>
      <c r="E1915" s="14"/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</row>
    <row r="1916" ht="12.75" customHeight="1">
      <c r="A1916" s="65" t="s">
        <v>14</v>
      </c>
      <c r="B1916" s="65" t="s">
        <v>15</v>
      </c>
      <c r="C1916" s="65"/>
      <c r="D1916" s="67">
        <v>16902.0</v>
      </c>
      <c r="E1916" s="14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</row>
    <row r="1917" ht="12.75" customHeight="1">
      <c r="A1917" s="65" t="s">
        <v>14</v>
      </c>
      <c r="B1917" s="65" t="s">
        <v>15</v>
      </c>
      <c r="C1917" s="65"/>
      <c r="D1917" s="67">
        <v>16749.0</v>
      </c>
      <c r="E1917" s="14"/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</row>
    <row r="1918" ht="12.75" customHeight="1">
      <c r="A1918" s="65" t="s">
        <v>14</v>
      </c>
      <c r="B1918" s="65" t="s">
        <v>15</v>
      </c>
      <c r="C1918" s="65"/>
      <c r="D1918" s="67">
        <v>16740.0</v>
      </c>
      <c r="E1918" s="14"/>
      <c r="F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</row>
    <row r="1919" ht="12.75" customHeight="1">
      <c r="A1919" s="65" t="s">
        <v>14</v>
      </c>
      <c r="B1919" s="65" t="s">
        <v>15</v>
      </c>
      <c r="C1919" s="65"/>
      <c r="D1919" s="67">
        <v>16591.5</v>
      </c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</row>
    <row r="1920" ht="12.75" customHeight="1">
      <c r="A1920" s="65" t="s">
        <v>14</v>
      </c>
      <c r="B1920" s="65" t="s">
        <v>15</v>
      </c>
      <c r="C1920" s="65"/>
      <c r="D1920" s="67">
        <v>16542.0</v>
      </c>
      <c r="E1920" s="14"/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</row>
    <row r="1921" ht="12.75" customHeight="1">
      <c r="A1921" s="65" t="s">
        <v>14</v>
      </c>
      <c r="B1921" s="65" t="s">
        <v>15</v>
      </c>
      <c r="C1921" s="65"/>
      <c r="D1921" s="67">
        <v>16461.0</v>
      </c>
      <c r="E1921" s="14"/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</row>
    <row r="1922" ht="12.75" customHeight="1">
      <c r="A1922" s="65" t="s">
        <v>14</v>
      </c>
      <c r="B1922" s="65" t="s">
        <v>15</v>
      </c>
      <c r="C1922" s="65"/>
      <c r="D1922" s="67">
        <v>16281.0</v>
      </c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</row>
    <row r="1923" ht="12.75" customHeight="1">
      <c r="A1923" s="65" t="s">
        <v>14</v>
      </c>
      <c r="B1923" s="65" t="s">
        <v>15</v>
      </c>
      <c r="C1923" s="65"/>
      <c r="D1923" s="67">
        <v>16218.0</v>
      </c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</row>
    <row r="1924" ht="12.75" customHeight="1">
      <c r="A1924" s="65" t="s">
        <v>14</v>
      </c>
      <c r="B1924" s="65" t="s">
        <v>15</v>
      </c>
      <c r="C1924" s="65"/>
      <c r="D1924" s="67">
        <v>16218.0</v>
      </c>
      <c r="E1924" s="14"/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</row>
    <row r="1925" ht="12.75" customHeight="1">
      <c r="A1925" s="65" t="s">
        <v>14</v>
      </c>
      <c r="B1925" s="65" t="s">
        <v>15</v>
      </c>
      <c r="C1925" s="65"/>
      <c r="D1925" s="67">
        <v>16191.0</v>
      </c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</row>
    <row r="1926" ht="12.75" customHeight="1">
      <c r="A1926" s="65" t="s">
        <v>14</v>
      </c>
      <c r="B1926" s="65" t="s">
        <v>15</v>
      </c>
      <c r="C1926" s="65"/>
      <c r="D1926" s="67">
        <v>16159.5</v>
      </c>
      <c r="E1926" s="14"/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</row>
    <row r="1927" ht="12.75" customHeight="1">
      <c r="A1927" s="65" t="s">
        <v>14</v>
      </c>
      <c r="B1927" s="65" t="s">
        <v>15</v>
      </c>
      <c r="C1927" s="65"/>
      <c r="D1927" s="67">
        <v>16110.0</v>
      </c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</row>
    <row r="1928" ht="12.75" customHeight="1">
      <c r="A1928" s="65" t="s">
        <v>14</v>
      </c>
      <c r="B1928" s="65" t="s">
        <v>15</v>
      </c>
      <c r="C1928" s="65"/>
      <c r="D1928" s="67">
        <v>16092.0</v>
      </c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</row>
    <row r="1929" ht="12.75" customHeight="1">
      <c r="A1929" s="65" t="s">
        <v>14</v>
      </c>
      <c r="B1929" s="65" t="s">
        <v>15</v>
      </c>
      <c r="C1929" s="65"/>
      <c r="D1929" s="67">
        <v>15844.5</v>
      </c>
      <c r="E1929" s="14"/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</row>
    <row r="1930" ht="12.75" customHeight="1">
      <c r="A1930" s="65" t="s">
        <v>14</v>
      </c>
      <c r="B1930" s="65" t="s">
        <v>15</v>
      </c>
      <c r="C1930" s="65"/>
      <c r="D1930" s="67">
        <v>15840.0</v>
      </c>
      <c r="E1930" s="14"/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</row>
    <row r="1931" ht="12.75" customHeight="1">
      <c r="A1931" s="65" t="s">
        <v>14</v>
      </c>
      <c r="B1931" s="65" t="s">
        <v>15</v>
      </c>
      <c r="C1931" s="65"/>
      <c r="D1931" s="67">
        <v>15750.0</v>
      </c>
      <c r="E1931" s="14"/>
      <c r="F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</row>
    <row r="1932" ht="12.75" customHeight="1">
      <c r="A1932" s="65" t="s">
        <v>14</v>
      </c>
      <c r="B1932" s="65" t="s">
        <v>15</v>
      </c>
      <c r="C1932" s="65"/>
      <c r="D1932" s="67">
        <v>15552.0</v>
      </c>
      <c r="E1932" s="14"/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</row>
    <row r="1933" ht="12.75" customHeight="1">
      <c r="A1933" s="65" t="s">
        <v>14</v>
      </c>
      <c r="B1933" s="65" t="s">
        <v>15</v>
      </c>
      <c r="C1933" s="65"/>
      <c r="D1933" s="67">
        <v>15340.5</v>
      </c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</row>
    <row r="1934" ht="12.75" customHeight="1">
      <c r="A1934" s="65" t="s">
        <v>14</v>
      </c>
      <c r="B1934" s="65" t="s">
        <v>15</v>
      </c>
      <c r="C1934" s="65"/>
      <c r="D1934" s="67">
        <v>15327.0</v>
      </c>
      <c r="E1934" s="14"/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</row>
    <row r="1935" ht="12.75" customHeight="1">
      <c r="A1935" s="65" t="s">
        <v>14</v>
      </c>
      <c r="B1935" s="65" t="s">
        <v>15</v>
      </c>
      <c r="C1935" s="65"/>
      <c r="D1935" s="67">
        <v>15268.5</v>
      </c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</row>
    <row r="1936" ht="12.75" customHeight="1">
      <c r="A1936" s="65" t="s">
        <v>14</v>
      </c>
      <c r="B1936" s="65" t="s">
        <v>15</v>
      </c>
      <c r="C1936" s="65"/>
      <c r="D1936" s="67">
        <v>15120.0</v>
      </c>
      <c r="E1936" s="14"/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</row>
    <row r="1937" ht="12.75" customHeight="1">
      <c r="A1937" s="65" t="s">
        <v>14</v>
      </c>
      <c r="B1937" s="65" t="s">
        <v>15</v>
      </c>
      <c r="C1937" s="65"/>
      <c r="D1937" s="67">
        <v>14710.5</v>
      </c>
      <c r="E1937" s="14"/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</row>
    <row r="1938" ht="12.75" customHeight="1">
      <c r="A1938" s="65" t="s">
        <v>14</v>
      </c>
      <c r="B1938" s="65" t="s">
        <v>15</v>
      </c>
      <c r="C1938" s="65"/>
      <c r="D1938" s="67">
        <v>14580.0</v>
      </c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</row>
    <row r="1939" ht="12.75" customHeight="1">
      <c r="A1939" s="65" t="s">
        <v>14</v>
      </c>
      <c r="B1939" s="65" t="s">
        <v>15</v>
      </c>
      <c r="C1939" s="65"/>
      <c r="D1939" s="67">
        <v>14332.5</v>
      </c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</row>
    <row r="1940" ht="12.75" customHeight="1">
      <c r="A1940" s="65" t="s">
        <v>14</v>
      </c>
      <c r="B1940" s="65" t="s">
        <v>15</v>
      </c>
      <c r="C1940" s="65"/>
      <c r="D1940" s="67">
        <v>13792.5</v>
      </c>
      <c r="E1940" s="14"/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</row>
    <row r="1941" ht="12.75" customHeight="1">
      <c r="A1941" s="65" t="s">
        <v>14</v>
      </c>
      <c r="B1941" s="65" t="s">
        <v>15</v>
      </c>
      <c r="C1941" s="65"/>
      <c r="D1941" s="67">
        <v>13671.0</v>
      </c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</row>
    <row r="1942" ht="12.75" customHeight="1">
      <c r="A1942" s="65" t="s">
        <v>14</v>
      </c>
      <c r="B1942" s="65" t="s">
        <v>15</v>
      </c>
      <c r="C1942" s="65"/>
      <c r="D1942" s="67">
        <v>13423.5</v>
      </c>
      <c r="E1942" s="14"/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</row>
    <row r="1943" ht="12.75" customHeight="1">
      <c r="A1943" s="65" t="s">
        <v>14</v>
      </c>
      <c r="B1943" s="65" t="s">
        <v>15</v>
      </c>
      <c r="C1943" s="65"/>
      <c r="D1943" s="67">
        <v>13315.5</v>
      </c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</row>
    <row r="1944" ht="12.75" customHeight="1">
      <c r="A1944" s="65" t="s">
        <v>14</v>
      </c>
      <c r="B1944" s="65" t="s">
        <v>15</v>
      </c>
      <c r="C1944" s="65"/>
      <c r="D1944" s="67">
        <v>13162.5</v>
      </c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</row>
    <row r="1945" ht="12.75" customHeight="1">
      <c r="A1945" s="65" t="s">
        <v>14</v>
      </c>
      <c r="B1945" s="65" t="s">
        <v>15</v>
      </c>
      <c r="C1945" s="65"/>
      <c r="D1945" s="67">
        <v>13009.5</v>
      </c>
      <c r="E1945" s="14"/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</row>
    <row r="1946" ht="12.75" customHeight="1">
      <c r="A1946" s="65" t="s">
        <v>14</v>
      </c>
      <c r="B1946" s="65" t="s">
        <v>15</v>
      </c>
      <c r="C1946" s="65"/>
      <c r="D1946" s="67">
        <v>12694.5</v>
      </c>
      <c r="E1946" s="14"/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</row>
    <row r="1947" ht="12.75" customHeight="1">
      <c r="A1947" s="65" t="s">
        <v>14</v>
      </c>
      <c r="B1947" s="65" t="s">
        <v>15</v>
      </c>
      <c r="C1947" s="65"/>
      <c r="D1947" s="67">
        <v>12627.0</v>
      </c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</row>
    <row r="1948" ht="12.75" customHeight="1">
      <c r="A1948" s="65" t="s">
        <v>14</v>
      </c>
      <c r="B1948" s="65" t="s">
        <v>15</v>
      </c>
      <c r="C1948" s="65"/>
      <c r="D1948" s="67">
        <v>12496.5</v>
      </c>
      <c r="E1948" s="14"/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</row>
    <row r="1949" ht="12.75" customHeight="1">
      <c r="A1949" s="65" t="s">
        <v>14</v>
      </c>
      <c r="B1949" s="65" t="s">
        <v>15</v>
      </c>
      <c r="C1949" s="65"/>
      <c r="D1949" s="67">
        <v>12384.0</v>
      </c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</row>
    <row r="1950" ht="12.75" customHeight="1">
      <c r="A1950" s="65" t="s">
        <v>14</v>
      </c>
      <c r="B1950" s="65" t="s">
        <v>15</v>
      </c>
      <c r="C1950" s="65"/>
      <c r="D1950" s="67">
        <v>12267.0</v>
      </c>
      <c r="E1950" s="14"/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</row>
    <row r="1951" ht="12.75" customHeight="1">
      <c r="A1951" s="65" t="s">
        <v>14</v>
      </c>
      <c r="B1951" s="65" t="s">
        <v>15</v>
      </c>
      <c r="C1951" s="65"/>
      <c r="D1951" s="67">
        <v>12186.0</v>
      </c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</row>
    <row r="1952" ht="12.75" customHeight="1">
      <c r="A1952" s="65" t="s">
        <v>14</v>
      </c>
      <c r="B1952" s="65" t="s">
        <v>15</v>
      </c>
      <c r="C1952" s="65"/>
      <c r="D1952" s="67">
        <v>12159.0</v>
      </c>
      <c r="E1952" s="14"/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</row>
    <row r="1953" ht="12.75" customHeight="1">
      <c r="A1953" s="65" t="s">
        <v>14</v>
      </c>
      <c r="B1953" s="65" t="s">
        <v>15</v>
      </c>
      <c r="C1953" s="65"/>
      <c r="D1953" s="67">
        <v>11893.5</v>
      </c>
      <c r="E1953" s="14"/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</row>
    <row r="1954" ht="12.75" customHeight="1">
      <c r="A1954" s="65" t="s">
        <v>14</v>
      </c>
      <c r="B1954" s="65" t="s">
        <v>15</v>
      </c>
      <c r="C1954" s="65"/>
      <c r="D1954" s="67">
        <v>11628.0</v>
      </c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</row>
    <row r="1955" ht="12.75" customHeight="1">
      <c r="A1955" s="65" t="s">
        <v>14</v>
      </c>
      <c r="B1955" s="65" t="s">
        <v>15</v>
      </c>
      <c r="C1955" s="65"/>
      <c r="D1955" s="67">
        <v>11434.5</v>
      </c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</row>
    <row r="1956" ht="12.75" customHeight="1">
      <c r="A1956" s="65" t="s">
        <v>14</v>
      </c>
      <c r="B1956" s="65" t="s">
        <v>15</v>
      </c>
      <c r="C1956" s="65"/>
      <c r="D1956" s="67">
        <v>11434.5</v>
      </c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</row>
    <row r="1957" ht="12.75" customHeight="1">
      <c r="A1957" s="65" t="s">
        <v>14</v>
      </c>
      <c r="B1957" s="65" t="s">
        <v>15</v>
      </c>
      <c r="C1957" s="65"/>
      <c r="D1957" s="67">
        <v>11380.5</v>
      </c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</row>
    <row r="1958" ht="12.75" customHeight="1">
      <c r="A1958" s="65" t="s">
        <v>14</v>
      </c>
      <c r="B1958" s="65" t="s">
        <v>15</v>
      </c>
      <c r="C1958" s="65"/>
      <c r="D1958" s="67">
        <v>11119.5</v>
      </c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</row>
    <row r="1959" ht="12.75" customHeight="1">
      <c r="A1959" s="65" t="s">
        <v>14</v>
      </c>
      <c r="B1959" s="65" t="s">
        <v>15</v>
      </c>
      <c r="C1959" s="65"/>
      <c r="D1959" s="67">
        <v>11106.0</v>
      </c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</row>
    <row r="1960" ht="12.75" customHeight="1">
      <c r="A1960" s="65" t="s">
        <v>14</v>
      </c>
      <c r="B1960" s="65" t="s">
        <v>15</v>
      </c>
      <c r="C1960" s="65"/>
      <c r="D1960" s="67">
        <v>10858.5</v>
      </c>
      <c r="E1960" s="14"/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</row>
    <row r="1961" ht="12.75" customHeight="1">
      <c r="A1961" s="65" t="s">
        <v>14</v>
      </c>
      <c r="B1961" s="65" t="s">
        <v>15</v>
      </c>
      <c r="C1961" s="65"/>
      <c r="D1961" s="67">
        <v>10741.5</v>
      </c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</row>
    <row r="1962" ht="12.75" customHeight="1">
      <c r="A1962" s="65" t="s">
        <v>14</v>
      </c>
      <c r="B1962" s="65" t="s">
        <v>15</v>
      </c>
      <c r="C1962" s="65"/>
      <c r="D1962" s="67">
        <v>10719.0</v>
      </c>
      <c r="E1962" s="14"/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</row>
    <row r="1963" ht="12.75" customHeight="1">
      <c r="A1963" s="65" t="s">
        <v>14</v>
      </c>
      <c r="B1963" s="65" t="s">
        <v>15</v>
      </c>
      <c r="C1963" s="65"/>
      <c r="D1963" s="67">
        <v>10246.5</v>
      </c>
      <c r="E1963" s="14"/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</row>
    <row r="1964" ht="12.75" customHeight="1">
      <c r="A1964" s="65" t="s">
        <v>14</v>
      </c>
      <c r="B1964" s="65" t="s">
        <v>15</v>
      </c>
      <c r="C1964" s="65"/>
      <c r="D1964" s="67">
        <v>10233.0</v>
      </c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</row>
    <row r="1965" ht="12.75" customHeight="1">
      <c r="A1965" s="65" t="s">
        <v>14</v>
      </c>
      <c r="B1965" s="65" t="s">
        <v>15</v>
      </c>
      <c r="C1965" s="65"/>
      <c r="D1965" s="67">
        <v>10152.0</v>
      </c>
      <c r="E1965" s="14"/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</row>
    <row r="1966" ht="12.75" customHeight="1">
      <c r="A1966" s="65" t="s">
        <v>14</v>
      </c>
      <c r="B1966" s="65" t="s">
        <v>15</v>
      </c>
      <c r="C1966" s="65"/>
      <c r="D1966" s="67">
        <v>10053.0</v>
      </c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</row>
    <row r="1967" ht="12.75" customHeight="1">
      <c r="A1967" s="65" t="s">
        <v>14</v>
      </c>
      <c r="B1967" s="65" t="s">
        <v>15</v>
      </c>
      <c r="C1967" s="65"/>
      <c r="D1967" s="67">
        <v>10026.0</v>
      </c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</row>
    <row r="1968" ht="12.75" customHeight="1">
      <c r="A1968" s="65" t="s">
        <v>14</v>
      </c>
      <c r="B1968" s="65" t="s">
        <v>15</v>
      </c>
      <c r="C1968" s="65"/>
      <c r="D1968" s="67">
        <v>9868.5</v>
      </c>
      <c r="E1968" s="14"/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</row>
    <row r="1969" ht="12.75" customHeight="1">
      <c r="A1969" s="65" t="s">
        <v>14</v>
      </c>
      <c r="B1969" s="65" t="s">
        <v>15</v>
      </c>
      <c r="C1969" s="65"/>
      <c r="D1969" s="67">
        <v>9810.0</v>
      </c>
      <c r="E1969" s="14"/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</row>
    <row r="1970" ht="12.75" customHeight="1">
      <c r="A1970" s="65" t="s">
        <v>14</v>
      </c>
      <c r="B1970" s="65" t="s">
        <v>15</v>
      </c>
      <c r="C1970" s="65"/>
      <c r="D1970" s="67">
        <v>9778.5</v>
      </c>
      <c r="E1970" s="14"/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</row>
    <row r="1971" ht="12.75" customHeight="1">
      <c r="A1971" s="65" t="s">
        <v>14</v>
      </c>
      <c r="B1971" s="65" t="s">
        <v>15</v>
      </c>
      <c r="C1971" s="65"/>
      <c r="D1971" s="67">
        <v>9666.0</v>
      </c>
      <c r="E1971" s="14"/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</row>
    <row r="1972" ht="12.75" customHeight="1">
      <c r="A1972" s="65" t="s">
        <v>14</v>
      </c>
      <c r="B1972" s="65" t="s">
        <v>15</v>
      </c>
      <c r="C1972" s="65"/>
      <c r="D1972" s="67">
        <v>9625.5</v>
      </c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</row>
    <row r="1973" ht="12.75" customHeight="1">
      <c r="A1973" s="65" t="s">
        <v>14</v>
      </c>
      <c r="B1973" s="65" t="s">
        <v>15</v>
      </c>
      <c r="C1973" s="65"/>
      <c r="D1973" s="67">
        <v>9616.5</v>
      </c>
      <c r="E1973" s="14"/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</row>
    <row r="1974" ht="12.75" customHeight="1">
      <c r="A1974" s="65" t="s">
        <v>14</v>
      </c>
      <c r="B1974" s="65" t="s">
        <v>15</v>
      </c>
      <c r="C1974" s="65"/>
      <c r="D1974" s="67">
        <v>9342.0</v>
      </c>
      <c r="E1974" s="14"/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</row>
    <row r="1975" ht="12.75" customHeight="1">
      <c r="A1975" s="65" t="s">
        <v>14</v>
      </c>
      <c r="B1975" s="65" t="s">
        <v>15</v>
      </c>
      <c r="C1975" s="65"/>
      <c r="D1975" s="67">
        <v>9270.0</v>
      </c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</row>
    <row r="1976" ht="12.75" customHeight="1">
      <c r="A1976" s="65" t="s">
        <v>14</v>
      </c>
      <c r="B1976" s="65" t="s">
        <v>15</v>
      </c>
      <c r="C1976" s="65"/>
      <c r="D1976" s="67">
        <v>9202.5</v>
      </c>
      <c r="E1976" s="14"/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</row>
    <row r="1977" ht="12.75" customHeight="1">
      <c r="A1977" s="65" t="s">
        <v>14</v>
      </c>
      <c r="B1977" s="65" t="s">
        <v>15</v>
      </c>
      <c r="C1977" s="65"/>
      <c r="D1977" s="67">
        <v>9135.0</v>
      </c>
      <c r="E1977" s="14"/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</row>
    <row r="1978" ht="12.75" customHeight="1">
      <c r="A1978" s="65" t="s">
        <v>14</v>
      </c>
      <c r="B1978" s="65" t="s">
        <v>15</v>
      </c>
      <c r="C1978" s="65"/>
      <c r="D1978" s="67">
        <v>8923.5</v>
      </c>
      <c r="E1978" s="14"/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</row>
    <row r="1979" ht="12.75" customHeight="1">
      <c r="A1979" s="65" t="s">
        <v>14</v>
      </c>
      <c r="B1979" s="65" t="s">
        <v>15</v>
      </c>
      <c r="C1979" s="65"/>
      <c r="D1979" s="67">
        <v>8914.5</v>
      </c>
      <c r="E1979" s="14"/>
      <c r="F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</row>
    <row r="1980" ht="12.75" customHeight="1">
      <c r="A1980" s="65" t="s">
        <v>14</v>
      </c>
      <c r="B1980" s="65" t="s">
        <v>15</v>
      </c>
      <c r="C1980" s="65"/>
      <c r="D1980" s="67">
        <v>8847.0</v>
      </c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</row>
    <row r="1981" ht="12.75" customHeight="1">
      <c r="A1981" s="65" t="s">
        <v>14</v>
      </c>
      <c r="B1981" s="65" t="s">
        <v>15</v>
      </c>
      <c r="C1981" s="65"/>
      <c r="D1981" s="67">
        <v>8833.5</v>
      </c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</row>
    <row r="1982" ht="12.75" customHeight="1">
      <c r="A1982" s="65" t="s">
        <v>14</v>
      </c>
      <c r="B1982" s="65" t="s">
        <v>15</v>
      </c>
      <c r="C1982" s="65"/>
      <c r="D1982" s="67">
        <v>8806.5</v>
      </c>
      <c r="E1982" s="14"/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</row>
    <row r="1983" ht="12.75" customHeight="1">
      <c r="A1983" s="65" t="s">
        <v>14</v>
      </c>
      <c r="B1983" s="65" t="s">
        <v>15</v>
      </c>
      <c r="C1983" s="65"/>
      <c r="D1983" s="67">
        <v>8572.5</v>
      </c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</row>
    <row r="1984" ht="12.75" customHeight="1">
      <c r="A1984" s="65" t="s">
        <v>14</v>
      </c>
      <c r="B1984" s="65" t="s">
        <v>15</v>
      </c>
      <c r="C1984" s="65"/>
      <c r="D1984" s="67">
        <v>8455.5</v>
      </c>
      <c r="E1984" s="14"/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</row>
    <row r="1985" ht="12.75" customHeight="1">
      <c r="A1985" s="65" t="s">
        <v>14</v>
      </c>
      <c r="B1985" s="65" t="s">
        <v>15</v>
      </c>
      <c r="C1985" s="65"/>
      <c r="D1985" s="67">
        <v>8424.0</v>
      </c>
      <c r="E1985" s="14"/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</row>
    <row r="1986" ht="12.75" customHeight="1">
      <c r="A1986" s="65" t="s">
        <v>14</v>
      </c>
      <c r="B1986" s="65" t="s">
        <v>15</v>
      </c>
      <c r="C1986" s="65"/>
      <c r="D1986" s="67">
        <v>8320.5</v>
      </c>
      <c r="E1986" s="14"/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</row>
    <row r="1987" ht="12.75" customHeight="1">
      <c r="A1987" s="65" t="s">
        <v>14</v>
      </c>
      <c r="B1987" s="65" t="s">
        <v>15</v>
      </c>
      <c r="C1987" s="65"/>
      <c r="D1987" s="67">
        <v>8284.5</v>
      </c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</row>
    <row r="1988" ht="12.75" customHeight="1">
      <c r="A1988" s="65" t="s">
        <v>14</v>
      </c>
      <c r="B1988" s="65" t="s">
        <v>15</v>
      </c>
      <c r="C1988" s="65"/>
      <c r="D1988" s="67">
        <v>8262.0</v>
      </c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</row>
    <row r="1989" ht="12.75" customHeight="1">
      <c r="A1989" s="65" t="s">
        <v>14</v>
      </c>
      <c r="B1989" s="65" t="s">
        <v>15</v>
      </c>
      <c r="C1989" s="65"/>
      <c r="D1989" s="67">
        <v>8077.5</v>
      </c>
      <c r="E1989" s="14"/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</row>
    <row r="1990" ht="12.75" customHeight="1">
      <c r="A1990" s="65" t="s">
        <v>14</v>
      </c>
      <c r="B1990" s="65" t="s">
        <v>15</v>
      </c>
      <c r="C1990" s="65"/>
      <c r="D1990" s="67">
        <v>8041.5</v>
      </c>
      <c r="E1990" s="14"/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</row>
    <row r="1991" ht="12.75" customHeight="1">
      <c r="A1991" s="65" t="s">
        <v>14</v>
      </c>
      <c r="B1991" s="65" t="s">
        <v>15</v>
      </c>
      <c r="C1991" s="65"/>
      <c r="D1991" s="67">
        <v>7969.5</v>
      </c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</row>
    <row r="1992" ht="12.75" customHeight="1">
      <c r="A1992" s="65" t="s">
        <v>14</v>
      </c>
      <c r="B1992" s="65" t="s">
        <v>15</v>
      </c>
      <c r="C1992" s="65"/>
      <c r="D1992" s="67">
        <v>7915.5</v>
      </c>
      <c r="E1992" s="14"/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</row>
    <row r="1993" ht="12.75" customHeight="1">
      <c r="A1993" s="65" t="s">
        <v>14</v>
      </c>
      <c r="B1993" s="65" t="s">
        <v>15</v>
      </c>
      <c r="C1993" s="65"/>
      <c r="D1993" s="67">
        <v>7884.0</v>
      </c>
      <c r="E1993" s="14"/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</row>
    <row r="1994" ht="12.75" customHeight="1">
      <c r="A1994" s="65" t="s">
        <v>14</v>
      </c>
      <c r="B1994" s="65" t="s">
        <v>15</v>
      </c>
      <c r="C1994" s="65"/>
      <c r="D1994" s="67">
        <v>7803.0</v>
      </c>
      <c r="E1994" s="14"/>
      <c r="F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</row>
    <row r="1995" ht="12.75" customHeight="1">
      <c r="A1995" s="65" t="s">
        <v>14</v>
      </c>
      <c r="B1995" s="65" t="s">
        <v>15</v>
      </c>
      <c r="C1995" s="65"/>
      <c r="D1995" s="67">
        <v>7776.0</v>
      </c>
      <c r="E1995" s="14"/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</row>
    <row r="1996" ht="12.75" customHeight="1">
      <c r="A1996" s="65" t="s">
        <v>14</v>
      </c>
      <c r="B1996" s="65" t="s">
        <v>15</v>
      </c>
      <c r="C1996" s="65"/>
      <c r="D1996" s="67">
        <v>7672.5</v>
      </c>
      <c r="E1996" s="14"/>
      <c r="F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</row>
    <row r="1997" ht="12.75" customHeight="1">
      <c r="A1997" s="65" t="s">
        <v>14</v>
      </c>
      <c r="B1997" s="65" t="s">
        <v>15</v>
      </c>
      <c r="C1997" s="65"/>
      <c r="D1997" s="67">
        <v>7627.5</v>
      </c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</row>
    <row r="1998" ht="12.75" customHeight="1">
      <c r="A1998" s="65" t="s">
        <v>14</v>
      </c>
      <c r="B1998" s="65" t="s">
        <v>15</v>
      </c>
      <c r="C1998" s="65"/>
      <c r="D1998" s="67">
        <v>7600.5</v>
      </c>
      <c r="E1998" s="14"/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</row>
    <row r="1999" ht="12.75" customHeight="1">
      <c r="A1999" s="65" t="s">
        <v>14</v>
      </c>
      <c r="B1999" s="65" t="s">
        <v>15</v>
      </c>
      <c r="C1999" s="65"/>
      <c r="D1999" s="67">
        <v>7528.5</v>
      </c>
      <c r="E1999" s="14"/>
      <c r="F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</row>
    <row r="2000" ht="12.75" customHeight="1">
      <c r="A2000" s="65" t="s">
        <v>14</v>
      </c>
      <c r="B2000" s="65" t="s">
        <v>15</v>
      </c>
      <c r="C2000" s="65"/>
      <c r="D2000" s="67">
        <v>7438.5</v>
      </c>
      <c r="E2000" s="14"/>
      <c r="F2000" s="14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</row>
    <row r="2001" ht="12.75" customHeight="1">
      <c r="A2001" s="65" t="s">
        <v>14</v>
      </c>
      <c r="B2001" s="65" t="s">
        <v>15</v>
      </c>
      <c r="C2001" s="65"/>
      <c r="D2001" s="67">
        <v>7339.5</v>
      </c>
      <c r="E2001" s="14"/>
      <c r="F2001" s="14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</row>
    <row r="2002" ht="12.75" customHeight="1">
      <c r="A2002" s="65" t="s">
        <v>14</v>
      </c>
      <c r="B2002" s="65" t="s">
        <v>15</v>
      </c>
      <c r="C2002" s="65"/>
      <c r="D2002" s="67">
        <v>7317.0</v>
      </c>
      <c r="E2002" s="14"/>
      <c r="F2002" s="14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</row>
    <row r="2003" ht="12.75" customHeight="1">
      <c r="A2003" s="65" t="s">
        <v>14</v>
      </c>
      <c r="B2003" s="65" t="s">
        <v>15</v>
      </c>
      <c r="C2003" s="65"/>
      <c r="D2003" s="67">
        <v>6952.5</v>
      </c>
      <c r="E2003" s="14"/>
      <c r="F2003" s="14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</row>
    <row r="2004" ht="12.75" customHeight="1">
      <c r="A2004" s="65" t="s">
        <v>14</v>
      </c>
      <c r="B2004" s="65" t="s">
        <v>15</v>
      </c>
      <c r="C2004" s="65"/>
      <c r="D2004" s="67">
        <v>6912.0</v>
      </c>
      <c r="E2004" s="14"/>
      <c r="F2004" s="14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</row>
    <row r="2005" ht="12.75" customHeight="1">
      <c r="A2005" s="65" t="s">
        <v>14</v>
      </c>
      <c r="B2005" s="65" t="s">
        <v>15</v>
      </c>
      <c r="C2005" s="65"/>
      <c r="D2005" s="67">
        <v>6912.0</v>
      </c>
      <c r="E2005" s="14"/>
      <c r="F2005" s="14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</row>
    <row r="2006" ht="12.75" customHeight="1">
      <c r="A2006" s="65" t="s">
        <v>14</v>
      </c>
      <c r="B2006" s="65" t="s">
        <v>15</v>
      </c>
      <c r="C2006" s="65"/>
      <c r="D2006" s="67">
        <v>6885.0</v>
      </c>
      <c r="E2006" s="14"/>
      <c r="F2006" s="14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</row>
    <row r="2007" ht="12.75" customHeight="1">
      <c r="A2007" s="65" t="s">
        <v>14</v>
      </c>
      <c r="B2007" s="65" t="s">
        <v>15</v>
      </c>
      <c r="C2007" s="65"/>
      <c r="D2007" s="67">
        <v>6727.5</v>
      </c>
      <c r="E2007" s="14"/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</row>
    <row r="2008" ht="12.75" customHeight="1">
      <c r="A2008" s="65" t="s">
        <v>14</v>
      </c>
      <c r="B2008" s="65" t="s">
        <v>15</v>
      </c>
      <c r="C2008" s="65"/>
      <c r="D2008" s="67">
        <v>6579.0</v>
      </c>
      <c r="E2008" s="14"/>
      <c r="F2008" s="14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</row>
    <row r="2009" ht="12.75" customHeight="1">
      <c r="A2009" s="65" t="s">
        <v>14</v>
      </c>
      <c r="B2009" s="65" t="s">
        <v>15</v>
      </c>
      <c r="C2009" s="65"/>
      <c r="D2009" s="67">
        <v>6417.0</v>
      </c>
      <c r="E2009" s="14"/>
      <c r="F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</row>
    <row r="2010" ht="12.75" customHeight="1">
      <c r="A2010" s="65" t="s">
        <v>14</v>
      </c>
      <c r="B2010" s="65" t="s">
        <v>15</v>
      </c>
      <c r="C2010" s="65"/>
      <c r="D2010" s="67">
        <v>6309.0</v>
      </c>
      <c r="E2010" s="14"/>
      <c r="F2010" s="14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</row>
    <row r="2011" ht="12.75" customHeight="1">
      <c r="A2011" s="65" t="s">
        <v>14</v>
      </c>
      <c r="B2011" s="65" t="s">
        <v>15</v>
      </c>
      <c r="C2011" s="65"/>
      <c r="D2011" s="67">
        <v>6156.0</v>
      </c>
      <c r="E2011" s="14"/>
      <c r="F2011" s="14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</row>
    <row r="2012" ht="12.75" customHeight="1">
      <c r="A2012" s="65" t="s">
        <v>14</v>
      </c>
      <c r="B2012" s="65" t="s">
        <v>15</v>
      </c>
      <c r="C2012" s="65"/>
      <c r="D2012" s="67">
        <v>6151.5</v>
      </c>
      <c r="E2012" s="14"/>
      <c r="F2012" s="14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</row>
    <row r="2013" ht="12.75" customHeight="1">
      <c r="A2013" s="65" t="s">
        <v>14</v>
      </c>
      <c r="B2013" s="65" t="s">
        <v>15</v>
      </c>
      <c r="C2013" s="65"/>
      <c r="D2013" s="67">
        <v>6057.0</v>
      </c>
      <c r="E2013" s="14"/>
      <c r="F2013" s="14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</row>
    <row r="2014" ht="12.75" customHeight="1">
      <c r="A2014" s="65" t="s">
        <v>14</v>
      </c>
      <c r="B2014" s="65" t="s">
        <v>15</v>
      </c>
      <c r="C2014" s="65"/>
      <c r="D2014" s="67">
        <v>5917.5</v>
      </c>
      <c r="E2014" s="14"/>
      <c r="F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</row>
    <row r="2015" ht="12.75" customHeight="1">
      <c r="A2015" s="65" t="s">
        <v>14</v>
      </c>
      <c r="B2015" s="65" t="s">
        <v>15</v>
      </c>
      <c r="C2015" s="65"/>
      <c r="D2015" s="67">
        <v>5805.0</v>
      </c>
      <c r="E2015" s="14"/>
      <c r="F2015" s="14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</row>
    <row r="2016" ht="12.75" customHeight="1">
      <c r="A2016" s="65" t="s">
        <v>14</v>
      </c>
      <c r="B2016" s="65" t="s">
        <v>15</v>
      </c>
      <c r="C2016" s="65"/>
      <c r="D2016" s="67">
        <v>5796.0</v>
      </c>
      <c r="E2016" s="14"/>
      <c r="F2016" s="14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</row>
    <row r="2017" ht="12.75" customHeight="1">
      <c r="A2017" s="65" t="s">
        <v>14</v>
      </c>
      <c r="B2017" s="65" t="s">
        <v>15</v>
      </c>
      <c r="C2017" s="65"/>
      <c r="D2017" s="67">
        <v>5737.5</v>
      </c>
      <c r="E2017" s="14"/>
      <c r="F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</row>
    <row r="2018" ht="12.75" customHeight="1">
      <c r="A2018" s="65" t="s">
        <v>14</v>
      </c>
      <c r="B2018" s="65" t="s">
        <v>15</v>
      </c>
      <c r="C2018" s="65"/>
      <c r="D2018" s="67">
        <v>5719.5</v>
      </c>
      <c r="E2018" s="14"/>
      <c r="F2018" s="14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</row>
    <row r="2019" ht="12.75" customHeight="1">
      <c r="A2019" s="65" t="s">
        <v>14</v>
      </c>
      <c r="B2019" s="65" t="s">
        <v>15</v>
      </c>
      <c r="C2019" s="65"/>
      <c r="D2019" s="67">
        <v>5706.0</v>
      </c>
      <c r="E2019" s="14"/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</row>
    <row r="2020" ht="12.75" customHeight="1">
      <c r="A2020" s="65" t="s">
        <v>14</v>
      </c>
      <c r="B2020" s="65" t="s">
        <v>15</v>
      </c>
      <c r="C2020" s="65"/>
      <c r="D2020" s="67">
        <v>5670.0</v>
      </c>
      <c r="E2020" s="14"/>
      <c r="F2020" s="14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</row>
    <row r="2021" ht="12.75" customHeight="1">
      <c r="A2021" s="65" t="s">
        <v>14</v>
      </c>
      <c r="B2021" s="65" t="s">
        <v>15</v>
      </c>
      <c r="C2021" s="65"/>
      <c r="D2021" s="67">
        <v>5553.0</v>
      </c>
      <c r="E2021" s="14"/>
      <c r="F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</row>
    <row r="2022" ht="12.75" customHeight="1">
      <c r="A2022" s="65" t="s">
        <v>14</v>
      </c>
      <c r="B2022" s="65" t="s">
        <v>15</v>
      </c>
      <c r="C2022" s="65"/>
      <c r="D2022" s="67">
        <v>5544.0</v>
      </c>
      <c r="E2022" s="14"/>
      <c r="F2022" s="14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</row>
    <row r="2023" ht="12.75" customHeight="1">
      <c r="A2023" s="65" t="s">
        <v>14</v>
      </c>
      <c r="B2023" s="65" t="s">
        <v>15</v>
      </c>
      <c r="C2023" s="65"/>
      <c r="D2023" s="67">
        <v>5485.5</v>
      </c>
      <c r="E2023" s="14"/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</row>
    <row r="2024" ht="12.75" customHeight="1">
      <c r="A2024" s="65" t="s">
        <v>14</v>
      </c>
      <c r="B2024" s="65" t="s">
        <v>15</v>
      </c>
      <c r="C2024" s="65"/>
      <c r="D2024" s="67">
        <v>5391.0</v>
      </c>
      <c r="E2024" s="14"/>
      <c r="F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</row>
    <row r="2025" ht="12.75" customHeight="1">
      <c r="A2025" s="65" t="s">
        <v>14</v>
      </c>
      <c r="B2025" s="65" t="s">
        <v>15</v>
      </c>
      <c r="C2025" s="65"/>
      <c r="D2025" s="67">
        <v>5323.5</v>
      </c>
      <c r="E2025" s="14"/>
      <c r="F2025" s="14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</row>
    <row r="2026" ht="12.75" customHeight="1">
      <c r="A2026" s="65" t="s">
        <v>14</v>
      </c>
      <c r="B2026" s="65" t="s">
        <v>15</v>
      </c>
      <c r="C2026" s="65"/>
      <c r="D2026" s="67">
        <v>5215.5</v>
      </c>
      <c r="E2026" s="14"/>
      <c r="F2026" s="14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</row>
    <row r="2027" ht="12.75" customHeight="1">
      <c r="A2027" s="65" t="s">
        <v>14</v>
      </c>
      <c r="B2027" s="65" t="s">
        <v>15</v>
      </c>
      <c r="C2027" s="65"/>
      <c r="D2027" s="67">
        <v>5197.5</v>
      </c>
      <c r="E2027" s="14"/>
      <c r="F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</row>
    <row r="2028" ht="12.75" customHeight="1">
      <c r="A2028" s="65" t="s">
        <v>14</v>
      </c>
      <c r="B2028" s="65" t="s">
        <v>15</v>
      </c>
      <c r="C2028" s="65"/>
      <c r="D2028" s="67">
        <v>5058.0</v>
      </c>
      <c r="E2028" s="14"/>
      <c r="F2028" s="14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</row>
    <row r="2029" ht="12.75" customHeight="1">
      <c r="A2029" s="65" t="s">
        <v>14</v>
      </c>
      <c r="B2029" s="65" t="s">
        <v>15</v>
      </c>
      <c r="C2029" s="65"/>
      <c r="D2029" s="67">
        <v>5049.0</v>
      </c>
      <c r="E2029" s="14"/>
      <c r="F2029" s="14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</row>
    <row r="2030" ht="12.75" customHeight="1">
      <c r="A2030" s="65" t="s">
        <v>14</v>
      </c>
      <c r="B2030" s="65" t="s">
        <v>15</v>
      </c>
      <c r="C2030" s="65"/>
      <c r="D2030" s="67">
        <v>5026.5</v>
      </c>
      <c r="E2030" s="14"/>
      <c r="F2030" s="14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</row>
    <row r="2031" ht="12.75" customHeight="1">
      <c r="A2031" s="65" t="s">
        <v>14</v>
      </c>
      <c r="B2031" s="65" t="s">
        <v>15</v>
      </c>
      <c r="C2031" s="65"/>
      <c r="D2031" s="67">
        <v>5017.5</v>
      </c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</row>
    <row r="2032" ht="12.75" customHeight="1">
      <c r="A2032" s="65" t="s">
        <v>14</v>
      </c>
      <c r="B2032" s="65" t="s">
        <v>15</v>
      </c>
      <c r="C2032" s="65"/>
      <c r="D2032" s="67">
        <v>5013.0</v>
      </c>
      <c r="E2032" s="14"/>
      <c r="F2032" s="14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</row>
    <row r="2033" ht="12.75" customHeight="1">
      <c r="A2033" s="65" t="s">
        <v>14</v>
      </c>
      <c r="B2033" s="65" t="s">
        <v>15</v>
      </c>
      <c r="C2033" s="65"/>
      <c r="D2033" s="67">
        <v>4932.0</v>
      </c>
      <c r="E2033" s="14"/>
      <c r="F2033" s="14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</row>
    <row r="2034" ht="12.75" customHeight="1">
      <c r="A2034" s="65" t="s">
        <v>14</v>
      </c>
      <c r="B2034" s="65" t="s">
        <v>15</v>
      </c>
      <c r="C2034" s="65"/>
      <c r="D2034" s="67">
        <v>4932.0</v>
      </c>
      <c r="E2034" s="14"/>
      <c r="F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</row>
    <row r="2035" ht="12.75" customHeight="1">
      <c r="A2035" s="65" t="s">
        <v>14</v>
      </c>
      <c r="B2035" s="65" t="s">
        <v>15</v>
      </c>
      <c r="C2035" s="65"/>
      <c r="D2035" s="67">
        <v>4617.0</v>
      </c>
      <c r="E2035" s="14"/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</row>
    <row r="2036" ht="12.75" customHeight="1">
      <c r="A2036" s="65" t="s">
        <v>14</v>
      </c>
      <c r="B2036" s="65" t="s">
        <v>15</v>
      </c>
      <c r="C2036" s="65"/>
      <c r="D2036" s="67">
        <v>4513.5</v>
      </c>
      <c r="E2036" s="14"/>
      <c r="F2036" s="14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</row>
    <row r="2037" ht="12.75" customHeight="1">
      <c r="A2037" s="65" t="s">
        <v>14</v>
      </c>
      <c r="B2037" s="65" t="s">
        <v>15</v>
      </c>
      <c r="C2037" s="65"/>
      <c r="D2037" s="67">
        <v>4261.5</v>
      </c>
      <c r="E2037" s="14"/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</row>
    <row r="2038" ht="12.75" customHeight="1">
      <c r="A2038" s="65" t="s">
        <v>14</v>
      </c>
      <c r="B2038" s="65" t="s">
        <v>15</v>
      </c>
      <c r="C2038" s="65"/>
      <c r="D2038" s="67">
        <v>4252.5</v>
      </c>
      <c r="E2038" s="14"/>
      <c r="F2038" s="14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</row>
    <row r="2039" ht="12.75" customHeight="1">
      <c r="A2039" s="65" t="s">
        <v>14</v>
      </c>
      <c r="B2039" s="65" t="s">
        <v>15</v>
      </c>
      <c r="C2039" s="65"/>
      <c r="D2039" s="67">
        <v>4023.0</v>
      </c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</row>
    <row r="2040" ht="12.75" customHeight="1">
      <c r="A2040" s="65" t="s">
        <v>14</v>
      </c>
      <c r="B2040" s="65" t="s">
        <v>15</v>
      </c>
      <c r="C2040" s="65"/>
      <c r="D2040" s="67">
        <v>4000.5</v>
      </c>
      <c r="E2040" s="14"/>
      <c r="F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</row>
    <row r="2041" ht="12.75" customHeight="1">
      <c r="A2041" s="65" t="s">
        <v>14</v>
      </c>
      <c r="B2041" s="65" t="s">
        <v>15</v>
      </c>
      <c r="C2041" s="65"/>
      <c r="D2041" s="67">
        <v>3969.0</v>
      </c>
      <c r="E2041" s="14"/>
      <c r="F2041" s="14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</row>
    <row r="2042" ht="12.75" customHeight="1">
      <c r="A2042" s="65" t="s">
        <v>14</v>
      </c>
      <c r="B2042" s="65" t="s">
        <v>15</v>
      </c>
      <c r="C2042" s="65"/>
      <c r="D2042" s="67">
        <v>3964.5</v>
      </c>
      <c r="E2042" s="14"/>
      <c r="F2042" s="14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</row>
    <row r="2043" ht="12.75" customHeight="1">
      <c r="A2043" s="65" t="s">
        <v>14</v>
      </c>
      <c r="B2043" s="65" t="s">
        <v>15</v>
      </c>
      <c r="C2043" s="65"/>
      <c r="D2043" s="67">
        <v>3883.5</v>
      </c>
      <c r="E2043" s="14"/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</row>
    <row r="2044" ht="12.75" customHeight="1">
      <c r="A2044" s="65" t="s">
        <v>14</v>
      </c>
      <c r="B2044" s="65" t="s">
        <v>15</v>
      </c>
      <c r="C2044" s="65"/>
      <c r="D2044" s="67">
        <v>3802.5</v>
      </c>
      <c r="E2044" s="14"/>
      <c r="F2044" s="14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</row>
    <row r="2045" ht="12.75" customHeight="1">
      <c r="A2045" s="65" t="s">
        <v>14</v>
      </c>
      <c r="B2045" s="65" t="s">
        <v>15</v>
      </c>
      <c r="C2045" s="65"/>
      <c r="D2045" s="67">
        <v>3676.5</v>
      </c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</row>
    <row r="2046" ht="12.75" customHeight="1">
      <c r="A2046" s="65" t="s">
        <v>14</v>
      </c>
      <c r="B2046" s="65" t="s">
        <v>15</v>
      </c>
      <c r="C2046" s="65"/>
      <c r="D2046" s="67">
        <v>3555.0</v>
      </c>
      <c r="E2046" s="14"/>
      <c r="F2046" s="14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</row>
    <row r="2047" ht="12.75" customHeight="1">
      <c r="A2047" s="65" t="s">
        <v>14</v>
      </c>
      <c r="B2047" s="65" t="s">
        <v>15</v>
      </c>
      <c r="C2047" s="65"/>
      <c r="D2047" s="67">
        <v>3510.0</v>
      </c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</row>
    <row r="2048" ht="12.75" customHeight="1">
      <c r="A2048" s="65" t="s">
        <v>14</v>
      </c>
      <c r="B2048" s="65" t="s">
        <v>15</v>
      </c>
      <c r="C2048" s="65"/>
      <c r="D2048" s="67">
        <v>3370.5</v>
      </c>
      <c r="E2048" s="14"/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</row>
    <row r="2049" ht="12.75" customHeight="1">
      <c r="A2049" s="65" t="s">
        <v>14</v>
      </c>
      <c r="B2049" s="65" t="s">
        <v>15</v>
      </c>
      <c r="C2049" s="65"/>
      <c r="D2049" s="67">
        <v>3231.0</v>
      </c>
      <c r="E2049" s="14"/>
      <c r="F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</row>
    <row r="2050" ht="12.75" customHeight="1">
      <c r="A2050" s="65" t="s">
        <v>14</v>
      </c>
      <c r="B2050" s="65" t="s">
        <v>15</v>
      </c>
      <c r="C2050" s="65"/>
      <c r="D2050" s="67">
        <v>3078.0</v>
      </c>
      <c r="E2050" s="14"/>
      <c r="F2050" s="14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</row>
    <row r="2051" ht="12.75" customHeight="1">
      <c r="A2051" s="65" t="s">
        <v>14</v>
      </c>
      <c r="B2051" s="65" t="s">
        <v>15</v>
      </c>
      <c r="C2051" s="65"/>
      <c r="D2051" s="67">
        <v>3024.0</v>
      </c>
      <c r="E2051" s="14"/>
      <c r="F2051" s="14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</row>
    <row r="2052" ht="12.75" customHeight="1">
      <c r="A2052" s="65" t="s">
        <v>14</v>
      </c>
      <c r="B2052" s="65" t="s">
        <v>15</v>
      </c>
      <c r="C2052" s="65"/>
      <c r="D2052" s="67">
        <v>2916.0</v>
      </c>
      <c r="E2052" s="14"/>
      <c r="F2052" s="14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</row>
    <row r="2053" ht="12.75" customHeight="1">
      <c r="A2053" s="65" t="s">
        <v>14</v>
      </c>
      <c r="B2053" s="65" t="s">
        <v>15</v>
      </c>
      <c r="C2053" s="65"/>
      <c r="D2053" s="67">
        <v>2880.0</v>
      </c>
      <c r="E2053" s="14"/>
      <c r="F2053" s="14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</row>
    <row r="2054" ht="12.75" customHeight="1">
      <c r="A2054" s="65" t="s">
        <v>14</v>
      </c>
      <c r="B2054" s="65" t="s">
        <v>15</v>
      </c>
      <c r="C2054" s="65"/>
      <c r="D2054" s="67">
        <v>2830.5</v>
      </c>
      <c r="E2054" s="14"/>
      <c r="F2054" s="14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</row>
    <row r="2055" ht="12.75" customHeight="1">
      <c r="A2055" s="65" t="s">
        <v>14</v>
      </c>
      <c r="B2055" s="65" t="s">
        <v>15</v>
      </c>
      <c r="C2055" s="65"/>
      <c r="D2055" s="67">
        <v>2758.5</v>
      </c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</row>
    <row r="2056" ht="12.75" customHeight="1">
      <c r="A2056" s="65" t="s">
        <v>14</v>
      </c>
      <c r="B2056" s="65" t="s">
        <v>15</v>
      </c>
      <c r="C2056" s="65"/>
      <c r="D2056" s="67">
        <v>2754.0</v>
      </c>
      <c r="E2056" s="14"/>
      <c r="F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</row>
    <row r="2057" ht="12.75" customHeight="1">
      <c r="A2057" s="65" t="s">
        <v>14</v>
      </c>
      <c r="B2057" s="65" t="s">
        <v>15</v>
      </c>
      <c r="C2057" s="65"/>
      <c r="D2057" s="67">
        <v>2677.5</v>
      </c>
      <c r="E2057" s="14"/>
      <c r="F2057" s="14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</row>
    <row r="2058" ht="12.75" customHeight="1">
      <c r="A2058" s="65" t="s">
        <v>14</v>
      </c>
      <c r="B2058" s="65" t="s">
        <v>15</v>
      </c>
      <c r="C2058" s="65"/>
      <c r="D2058" s="67">
        <v>2659.5</v>
      </c>
      <c r="E2058" s="14"/>
      <c r="F2058" s="14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</row>
    <row r="2059" ht="12.75" customHeight="1">
      <c r="A2059" s="65" t="s">
        <v>14</v>
      </c>
      <c r="B2059" s="65" t="s">
        <v>15</v>
      </c>
      <c r="C2059" s="65"/>
      <c r="D2059" s="67">
        <v>2650.5</v>
      </c>
      <c r="E2059" s="14"/>
      <c r="F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</row>
    <row r="2060" ht="12.75" customHeight="1">
      <c r="A2060" s="65" t="s">
        <v>14</v>
      </c>
      <c r="B2060" s="65" t="s">
        <v>15</v>
      </c>
      <c r="C2060" s="65"/>
      <c r="D2060" s="67">
        <v>2529.0</v>
      </c>
      <c r="E2060" s="14"/>
      <c r="F2060" s="14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</row>
    <row r="2061" ht="12.75" customHeight="1">
      <c r="A2061" s="65" t="s">
        <v>14</v>
      </c>
      <c r="B2061" s="65" t="s">
        <v>15</v>
      </c>
      <c r="C2061" s="65"/>
      <c r="D2061" s="67">
        <v>2515.5</v>
      </c>
      <c r="E2061" s="14"/>
      <c r="F2061" s="14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</row>
    <row r="2062" ht="12.75" customHeight="1">
      <c r="A2062" s="65" t="s">
        <v>14</v>
      </c>
      <c r="B2062" s="65" t="s">
        <v>15</v>
      </c>
      <c r="C2062" s="65"/>
      <c r="D2062" s="67">
        <v>2443.5</v>
      </c>
      <c r="E2062" s="14"/>
      <c r="F2062" s="14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</row>
    <row r="2063" ht="12.75" customHeight="1">
      <c r="A2063" s="65" t="s">
        <v>14</v>
      </c>
      <c r="B2063" s="65" t="s">
        <v>15</v>
      </c>
      <c r="C2063" s="65"/>
      <c r="D2063" s="67">
        <v>2038.5</v>
      </c>
      <c r="E2063" s="14"/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</row>
    <row r="2064" ht="12.75" customHeight="1">
      <c r="A2064" s="65" t="s">
        <v>14</v>
      </c>
      <c r="B2064" s="65" t="s">
        <v>15</v>
      </c>
      <c r="C2064" s="65"/>
      <c r="D2064" s="67">
        <v>1845.0</v>
      </c>
      <c r="E2064" s="14"/>
      <c r="F2064" s="14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</row>
    <row r="2065" ht="12.75" customHeight="1">
      <c r="A2065" s="65" t="s">
        <v>14</v>
      </c>
      <c r="B2065" s="65" t="s">
        <v>15</v>
      </c>
      <c r="C2065" s="65"/>
      <c r="D2065" s="67">
        <v>1813.5</v>
      </c>
      <c r="E2065" s="14"/>
      <c r="F2065" s="14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</row>
    <row r="2066" ht="12.75" customHeight="1">
      <c r="A2066" s="65" t="s">
        <v>14</v>
      </c>
      <c r="B2066" s="65" t="s">
        <v>15</v>
      </c>
      <c r="C2066" s="65"/>
      <c r="D2066" s="67">
        <v>1678.5</v>
      </c>
      <c r="E2066" s="14"/>
      <c r="F2066" s="14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</row>
    <row r="2067" ht="12.75" customHeight="1">
      <c r="A2067" s="65" t="s">
        <v>14</v>
      </c>
      <c r="B2067" s="65" t="s">
        <v>15</v>
      </c>
      <c r="C2067" s="65"/>
      <c r="D2067" s="67">
        <v>1237.5</v>
      </c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</row>
    <row r="2068" ht="12.75" customHeight="1">
      <c r="A2068" s="65" t="s">
        <v>14</v>
      </c>
      <c r="B2068" s="65" t="s">
        <v>15</v>
      </c>
      <c r="C2068" s="65"/>
      <c r="D2068" s="67">
        <v>445.5</v>
      </c>
      <c r="E2068" s="14"/>
      <c r="F2068" s="14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</row>
    <row r="2069" ht="12.75" customHeight="1">
      <c r="A2069" s="65" t="s">
        <v>14</v>
      </c>
      <c r="B2069" s="65" t="s">
        <v>15</v>
      </c>
      <c r="C2069" s="65"/>
      <c r="D2069" s="67">
        <v>310207.5</v>
      </c>
      <c r="E2069" s="14"/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</row>
    <row r="2070" ht="12.75" customHeight="1">
      <c r="A2070" s="65" t="s">
        <v>14</v>
      </c>
      <c r="B2070" s="65" t="s">
        <v>15</v>
      </c>
      <c r="C2070" s="65"/>
      <c r="D2070" s="67">
        <v>240538.5</v>
      </c>
      <c r="E2070" s="14"/>
      <c r="F2070" s="14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</row>
    <row r="2071" ht="12.75" customHeight="1">
      <c r="A2071" s="65" t="s">
        <v>14</v>
      </c>
      <c r="B2071" s="65" t="s">
        <v>15</v>
      </c>
      <c r="C2071" s="65"/>
      <c r="D2071" s="67">
        <v>169933.5</v>
      </c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</row>
    <row r="2072" ht="12.75" customHeight="1">
      <c r="A2072" s="65" t="s">
        <v>14</v>
      </c>
      <c r="B2072" s="65" t="s">
        <v>15</v>
      </c>
      <c r="C2072" s="65"/>
      <c r="D2072" s="67">
        <v>168750.0</v>
      </c>
      <c r="E2072" s="14"/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</row>
    <row r="2073" ht="12.75" customHeight="1">
      <c r="A2073" s="65" t="s">
        <v>14</v>
      </c>
      <c r="B2073" s="65" t="s">
        <v>15</v>
      </c>
      <c r="C2073" s="65"/>
      <c r="D2073" s="67">
        <v>154413.0</v>
      </c>
      <c r="E2073" s="14"/>
      <c r="F2073" s="14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</row>
    <row r="2074" ht="12.75" customHeight="1">
      <c r="A2074" s="65" t="s">
        <v>14</v>
      </c>
      <c r="B2074" s="65" t="s">
        <v>15</v>
      </c>
      <c r="C2074" s="65"/>
      <c r="D2074" s="67">
        <v>141750.0</v>
      </c>
      <c r="E2074" s="14"/>
      <c r="F2074" s="14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</row>
    <row r="2075" ht="12.75" customHeight="1">
      <c r="A2075" s="65" t="s">
        <v>14</v>
      </c>
      <c r="B2075" s="65" t="s">
        <v>15</v>
      </c>
      <c r="C2075" s="65"/>
      <c r="D2075" s="67">
        <v>121500.0</v>
      </c>
      <c r="E2075" s="14"/>
      <c r="F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</row>
    <row r="2076" ht="12.75" customHeight="1">
      <c r="A2076" s="65" t="s">
        <v>14</v>
      </c>
      <c r="B2076" s="65" t="s">
        <v>15</v>
      </c>
      <c r="C2076" s="65"/>
      <c r="D2076" s="67">
        <v>108000.0</v>
      </c>
      <c r="E2076" s="14"/>
      <c r="F2076" s="14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</row>
    <row r="2077" ht="12.75" customHeight="1">
      <c r="A2077" s="65" t="s">
        <v>14</v>
      </c>
      <c r="B2077" s="65" t="s">
        <v>15</v>
      </c>
      <c r="C2077" s="65"/>
      <c r="D2077" s="67">
        <v>87750.0</v>
      </c>
      <c r="E2077" s="14"/>
      <c r="F2077" s="14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</row>
    <row r="2078" ht="12.75" customHeight="1">
      <c r="A2078" s="65" t="s">
        <v>14</v>
      </c>
      <c r="B2078" s="65" t="s">
        <v>15</v>
      </c>
      <c r="C2078" s="65"/>
      <c r="D2078" s="67">
        <v>87750.0</v>
      </c>
      <c r="E2078" s="14"/>
      <c r="F2078" s="14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</row>
    <row r="2079" ht="12.75" customHeight="1">
      <c r="A2079" s="65" t="s">
        <v>14</v>
      </c>
      <c r="B2079" s="65" t="s">
        <v>15</v>
      </c>
      <c r="C2079" s="65"/>
      <c r="D2079" s="67">
        <v>87750.0</v>
      </c>
      <c r="E2079" s="14"/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</row>
    <row r="2080" ht="12.75" customHeight="1">
      <c r="A2080" s="65" t="s">
        <v>14</v>
      </c>
      <c r="B2080" s="65" t="s">
        <v>15</v>
      </c>
      <c r="C2080" s="65"/>
      <c r="D2080" s="67">
        <v>81000.0</v>
      </c>
      <c r="E2080" s="14"/>
      <c r="F2080" s="14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</row>
    <row r="2081" ht="12.75" customHeight="1">
      <c r="A2081" s="65" t="s">
        <v>14</v>
      </c>
      <c r="B2081" s="65" t="s">
        <v>15</v>
      </c>
      <c r="C2081" s="65"/>
      <c r="D2081" s="67">
        <v>81000.0</v>
      </c>
      <c r="E2081" s="14"/>
      <c r="F2081" s="14"/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</row>
    <row r="2082" ht="12.75" customHeight="1">
      <c r="A2082" s="65" t="s">
        <v>14</v>
      </c>
      <c r="B2082" s="65" t="s">
        <v>15</v>
      </c>
      <c r="C2082" s="65"/>
      <c r="D2082" s="67">
        <v>77625.0</v>
      </c>
      <c r="E2082" s="14"/>
      <c r="F2082" s="14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</row>
    <row r="2083" ht="12.75" customHeight="1">
      <c r="A2083" s="65" t="s">
        <v>14</v>
      </c>
      <c r="B2083" s="65" t="s">
        <v>15</v>
      </c>
      <c r="C2083" s="65"/>
      <c r="D2083" s="67">
        <v>76783.5</v>
      </c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</row>
    <row r="2084" ht="12.75" customHeight="1">
      <c r="A2084" s="65" t="s">
        <v>14</v>
      </c>
      <c r="B2084" s="65" t="s">
        <v>15</v>
      </c>
      <c r="C2084" s="65"/>
      <c r="D2084" s="67">
        <v>67500.0</v>
      </c>
      <c r="E2084" s="14"/>
      <c r="F2084" s="14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</row>
    <row r="2085" ht="12.75" customHeight="1">
      <c r="A2085" s="65" t="s">
        <v>14</v>
      </c>
      <c r="B2085" s="65" t="s">
        <v>15</v>
      </c>
      <c r="C2085" s="65"/>
      <c r="D2085" s="67">
        <v>67500.0</v>
      </c>
      <c r="E2085" s="14"/>
      <c r="F2085" s="14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</row>
    <row r="2086" ht="12.75" customHeight="1">
      <c r="A2086" s="65" t="s">
        <v>14</v>
      </c>
      <c r="B2086" s="65" t="s">
        <v>15</v>
      </c>
      <c r="C2086" s="65"/>
      <c r="D2086" s="67">
        <v>67500.0</v>
      </c>
      <c r="E2086" s="14"/>
      <c r="F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</row>
    <row r="2087" ht="12.75" customHeight="1">
      <c r="A2087" s="65" t="s">
        <v>14</v>
      </c>
      <c r="B2087" s="65" t="s">
        <v>15</v>
      </c>
      <c r="C2087" s="65"/>
      <c r="D2087" s="67">
        <v>67500.0</v>
      </c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</row>
    <row r="2088" ht="12.75" customHeight="1">
      <c r="A2088" s="65" t="s">
        <v>14</v>
      </c>
      <c r="B2088" s="65" t="s">
        <v>15</v>
      </c>
      <c r="C2088" s="65"/>
      <c r="D2088" s="67">
        <v>67500.0</v>
      </c>
      <c r="E2088" s="14"/>
      <c r="F2088" s="14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</row>
    <row r="2089" ht="12.75" customHeight="1">
      <c r="A2089" s="65" t="s">
        <v>14</v>
      </c>
      <c r="B2089" s="65" t="s">
        <v>15</v>
      </c>
      <c r="C2089" s="65"/>
      <c r="D2089" s="67">
        <v>67500.0</v>
      </c>
      <c r="E2089" s="14"/>
      <c r="F2089" s="14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</row>
    <row r="2090" ht="12.75" customHeight="1">
      <c r="A2090" s="65" t="s">
        <v>14</v>
      </c>
      <c r="B2090" s="65" t="s">
        <v>15</v>
      </c>
      <c r="C2090" s="65"/>
      <c r="D2090" s="67">
        <v>67500.0</v>
      </c>
      <c r="E2090" s="14"/>
      <c r="F2090" s="14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</row>
    <row r="2091" ht="12.75" customHeight="1">
      <c r="A2091" s="65" t="s">
        <v>14</v>
      </c>
      <c r="B2091" s="65" t="s">
        <v>15</v>
      </c>
      <c r="C2091" s="65"/>
      <c r="D2091" s="67">
        <v>67500.0</v>
      </c>
      <c r="E2091" s="14"/>
      <c r="F2091" s="14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</row>
    <row r="2092" ht="12.75" customHeight="1">
      <c r="A2092" s="65" t="s">
        <v>14</v>
      </c>
      <c r="B2092" s="65" t="s">
        <v>15</v>
      </c>
      <c r="C2092" s="65"/>
      <c r="D2092" s="67">
        <v>67500.0</v>
      </c>
      <c r="E2092" s="14"/>
      <c r="F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</row>
    <row r="2093" ht="12.75" customHeight="1">
      <c r="A2093" s="65" t="s">
        <v>14</v>
      </c>
      <c r="B2093" s="65" t="s">
        <v>15</v>
      </c>
      <c r="C2093" s="65"/>
      <c r="D2093" s="67">
        <v>61875.0</v>
      </c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</row>
    <row r="2094" ht="12.75" customHeight="1">
      <c r="A2094" s="65" t="s">
        <v>14</v>
      </c>
      <c r="B2094" s="65" t="s">
        <v>15</v>
      </c>
      <c r="C2094" s="65"/>
      <c r="D2094" s="67">
        <v>60750.0</v>
      </c>
      <c r="E2094" s="14"/>
      <c r="F2094" s="14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</row>
    <row r="2095" ht="12.75" customHeight="1">
      <c r="A2095" s="65" t="s">
        <v>14</v>
      </c>
      <c r="B2095" s="65" t="s">
        <v>15</v>
      </c>
      <c r="C2095" s="65"/>
      <c r="D2095" s="67">
        <v>57712.5</v>
      </c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</row>
    <row r="2096" ht="12.75" customHeight="1">
      <c r="A2096" s="65" t="s">
        <v>14</v>
      </c>
      <c r="B2096" s="65" t="s">
        <v>15</v>
      </c>
      <c r="C2096" s="65"/>
      <c r="D2096" s="67">
        <v>54000.0</v>
      </c>
      <c r="E2096" s="14"/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</row>
    <row r="2097" ht="12.75" customHeight="1">
      <c r="A2097" s="65" t="s">
        <v>14</v>
      </c>
      <c r="B2097" s="65" t="s">
        <v>15</v>
      </c>
      <c r="C2097" s="65"/>
      <c r="D2097" s="67">
        <v>48600.0</v>
      </c>
      <c r="E2097" s="14"/>
      <c r="F2097" s="14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</row>
    <row r="2098" ht="12.75" customHeight="1">
      <c r="A2098" s="65" t="s">
        <v>14</v>
      </c>
      <c r="B2098" s="65" t="s">
        <v>15</v>
      </c>
      <c r="C2098" s="65"/>
      <c r="D2098" s="67">
        <v>47250.0</v>
      </c>
      <c r="E2098" s="14"/>
      <c r="F2098" s="14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</row>
    <row r="2099" ht="12.75" customHeight="1">
      <c r="A2099" s="65" t="s">
        <v>14</v>
      </c>
      <c r="B2099" s="65" t="s">
        <v>15</v>
      </c>
      <c r="C2099" s="65"/>
      <c r="D2099" s="67">
        <v>47250.0</v>
      </c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</row>
    <row r="2100" ht="12.75" customHeight="1">
      <c r="A2100" s="65" t="s">
        <v>14</v>
      </c>
      <c r="B2100" s="65" t="s">
        <v>15</v>
      </c>
      <c r="C2100" s="65"/>
      <c r="D2100" s="67">
        <v>40500.0</v>
      </c>
      <c r="E2100" s="14"/>
      <c r="F2100" s="14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</row>
    <row r="2101" ht="12.75" customHeight="1">
      <c r="A2101" s="65" t="s">
        <v>14</v>
      </c>
      <c r="B2101" s="65" t="s">
        <v>15</v>
      </c>
      <c r="C2101" s="65"/>
      <c r="D2101" s="67">
        <v>34650.0</v>
      </c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</row>
    <row r="2102" ht="12.75" customHeight="1">
      <c r="A2102" s="65" t="s">
        <v>14</v>
      </c>
      <c r="B2102" s="65" t="s">
        <v>15</v>
      </c>
      <c r="C2102" s="65"/>
      <c r="D2102" s="67">
        <v>33750.0</v>
      </c>
      <c r="E2102" s="14"/>
      <c r="F2102" s="14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</row>
    <row r="2103" ht="12.75" customHeight="1">
      <c r="A2103" s="65" t="s">
        <v>14</v>
      </c>
      <c r="B2103" s="65" t="s">
        <v>15</v>
      </c>
      <c r="C2103" s="65"/>
      <c r="D2103" s="67">
        <v>22500.0</v>
      </c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</row>
    <row r="2104" ht="12.75" customHeight="1">
      <c r="A2104" s="65" t="s">
        <v>14</v>
      </c>
      <c r="B2104" s="65" t="s">
        <v>15</v>
      </c>
      <c r="C2104" s="65"/>
      <c r="D2104" s="67">
        <v>20250.0</v>
      </c>
      <c r="E2104" s="14"/>
      <c r="F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</row>
    <row r="2105" ht="12.75" customHeight="1">
      <c r="A2105" s="65" t="s">
        <v>14</v>
      </c>
      <c r="B2105" s="65" t="s">
        <v>15</v>
      </c>
      <c r="C2105" s="65"/>
      <c r="D2105" s="67">
        <v>16875.0</v>
      </c>
      <c r="E2105" s="14"/>
      <c r="F2105" s="14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</row>
    <row r="2106" ht="12.75" customHeight="1">
      <c r="A2106" s="65" t="s">
        <v>14</v>
      </c>
      <c r="B2106" s="65" t="s">
        <v>15</v>
      </c>
      <c r="C2106" s="65"/>
      <c r="D2106" s="67">
        <v>10125.0</v>
      </c>
      <c r="E2106" s="14"/>
      <c r="F2106" s="14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</row>
    <row r="2107" ht="12.75" customHeight="1">
      <c r="A2107" s="65" t="s">
        <v>14</v>
      </c>
      <c r="B2107" s="65" t="s">
        <v>15</v>
      </c>
      <c r="C2107" s="65"/>
      <c r="D2107" s="67">
        <v>5400.0</v>
      </c>
      <c r="E2107" s="14"/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</row>
    <row r="2108" ht="12.75" customHeight="1">
      <c r="A2108" s="14" t="s">
        <v>14</v>
      </c>
      <c r="B2108" s="14" t="s">
        <v>15</v>
      </c>
      <c r="C2108" s="14"/>
      <c r="D2108" s="67">
        <v>5062.5</v>
      </c>
      <c r="E2108" s="14"/>
      <c r="F2108" s="14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</row>
    <row r="2109" ht="12.75" customHeight="1">
      <c r="A2109" s="14" t="s">
        <v>14</v>
      </c>
      <c r="B2109" s="14" t="s">
        <v>15</v>
      </c>
      <c r="C2109" s="14"/>
      <c r="D2109" s="67">
        <v>3375.0</v>
      </c>
      <c r="E2109" s="14"/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</row>
    <row r="2110" ht="12.75" customHeight="1">
      <c r="A2110" s="14" t="s">
        <v>14</v>
      </c>
      <c r="B2110" s="14" t="s">
        <v>15</v>
      </c>
      <c r="C2110" s="14"/>
      <c r="D2110" s="67">
        <v>3375.0</v>
      </c>
      <c r="E2110" s="14"/>
      <c r="F2110" s="14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</row>
    <row r="2111" ht="12.75" customHeight="1">
      <c r="A2111" s="14" t="s">
        <v>14</v>
      </c>
      <c r="B2111" s="14" t="s">
        <v>15</v>
      </c>
      <c r="C2111" s="14"/>
      <c r="D2111" s="67">
        <v>3375.0</v>
      </c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</row>
    <row r="2112" ht="12.75" customHeight="1">
      <c r="A2112" s="14" t="s">
        <v>14</v>
      </c>
      <c r="B2112" s="14" t="s">
        <v>15</v>
      </c>
      <c r="C2112" s="14"/>
      <c r="D2112" s="67">
        <v>3375.0</v>
      </c>
      <c r="E2112" s="14"/>
      <c r="F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</row>
    <row r="2113" ht="12.75" customHeight="1">
      <c r="A2113" s="14" t="s">
        <v>14</v>
      </c>
      <c r="B2113" s="14" t="s">
        <v>15</v>
      </c>
      <c r="C2113" s="14"/>
      <c r="D2113" s="67">
        <v>0.0</v>
      </c>
      <c r="E2113" s="14"/>
      <c r="F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</row>
    <row r="2114" ht="12.75" customHeight="1">
      <c r="A2114" s="14" t="s">
        <v>14</v>
      </c>
      <c r="B2114" s="14" t="s">
        <v>15</v>
      </c>
      <c r="C2114" s="14"/>
      <c r="D2114" s="67">
        <v>-51592.5</v>
      </c>
      <c r="E2114" s="14"/>
      <c r="F2114" s="14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</row>
    <row r="2115" ht="12.75" customHeight="1">
      <c r="A2115" s="14" t="s">
        <v>14</v>
      </c>
      <c r="B2115" s="14" t="s">
        <v>15</v>
      </c>
      <c r="C2115" s="14"/>
      <c r="D2115" s="67">
        <v>-107482.5</v>
      </c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FFFF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86"/>
    <col customWidth="1" min="2" max="2" width="10.0"/>
    <col customWidth="1" min="3" max="3" width="48.43"/>
    <col customWidth="1" min="4" max="12" width="12.71"/>
    <col customWidth="1" hidden="1" min="13" max="13" width="25.71"/>
    <col customWidth="1" min="14" max="14" width="23.29"/>
    <col customWidth="1" min="15" max="18" width="8.86"/>
  </cols>
  <sheetData>
    <row r="1" ht="10.5" customHeight="1">
      <c r="A1" s="14"/>
      <c r="B1" s="68" t="s">
        <v>38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ht="12.75" customHeight="1">
      <c r="A2" s="69"/>
      <c r="B2" s="70" t="s">
        <v>88</v>
      </c>
      <c r="C2" s="14"/>
      <c r="D2" s="60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ht="27.75" customHeight="1">
      <c r="A3" s="61" t="s">
        <v>82</v>
      </c>
      <c r="B3" s="62" t="s">
        <v>86</v>
      </c>
      <c r="C3" s="63" t="s">
        <v>87</v>
      </c>
      <c r="D3" s="71" t="str">
        <f>RecurringRevenue!D3</f>
        <v>2018 total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ht="12.75" customHeight="1">
      <c r="A4" s="65" t="s">
        <v>14</v>
      </c>
      <c r="B4" s="65" t="s">
        <v>16</v>
      </c>
      <c r="C4" s="66"/>
      <c r="D4" s="67">
        <v>370764.6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72"/>
      <c r="P4" s="72"/>
      <c r="Q4" s="72"/>
      <c r="R4" s="72"/>
    </row>
    <row r="5" ht="12.75" customHeight="1">
      <c r="A5" s="73" t="s">
        <v>14</v>
      </c>
      <c r="B5" s="73" t="s">
        <v>16</v>
      </c>
      <c r="C5" s="73"/>
      <c r="D5" s="67">
        <v>370350.6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ht="12.75" customHeight="1">
      <c r="A6" s="66" t="s">
        <v>14</v>
      </c>
      <c r="B6" s="66" t="s">
        <v>16</v>
      </c>
      <c r="C6" s="73"/>
      <c r="D6" s="67">
        <v>181313.59999999998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ht="12.75" customHeight="1">
      <c r="A7" s="73" t="s">
        <v>14</v>
      </c>
      <c r="B7" s="73" t="s">
        <v>16</v>
      </c>
      <c r="C7" s="73"/>
      <c r="D7" s="67">
        <v>136247.4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ht="12.75" customHeight="1">
      <c r="A8" s="73" t="s">
        <v>14</v>
      </c>
      <c r="B8" s="73" t="s">
        <v>16</v>
      </c>
      <c r="C8" s="73"/>
      <c r="D8" s="67">
        <v>71231.0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ht="12.75" customHeight="1">
      <c r="A9" s="73" t="s">
        <v>14</v>
      </c>
      <c r="B9" s="73" t="s">
        <v>16</v>
      </c>
      <c r="C9" s="73"/>
      <c r="D9" s="67">
        <v>40746.799999999996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</row>
    <row r="10" ht="12.75" customHeight="1">
      <c r="A10" s="73" t="s">
        <v>14</v>
      </c>
      <c r="B10" s="73" t="s">
        <v>16</v>
      </c>
      <c r="C10" s="73"/>
      <c r="D10" s="67">
        <v>33120.0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</row>
    <row r="11" ht="12.75" customHeight="1">
      <c r="A11" s="73" t="s">
        <v>14</v>
      </c>
      <c r="B11" s="73" t="s">
        <v>16</v>
      </c>
      <c r="C11" s="73"/>
      <c r="D11" s="67">
        <v>17006.199999999997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ht="12.75" customHeight="1">
      <c r="A12" s="73" t="s">
        <v>14</v>
      </c>
      <c r="B12" s="73" t="s">
        <v>16</v>
      </c>
      <c r="C12" s="73"/>
      <c r="D12" s="67">
        <v>16099.999999999998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ht="12.75" customHeight="1">
      <c r="A13" s="73" t="s">
        <v>14</v>
      </c>
      <c r="B13" s="73" t="s">
        <v>16</v>
      </c>
      <c r="C13" s="73"/>
      <c r="D13" s="67">
        <v>0.0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ht="12.75" customHeight="1">
      <c r="A14" s="73" t="s">
        <v>14</v>
      </c>
      <c r="B14" s="73" t="s">
        <v>16</v>
      </c>
      <c r="C14" s="73"/>
      <c r="D14" s="67">
        <v>0.0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ht="12.75" customHeight="1">
      <c r="A15" s="73" t="s">
        <v>14</v>
      </c>
      <c r="B15" s="73" t="s">
        <v>16</v>
      </c>
      <c r="C15" s="73"/>
      <c r="D15" s="67">
        <v>-25621.999999999996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ht="12.75" customHeight="1">
      <c r="A16" s="73" t="s">
        <v>14</v>
      </c>
      <c r="B16" s="73" t="s">
        <v>16</v>
      </c>
      <c r="C16" s="73"/>
      <c r="D16" s="67">
        <v>61478.99999999999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ht="12.75" customHeight="1">
      <c r="A17" s="73" t="s">
        <v>14</v>
      </c>
      <c r="B17" s="73" t="s">
        <v>16</v>
      </c>
      <c r="C17" s="73"/>
      <c r="D17" s="67">
        <v>16320.8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ht="12.75" customHeight="1">
      <c r="A18" s="73" t="s">
        <v>14</v>
      </c>
      <c r="B18" s="73" t="s">
        <v>16</v>
      </c>
      <c r="C18" s="73"/>
      <c r="D18" s="67">
        <v>12194.599999999999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ht="12.75" customHeight="1">
      <c r="A19" s="73" t="s">
        <v>14</v>
      </c>
      <c r="B19" s="73" t="s">
        <v>16</v>
      </c>
      <c r="C19" s="73"/>
      <c r="D19" s="67">
        <v>8551.4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ht="12.75" customHeight="1">
      <c r="A20" s="73" t="s">
        <v>14</v>
      </c>
      <c r="B20" s="73" t="s">
        <v>16</v>
      </c>
      <c r="C20" s="73"/>
      <c r="D20" s="67">
        <v>149753.0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ht="12.75" customHeight="1">
      <c r="A21" s="73" t="s">
        <v>14</v>
      </c>
      <c r="B21" s="73" t="s">
        <v>16</v>
      </c>
      <c r="C21" s="73"/>
      <c r="D21" s="67">
        <v>108716.4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ht="12.75" customHeight="1">
      <c r="A22" s="73" t="s">
        <v>14</v>
      </c>
      <c r="B22" s="73" t="s">
        <v>16</v>
      </c>
      <c r="C22" s="73"/>
      <c r="D22" s="67">
        <v>104967.4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ht="12.75" customHeight="1">
      <c r="A23" s="73" t="s">
        <v>14</v>
      </c>
      <c r="B23" s="73" t="s">
        <v>16</v>
      </c>
      <c r="C23" s="73"/>
      <c r="D23" s="67">
        <v>103072.2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ht="12.75" customHeight="1">
      <c r="A24" s="73" t="s">
        <v>14</v>
      </c>
      <c r="B24" s="73" t="s">
        <v>16</v>
      </c>
      <c r="C24" s="73"/>
      <c r="D24" s="67">
        <v>66631.0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ht="12.75" customHeight="1">
      <c r="A25" s="73" t="s">
        <v>14</v>
      </c>
      <c r="B25" s="73" t="s">
        <v>16</v>
      </c>
      <c r="C25" s="73"/>
      <c r="D25" s="67">
        <v>62527.799999999996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ht="12.75" customHeight="1">
      <c r="A26" s="73" t="s">
        <v>14</v>
      </c>
      <c r="B26" s="73" t="s">
        <v>16</v>
      </c>
      <c r="C26" s="73"/>
      <c r="D26" s="67">
        <v>55664.6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ht="12.75" customHeight="1">
      <c r="A27" s="73" t="s">
        <v>14</v>
      </c>
      <c r="B27" s="73" t="s">
        <v>16</v>
      </c>
      <c r="C27" s="73"/>
      <c r="D27" s="67">
        <v>55291.99999999999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ht="12.75" customHeight="1">
      <c r="A28" s="73" t="s">
        <v>14</v>
      </c>
      <c r="B28" s="73" t="s">
        <v>16</v>
      </c>
      <c r="C28" s="73"/>
      <c r="D28" s="67">
        <v>42389.0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ht="12.75" customHeight="1">
      <c r="A29" s="73" t="s">
        <v>14</v>
      </c>
      <c r="B29" s="73" t="s">
        <v>16</v>
      </c>
      <c r="C29" s="73"/>
      <c r="D29" s="67">
        <v>39785.399999999994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ht="12.75" customHeight="1">
      <c r="A30" s="73" t="s">
        <v>14</v>
      </c>
      <c r="B30" s="73" t="s">
        <v>16</v>
      </c>
      <c r="C30" s="73"/>
      <c r="D30" s="67">
        <v>32917.6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 ht="12.75" customHeight="1">
      <c r="A31" s="73" t="s">
        <v>14</v>
      </c>
      <c r="B31" s="73" t="s">
        <v>16</v>
      </c>
      <c r="C31" s="73"/>
      <c r="D31" s="67">
        <v>31546.8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ht="12.75" customHeight="1">
      <c r="A32" s="73" t="s">
        <v>14</v>
      </c>
      <c r="B32" s="73" t="s">
        <v>16</v>
      </c>
      <c r="C32" s="73"/>
      <c r="D32" s="67">
        <v>22526.199999999997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</row>
    <row r="33" ht="12.75" customHeight="1">
      <c r="A33" s="73" t="s">
        <v>14</v>
      </c>
      <c r="B33" s="73" t="s">
        <v>16</v>
      </c>
      <c r="C33" s="73"/>
      <c r="D33" s="67">
        <v>15511.199999999999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ht="12.75" customHeight="1">
      <c r="A34" s="73" t="s">
        <v>14</v>
      </c>
      <c r="B34" s="73" t="s">
        <v>16</v>
      </c>
      <c r="C34" s="73"/>
      <c r="D34" s="67">
        <v>13349.199999999999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 ht="12.75" customHeight="1">
      <c r="A35" s="73" t="s">
        <v>14</v>
      </c>
      <c r="B35" s="73" t="s">
        <v>16</v>
      </c>
      <c r="C35" s="73"/>
      <c r="D35" s="67">
        <v>10764.0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ht="12.75" customHeight="1">
      <c r="A36" s="73" t="s">
        <v>14</v>
      </c>
      <c r="B36" s="73" t="s">
        <v>16</v>
      </c>
      <c r="C36" s="73"/>
      <c r="D36" s="67">
        <v>10221.199999999999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ht="12.75" customHeight="1">
      <c r="A37" s="73" t="s">
        <v>14</v>
      </c>
      <c r="B37" s="73" t="s">
        <v>16</v>
      </c>
      <c r="C37" s="73"/>
      <c r="D37" s="67">
        <v>10193.599999999999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 ht="12.75" customHeight="1">
      <c r="A38" s="73" t="s">
        <v>14</v>
      </c>
      <c r="B38" s="73" t="s">
        <v>16</v>
      </c>
      <c r="C38" s="73"/>
      <c r="D38" s="67">
        <v>10064.8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</row>
    <row r="39" ht="12.75" customHeight="1">
      <c r="A39" s="73" t="s">
        <v>14</v>
      </c>
      <c r="B39" s="73" t="s">
        <v>16</v>
      </c>
      <c r="C39" s="73"/>
      <c r="D39" s="67">
        <v>9554.199999999999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</row>
    <row r="40" ht="12.75" customHeight="1">
      <c r="A40" s="73" t="s">
        <v>14</v>
      </c>
      <c r="B40" s="73" t="s">
        <v>16</v>
      </c>
      <c r="C40" s="73"/>
      <c r="D40" s="67">
        <v>9209.199999999999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ht="12.75" customHeight="1">
      <c r="A41" s="73" t="s">
        <v>14</v>
      </c>
      <c r="B41" s="73" t="s">
        <v>16</v>
      </c>
      <c r="C41" s="73"/>
      <c r="D41" s="67">
        <v>8408.8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</row>
    <row r="42" ht="12.75" customHeight="1">
      <c r="A42" s="73" t="s">
        <v>14</v>
      </c>
      <c r="B42" s="73" t="s">
        <v>16</v>
      </c>
      <c r="C42" s="73"/>
      <c r="D42" s="67">
        <v>6131.799999999999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</row>
    <row r="43" ht="12.75" customHeight="1">
      <c r="A43" s="73" t="s">
        <v>14</v>
      </c>
      <c r="B43" s="73" t="s">
        <v>16</v>
      </c>
      <c r="C43" s="73"/>
      <c r="D43" s="67">
        <v>6104.2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</row>
    <row r="44" ht="12.75" customHeight="1">
      <c r="A44" s="73" t="s">
        <v>14</v>
      </c>
      <c r="B44" s="73" t="s">
        <v>16</v>
      </c>
      <c r="C44" s="73"/>
      <c r="D44" s="67">
        <v>4544.799999999999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ht="12.75" customHeight="1">
      <c r="A45" s="73" t="s">
        <v>14</v>
      </c>
      <c r="B45" s="73" t="s">
        <v>16</v>
      </c>
      <c r="C45" s="73"/>
      <c r="D45" s="67">
        <v>3500.6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</row>
    <row r="46" ht="12.75" customHeight="1">
      <c r="A46" s="73" t="s">
        <v>14</v>
      </c>
      <c r="B46" s="73" t="s">
        <v>16</v>
      </c>
      <c r="C46" s="73"/>
      <c r="D46" s="67">
        <v>3215.3999999999996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</row>
    <row r="47" ht="12.75" customHeight="1">
      <c r="A47" s="73" t="s">
        <v>14</v>
      </c>
      <c r="B47" s="73" t="s">
        <v>16</v>
      </c>
      <c r="C47" s="73"/>
      <c r="D47" s="67">
        <v>2999.2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 ht="12.75" customHeight="1">
      <c r="A48" s="73" t="s">
        <v>14</v>
      </c>
      <c r="B48" s="73" t="s">
        <v>16</v>
      </c>
      <c r="C48" s="73"/>
      <c r="D48" s="67">
        <v>0.0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</row>
    <row r="49" ht="12.75" customHeight="1">
      <c r="A49" s="73" t="s">
        <v>14</v>
      </c>
      <c r="B49" s="73" t="s">
        <v>16</v>
      </c>
      <c r="C49" s="73"/>
      <c r="D49" s="67">
        <v>124659.99999999999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ht="12.75" customHeight="1">
      <c r="A50" s="73" t="s">
        <v>14</v>
      </c>
      <c r="B50" s="73" t="s">
        <v>16</v>
      </c>
      <c r="C50" s="73"/>
      <c r="D50" s="67">
        <v>115864.79999999999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</row>
    <row r="51" ht="12.75" customHeight="1">
      <c r="A51" s="73" t="s">
        <v>14</v>
      </c>
      <c r="B51" s="73" t="s">
        <v>16</v>
      </c>
      <c r="C51" s="73"/>
      <c r="D51" s="67">
        <v>103499.99999999999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</row>
    <row r="52" ht="12.75" customHeight="1">
      <c r="A52" s="73" t="s">
        <v>14</v>
      </c>
      <c r="B52" s="73" t="s">
        <v>16</v>
      </c>
      <c r="C52" s="73"/>
      <c r="D52" s="67">
        <v>88734.0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</row>
    <row r="53" ht="12.75" customHeight="1">
      <c r="A53" s="73" t="s">
        <v>14</v>
      </c>
      <c r="B53" s="73" t="s">
        <v>16</v>
      </c>
      <c r="C53" s="73"/>
      <c r="D53" s="67">
        <v>67817.79999999999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ht="12.75" customHeight="1">
      <c r="A54" s="73" t="s">
        <v>14</v>
      </c>
      <c r="B54" s="73" t="s">
        <v>16</v>
      </c>
      <c r="C54" s="73"/>
      <c r="D54" s="67">
        <v>64767.99999999999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</row>
    <row r="55" ht="12.75" customHeight="1">
      <c r="A55" s="73" t="s">
        <v>14</v>
      </c>
      <c r="B55" s="73" t="s">
        <v>16</v>
      </c>
      <c r="C55" s="73"/>
      <c r="D55" s="67">
        <v>64399.99999999999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</row>
    <row r="56" ht="12.75" customHeight="1">
      <c r="A56" s="73" t="s">
        <v>14</v>
      </c>
      <c r="B56" s="73" t="s">
        <v>16</v>
      </c>
      <c r="C56" s="73"/>
      <c r="D56" s="67">
        <v>60535.99999999999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</row>
    <row r="57" ht="12.75" customHeight="1">
      <c r="A57" s="73" t="s">
        <v>14</v>
      </c>
      <c r="B57" s="73" t="s">
        <v>16</v>
      </c>
      <c r="C57" s="73"/>
      <c r="D57" s="67">
        <v>56349.99999999999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ht="12.75" customHeight="1">
      <c r="A58" s="73" t="s">
        <v>14</v>
      </c>
      <c r="B58" s="73" t="s">
        <v>16</v>
      </c>
      <c r="C58" s="73"/>
      <c r="D58" s="67">
        <v>55199.99999999999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</row>
    <row r="59" ht="12.75" customHeight="1">
      <c r="A59" s="73" t="s">
        <v>14</v>
      </c>
      <c r="B59" s="73" t="s">
        <v>16</v>
      </c>
      <c r="C59" s="73"/>
      <c r="D59" s="67">
        <v>39799.2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</row>
    <row r="60" ht="12.75" customHeight="1">
      <c r="A60" s="73" t="s">
        <v>14</v>
      </c>
      <c r="B60" s="73" t="s">
        <v>16</v>
      </c>
      <c r="C60" s="73"/>
      <c r="D60" s="67">
        <v>36790.799999999996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</row>
    <row r="61" ht="12.75" customHeight="1">
      <c r="A61" s="73" t="s">
        <v>14</v>
      </c>
      <c r="B61" s="73" t="s">
        <v>16</v>
      </c>
      <c r="C61" s="73"/>
      <c r="D61" s="67">
        <v>36114.6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ht="12.75" customHeight="1">
      <c r="A62" s="73" t="s">
        <v>14</v>
      </c>
      <c r="B62" s="73" t="s">
        <v>16</v>
      </c>
      <c r="C62" s="73"/>
      <c r="D62" s="67">
        <v>31279.999999999996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</row>
    <row r="63" ht="12.75" customHeight="1">
      <c r="A63" s="73" t="s">
        <v>14</v>
      </c>
      <c r="B63" s="73" t="s">
        <v>16</v>
      </c>
      <c r="C63" s="73"/>
      <c r="D63" s="67">
        <v>29899.999999999996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</row>
    <row r="64" ht="12.75" customHeight="1">
      <c r="A64" s="73" t="s">
        <v>14</v>
      </c>
      <c r="B64" s="73" t="s">
        <v>16</v>
      </c>
      <c r="C64" s="73"/>
      <c r="D64" s="67">
        <v>26219.999999999996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</row>
    <row r="65" ht="12.75" customHeight="1">
      <c r="A65" s="73" t="s">
        <v>14</v>
      </c>
      <c r="B65" s="73" t="s">
        <v>16</v>
      </c>
      <c r="C65" s="73"/>
      <c r="D65" s="67">
        <v>18630.0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</row>
    <row r="66" ht="12.75" customHeight="1">
      <c r="A66" s="73" t="s">
        <v>14</v>
      </c>
      <c r="B66" s="73" t="s">
        <v>16</v>
      </c>
      <c r="C66" s="73"/>
      <c r="D66" s="67">
        <v>17664.0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</row>
    <row r="67" ht="12.75" customHeight="1">
      <c r="A67" s="73" t="s">
        <v>14</v>
      </c>
      <c r="B67" s="73" t="s">
        <v>16</v>
      </c>
      <c r="C67" s="73"/>
      <c r="D67" s="67">
        <v>14949.999999999998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</row>
    <row r="68" ht="12.75" customHeight="1">
      <c r="A68" s="73" t="s">
        <v>14</v>
      </c>
      <c r="B68" s="73" t="s">
        <v>16</v>
      </c>
      <c r="C68" s="73"/>
      <c r="D68" s="67">
        <v>14232.4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</row>
    <row r="69" ht="12.75" customHeight="1">
      <c r="A69" s="73" t="s">
        <v>14</v>
      </c>
      <c r="B69" s="73" t="s">
        <v>16</v>
      </c>
      <c r="C69" s="73"/>
      <c r="D69" s="67">
        <v>12649.999999999998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</row>
    <row r="70" ht="12.75" customHeight="1">
      <c r="A70" s="73" t="s">
        <v>14</v>
      </c>
      <c r="B70" s="73" t="s">
        <v>16</v>
      </c>
      <c r="C70" s="73"/>
      <c r="D70" s="67">
        <v>12304.999999999998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</row>
    <row r="71" ht="12.75" customHeight="1">
      <c r="A71" s="73" t="s">
        <v>14</v>
      </c>
      <c r="B71" s="73" t="s">
        <v>16</v>
      </c>
      <c r="C71" s="73"/>
      <c r="D71" s="67">
        <v>9489.8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</row>
    <row r="72" ht="12.75" customHeight="1">
      <c r="A72" s="73" t="s">
        <v>14</v>
      </c>
      <c r="B72" s="73" t="s">
        <v>16</v>
      </c>
      <c r="C72" s="73"/>
      <c r="D72" s="67">
        <v>6467.599999999999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</row>
    <row r="73" ht="12.75" customHeight="1">
      <c r="A73" s="73" t="s">
        <v>14</v>
      </c>
      <c r="B73" s="73" t="s">
        <v>16</v>
      </c>
      <c r="C73" s="73"/>
      <c r="D73" s="67">
        <v>6439.999999999999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</row>
    <row r="74" ht="12.75" customHeight="1">
      <c r="A74" s="73" t="s">
        <v>14</v>
      </c>
      <c r="B74" s="73" t="s">
        <v>16</v>
      </c>
      <c r="C74" s="73"/>
      <c r="D74" s="67">
        <v>6389.4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</row>
    <row r="75" ht="12.75" customHeight="1">
      <c r="A75" s="73" t="s">
        <v>14</v>
      </c>
      <c r="B75" s="73" t="s">
        <v>16</v>
      </c>
      <c r="C75" s="73"/>
      <c r="D75" s="67">
        <v>5464.799999999999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</row>
    <row r="76" ht="12.75" customHeight="1">
      <c r="A76" s="73" t="s">
        <v>14</v>
      </c>
      <c r="B76" s="73" t="s">
        <v>16</v>
      </c>
      <c r="C76" s="73"/>
      <c r="D76" s="67">
        <v>2530.0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</row>
    <row r="77" ht="12.75" customHeight="1">
      <c r="A77" s="73" t="s">
        <v>14</v>
      </c>
      <c r="B77" s="73" t="s">
        <v>16</v>
      </c>
      <c r="C77" s="73"/>
      <c r="D77" s="67">
        <v>2300.0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</row>
    <row r="78" ht="12.75" customHeight="1">
      <c r="A78" s="73" t="s">
        <v>14</v>
      </c>
      <c r="B78" s="73" t="s">
        <v>16</v>
      </c>
      <c r="C78" s="73"/>
      <c r="D78" s="67">
        <v>2300.0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</row>
    <row r="79" ht="12.75" customHeight="1">
      <c r="A79" s="73" t="s">
        <v>14</v>
      </c>
      <c r="B79" s="73" t="s">
        <v>16</v>
      </c>
      <c r="C79" s="73"/>
      <c r="D79" s="67">
        <v>1839.9999999999998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</row>
    <row r="80" ht="12.75" customHeight="1">
      <c r="A80" s="73" t="s">
        <v>14</v>
      </c>
      <c r="B80" s="73" t="s">
        <v>16</v>
      </c>
      <c r="C80" s="73"/>
      <c r="D80" s="67">
        <v>1150.0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</row>
    <row r="81" ht="12.75" customHeight="1">
      <c r="A81" s="73" t="s">
        <v>14</v>
      </c>
      <c r="B81" s="73" t="s">
        <v>16</v>
      </c>
      <c r="C81" s="73"/>
      <c r="D81" s="67">
        <v>745.1999999999999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</row>
    <row r="82" ht="12.75" customHeight="1">
      <c r="A82" s="73" t="s">
        <v>14</v>
      </c>
      <c r="B82" s="73" t="s">
        <v>16</v>
      </c>
      <c r="C82" s="73"/>
      <c r="D82" s="67">
        <v>690.0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</row>
    <row r="83" ht="12.75" customHeight="1">
      <c r="A83" s="73" t="s">
        <v>14</v>
      </c>
      <c r="B83" s="73" t="s">
        <v>16</v>
      </c>
      <c r="C83" s="73"/>
      <c r="D83" s="67">
        <v>459.99999999999994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</row>
    <row r="84" ht="12.75" customHeight="1">
      <c r="A84" s="73" t="s">
        <v>14</v>
      </c>
      <c r="B84" s="73" t="s">
        <v>16</v>
      </c>
      <c r="C84" s="73"/>
      <c r="D84" s="67">
        <v>459.99999999999994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</row>
    <row r="85" ht="12.75" customHeight="1">
      <c r="A85" s="73" t="s">
        <v>14</v>
      </c>
      <c r="B85" s="73" t="s">
        <v>16</v>
      </c>
      <c r="C85" s="73"/>
      <c r="D85" s="67">
        <v>372.59999999999997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</row>
    <row r="86" ht="12.75" customHeight="1">
      <c r="A86" s="73" t="s">
        <v>14</v>
      </c>
      <c r="B86" s="73" t="s">
        <v>16</v>
      </c>
      <c r="C86" s="73"/>
      <c r="D86" s="67">
        <v>0.0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</row>
    <row r="87" ht="12.75" customHeight="1">
      <c r="A87" s="73" t="s">
        <v>14</v>
      </c>
      <c r="B87" s="73" t="s">
        <v>16</v>
      </c>
      <c r="C87" s="73"/>
      <c r="D87" s="67">
        <v>162025.8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</row>
    <row r="88" ht="12.75" customHeight="1">
      <c r="A88" s="73" t="s">
        <v>14</v>
      </c>
      <c r="B88" s="73" t="s">
        <v>16</v>
      </c>
      <c r="C88" s="73"/>
      <c r="D88" s="67">
        <v>77372.0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</row>
    <row r="89" ht="12.75" customHeight="1">
      <c r="A89" s="73" t="s">
        <v>14</v>
      </c>
      <c r="B89" s="73" t="s">
        <v>16</v>
      </c>
      <c r="C89" s="73"/>
      <c r="D89" s="67">
        <v>70674.4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</row>
    <row r="90" ht="12.75" customHeight="1">
      <c r="A90" s="73" t="s">
        <v>14</v>
      </c>
      <c r="B90" s="73" t="s">
        <v>16</v>
      </c>
      <c r="C90" s="73"/>
      <c r="D90" s="67">
        <v>50558.6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</row>
    <row r="91" ht="12.75" customHeight="1">
      <c r="A91" s="73" t="s">
        <v>14</v>
      </c>
      <c r="B91" s="73" t="s">
        <v>16</v>
      </c>
      <c r="C91" s="73"/>
      <c r="D91" s="67">
        <v>48644.99999999999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</row>
    <row r="92" ht="12.75" customHeight="1">
      <c r="A92" s="73" t="s">
        <v>14</v>
      </c>
      <c r="B92" s="73" t="s">
        <v>16</v>
      </c>
      <c r="C92" s="73"/>
      <c r="D92" s="67">
        <v>25759.999999999996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</row>
    <row r="93" ht="12.75" customHeight="1">
      <c r="A93" s="73" t="s">
        <v>14</v>
      </c>
      <c r="B93" s="73" t="s">
        <v>16</v>
      </c>
      <c r="C93" s="73"/>
      <c r="D93" s="67">
        <v>19683.399999999998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</row>
    <row r="94" ht="12.75" customHeight="1">
      <c r="A94" s="73" t="s">
        <v>14</v>
      </c>
      <c r="B94" s="73" t="s">
        <v>16</v>
      </c>
      <c r="C94" s="73"/>
      <c r="D94" s="67">
        <v>19241.8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</row>
    <row r="95" ht="12.75" customHeight="1">
      <c r="A95" s="73" t="s">
        <v>14</v>
      </c>
      <c r="B95" s="73" t="s">
        <v>16</v>
      </c>
      <c r="C95" s="73"/>
      <c r="D95" s="67">
        <v>17434.0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</row>
    <row r="96" ht="12.75" customHeight="1">
      <c r="A96" s="73" t="s">
        <v>14</v>
      </c>
      <c r="B96" s="73" t="s">
        <v>16</v>
      </c>
      <c r="C96" s="73"/>
      <c r="D96" s="67">
        <v>16007.999999999998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</row>
    <row r="97" ht="12.75" customHeight="1">
      <c r="A97" s="73" t="s">
        <v>14</v>
      </c>
      <c r="B97" s="73" t="s">
        <v>16</v>
      </c>
      <c r="C97" s="73"/>
      <c r="D97" s="67">
        <v>15179.999999999998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</row>
    <row r="98" ht="12.75" customHeight="1">
      <c r="A98" s="73" t="s">
        <v>14</v>
      </c>
      <c r="B98" s="73" t="s">
        <v>16</v>
      </c>
      <c r="C98" s="73"/>
      <c r="D98" s="67">
        <v>12005.999999999998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</row>
    <row r="99" ht="12.75" customHeight="1">
      <c r="A99" s="73" t="s">
        <v>14</v>
      </c>
      <c r="B99" s="73" t="s">
        <v>16</v>
      </c>
      <c r="C99" s="73"/>
      <c r="D99" s="67">
        <v>10189.0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</row>
    <row r="100" ht="12.75" customHeight="1">
      <c r="A100" s="73" t="s">
        <v>14</v>
      </c>
      <c r="B100" s="73" t="s">
        <v>16</v>
      </c>
      <c r="C100" s="73"/>
      <c r="D100" s="67">
        <v>9936.0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</row>
    <row r="101" ht="12.75" customHeight="1">
      <c r="A101" s="73" t="s">
        <v>14</v>
      </c>
      <c r="B101" s="73" t="s">
        <v>16</v>
      </c>
      <c r="C101" s="73"/>
      <c r="D101" s="67">
        <v>8855.0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</row>
    <row r="102" ht="12.75" customHeight="1">
      <c r="A102" s="73" t="s">
        <v>14</v>
      </c>
      <c r="B102" s="73" t="s">
        <v>16</v>
      </c>
      <c r="C102" s="73"/>
      <c r="D102" s="67">
        <v>8855.0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</row>
    <row r="103" ht="12.75" customHeight="1">
      <c r="A103" s="73" t="s">
        <v>14</v>
      </c>
      <c r="B103" s="73" t="s">
        <v>16</v>
      </c>
      <c r="C103" s="73"/>
      <c r="D103" s="67">
        <v>8280.0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</row>
    <row r="104" ht="12.75" customHeight="1">
      <c r="A104" s="73" t="s">
        <v>14</v>
      </c>
      <c r="B104" s="73" t="s">
        <v>16</v>
      </c>
      <c r="C104" s="73"/>
      <c r="D104" s="67">
        <v>7971.799999999999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</row>
    <row r="105" ht="12.75" customHeight="1">
      <c r="A105" s="73" t="s">
        <v>14</v>
      </c>
      <c r="B105" s="73" t="s">
        <v>16</v>
      </c>
      <c r="C105" s="73"/>
      <c r="D105" s="67">
        <v>7474.999999999999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</row>
    <row r="106" ht="12.75" customHeight="1">
      <c r="A106" s="73" t="s">
        <v>14</v>
      </c>
      <c r="B106" s="73" t="s">
        <v>16</v>
      </c>
      <c r="C106" s="73"/>
      <c r="D106" s="67">
        <v>6191.599999999999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</row>
    <row r="107" ht="12.75" customHeight="1">
      <c r="A107" s="73" t="s">
        <v>14</v>
      </c>
      <c r="B107" s="73" t="s">
        <v>16</v>
      </c>
      <c r="C107" s="73"/>
      <c r="D107" s="67">
        <v>6113.4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</row>
    <row r="108" ht="12.75" customHeight="1">
      <c r="A108" s="73" t="s">
        <v>14</v>
      </c>
      <c r="B108" s="73" t="s">
        <v>16</v>
      </c>
      <c r="C108" s="73"/>
      <c r="D108" s="67">
        <v>5837.4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</row>
    <row r="109" ht="12.75" customHeight="1">
      <c r="A109" s="73" t="s">
        <v>14</v>
      </c>
      <c r="B109" s="73" t="s">
        <v>16</v>
      </c>
      <c r="C109" s="73"/>
      <c r="D109" s="67">
        <v>5635.0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</row>
    <row r="110" ht="12.75" customHeight="1">
      <c r="A110" s="73" t="s">
        <v>14</v>
      </c>
      <c r="B110" s="73" t="s">
        <v>16</v>
      </c>
      <c r="C110" s="73"/>
      <c r="D110" s="67">
        <v>5336.0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</row>
    <row r="111" ht="12.75" customHeight="1">
      <c r="A111" s="73" t="s">
        <v>14</v>
      </c>
      <c r="B111" s="73" t="s">
        <v>16</v>
      </c>
      <c r="C111" s="73"/>
      <c r="D111" s="67">
        <v>4968.0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</row>
    <row r="112" ht="12.75" customHeight="1">
      <c r="A112" s="73" t="s">
        <v>14</v>
      </c>
      <c r="B112" s="73" t="s">
        <v>16</v>
      </c>
      <c r="C112" s="73"/>
      <c r="D112" s="67">
        <v>4871.4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</row>
    <row r="113" ht="12.75" customHeight="1">
      <c r="A113" s="73" t="s">
        <v>14</v>
      </c>
      <c r="B113" s="73" t="s">
        <v>16</v>
      </c>
      <c r="C113" s="73"/>
      <c r="D113" s="67">
        <v>4871.4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</row>
    <row r="114" ht="12.75" customHeight="1">
      <c r="A114" s="73" t="s">
        <v>14</v>
      </c>
      <c r="B114" s="73" t="s">
        <v>16</v>
      </c>
      <c r="C114" s="73"/>
      <c r="D114" s="67">
        <v>4669.0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</row>
    <row r="115" ht="12.75" customHeight="1">
      <c r="A115" s="73" t="s">
        <v>14</v>
      </c>
      <c r="B115" s="73" t="s">
        <v>16</v>
      </c>
      <c r="C115" s="73"/>
      <c r="D115" s="67">
        <v>3721.3999999999996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</row>
    <row r="116" ht="12.75" customHeight="1">
      <c r="A116" s="73" t="s">
        <v>14</v>
      </c>
      <c r="B116" s="73" t="s">
        <v>16</v>
      </c>
      <c r="C116" s="73"/>
      <c r="D116" s="67">
        <v>3334.9999999999995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</row>
    <row r="117" ht="12.75" customHeight="1">
      <c r="A117" s="73" t="s">
        <v>14</v>
      </c>
      <c r="B117" s="73" t="s">
        <v>16</v>
      </c>
      <c r="C117" s="73"/>
      <c r="D117" s="67">
        <v>3334.9999999999995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</row>
    <row r="118" ht="12.75" customHeight="1">
      <c r="A118" s="73" t="s">
        <v>14</v>
      </c>
      <c r="B118" s="73" t="s">
        <v>16</v>
      </c>
      <c r="C118" s="73"/>
      <c r="D118" s="67">
        <v>3288.9999999999995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</row>
    <row r="119" ht="12.75" customHeight="1">
      <c r="A119" s="73" t="s">
        <v>14</v>
      </c>
      <c r="B119" s="73" t="s">
        <v>16</v>
      </c>
      <c r="C119" s="73"/>
      <c r="D119" s="67">
        <v>3219.9999999999995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</row>
    <row r="120" ht="12.75" customHeight="1">
      <c r="A120" s="73" t="s">
        <v>14</v>
      </c>
      <c r="B120" s="73" t="s">
        <v>16</v>
      </c>
      <c r="C120" s="73"/>
      <c r="D120" s="67">
        <v>3003.7999999999997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</row>
    <row r="121" ht="12.75" customHeight="1">
      <c r="A121" s="73" t="s">
        <v>14</v>
      </c>
      <c r="B121" s="73" t="s">
        <v>16</v>
      </c>
      <c r="C121" s="73"/>
      <c r="D121" s="67">
        <v>3003.7999999999997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</row>
    <row r="122" ht="12.75" customHeight="1">
      <c r="A122" s="73" t="s">
        <v>14</v>
      </c>
      <c r="B122" s="73" t="s">
        <v>16</v>
      </c>
      <c r="C122" s="73"/>
      <c r="D122" s="67">
        <v>2534.6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</row>
    <row r="123" ht="12.75" customHeight="1">
      <c r="A123" s="73" t="s">
        <v>14</v>
      </c>
      <c r="B123" s="73" t="s">
        <v>16</v>
      </c>
      <c r="C123" s="73"/>
      <c r="D123" s="67">
        <v>2502.3999999999996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</row>
    <row r="124" ht="12.75" customHeight="1">
      <c r="A124" s="73" t="s">
        <v>14</v>
      </c>
      <c r="B124" s="73" t="s">
        <v>16</v>
      </c>
      <c r="C124" s="73"/>
      <c r="D124" s="67">
        <v>2000.9999999999998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</row>
    <row r="125" ht="12.75" customHeight="1">
      <c r="A125" s="73" t="s">
        <v>14</v>
      </c>
      <c r="B125" s="73" t="s">
        <v>16</v>
      </c>
      <c r="C125" s="73"/>
      <c r="D125" s="67">
        <v>2000.9999999999998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</row>
    <row r="126" ht="12.75" customHeight="1">
      <c r="A126" s="73" t="s">
        <v>14</v>
      </c>
      <c r="B126" s="73" t="s">
        <v>16</v>
      </c>
      <c r="C126" s="73"/>
      <c r="D126" s="67">
        <v>1881.3999999999999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</row>
    <row r="127" ht="12.75" customHeight="1">
      <c r="A127" s="73" t="s">
        <v>14</v>
      </c>
      <c r="B127" s="73" t="s">
        <v>16</v>
      </c>
      <c r="C127" s="73"/>
      <c r="D127" s="67">
        <v>1609.9999999999998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</row>
    <row r="128" ht="12.75" customHeight="1">
      <c r="A128" s="73" t="s">
        <v>14</v>
      </c>
      <c r="B128" s="73" t="s">
        <v>16</v>
      </c>
      <c r="C128" s="73"/>
      <c r="D128" s="67">
        <v>1609.9999999999998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</row>
    <row r="129" ht="12.75" customHeight="1">
      <c r="A129" s="73" t="s">
        <v>14</v>
      </c>
      <c r="B129" s="73" t="s">
        <v>16</v>
      </c>
      <c r="C129" s="73"/>
      <c r="D129" s="67">
        <v>1380.0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</row>
    <row r="130" ht="12.75" customHeight="1">
      <c r="A130" s="73" t="s">
        <v>14</v>
      </c>
      <c r="B130" s="73" t="s">
        <v>16</v>
      </c>
      <c r="C130" s="73"/>
      <c r="D130" s="67">
        <v>1334.0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</row>
    <row r="131" ht="12.75" customHeight="1">
      <c r="A131" s="73" t="s">
        <v>14</v>
      </c>
      <c r="B131" s="73" t="s">
        <v>16</v>
      </c>
      <c r="C131" s="73"/>
      <c r="D131" s="67">
        <v>1334.0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</row>
    <row r="132" ht="12.75" customHeight="1">
      <c r="A132" s="73" t="s">
        <v>14</v>
      </c>
      <c r="B132" s="73" t="s">
        <v>16</v>
      </c>
      <c r="C132" s="73"/>
      <c r="D132" s="67">
        <v>1334.0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</row>
    <row r="133" ht="12.75" customHeight="1">
      <c r="A133" s="73" t="s">
        <v>14</v>
      </c>
      <c r="B133" s="73" t="s">
        <v>16</v>
      </c>
      <c r="C133" s="73"/>
      <c r="D133" s="67">
        <v>1334.0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</row>
    <row r="134" ht="12.75" customHeight="1">
      <c r="A134" s="73" t="s">
        <v>14</v>
      </c>
      <c r="B134" s="73" t="s">
        <v>16</v>
      </c>
      <c r="C134" s="73"/>
      <c r="D134" s="67">
        <v>1334.0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</row>
    <row r="135" ht="12.75" customHeight="1">
      <c r="A135" s="73" t="s">
        <v>14</v>
      </c>
      <c r="B135" s="73" t="s">
        <v>16</v>
      </c>
      <c r="C135" s="73"/>
      <c r="D135" s="67">
        <v>1334.0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</row>
    <row r="136" ht="12.75" customHeight="1">
      <c r="A136" s="73" t="s">
        <v>14</v>
      </c>
      <c r="B136" s="73" t="s">
        <v>16</v>
      </c>
      <c r="C136" s="73"/>
      <c r="D136" s="67">
        <v>1334.0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</row>
    <row r="137" ht="12.75" customHeight="1">
      <c r="A137" s="73" t="s">
        <v>14</v>
      </c>
      <c r="B137" s="73" t="s">
        <v>16</v>
      </c>
      <c r="C137" s="73"/>
      <c r="D137" s="67">
        <v>1334.0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</row>
    <row r="138" ht="12.75" customHeight="1">
      <c r="A138" s="73" t="s">
        <v>14</v>
      </c>
      <c r="B138" s="73" t="s">
        <v>16</v>
      </c>
      <c r="C138" s="73"/>
      <c r="D138" s="67">
        <v>1334.0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</row>
    <row r="139" ht="12.75" customHeight="1">
      <c r="A139" s="73" t="s">
        <v>14</v>
      </c>
      <c r="B139" s="73" t="s">
        <v>16</v>
      </c>
      <c r="C139" s="73"/>
      <c r="D139" s="67">
        <v>1334.0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</row>
    <row r="140" ht="12.75" customHeight="1">
      <c r="A140" s="73" t="s">
        <v>14</v>
      </c>
      <c r="B140" s="73" t="s">
        <v>16</v>
      </c>
      <c r="C140" s="73"/>
      <c r="D140" s="67">
        <v>1334.0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</row>
    <row r="141" ht="12.75" customHeight="1">
      <c r="A141" s="73" t="s">
        <v>14</v>
      </c>
      <c r="B141" s="73" t="s">
        <v>16</v>
      </c>
      <c r="C141" s="73"/>
      <c r="D141" s="67">
        <v>1334.0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</row>
    <row r="142" ht="12.75" customHeight="1">
      <c r="A142" s="73" t="s">
        <v>14</v>
      </c>
      <c r="B142" s="73" t="s">
        <v>16</v>
      </c>
      <c r="C142" s="73"/>
      <c r="D142" s="67">
        <v>1334.0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</row>
    <row r="143" ht="12.75" customHeight="1">
      <c r="A143" s="73" t="s">
        <v>14</v>
      </c>
      <c r="B143" s="73" t="s">
        <v>16</v>
      </c>
      <c r="C143" s="73"/>
      <c r="D143" s="67">
        <v>1334.0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</row>
    <row r="144" ht="12.75" customHeight="1">
      <c r="A144" s="73" t="s">
        <v>14</v>
      </c>
      <c r="B144" s="73" t="s">
        <v>16</v>
      </c>
      <c r="C144" s="73"/>
      <c r="D144" s="67">
        <v>1288.0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</row>
    <row r="145" ht="12.75" customHeight="1">
      <c r="A145" s="73" t="s">
        <v>14</v>
      </c>
      <c r="B145" s="73" t="s">
        <v>16</v>
      </c>
      <c r="C145" s="73"/>
      <c r="D145" s="67">
        <v>1242.0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</row>
    <row r="146" ht="12.75" customHeight="1">
      <c r="A146" s="73" t="s">
        <v>14</v>
      </c>
      <c r="B146" s="73" t="s">
        <v>16</v>
      </c>
      <c r="C146" s="73"/>
      <c r="D146" s="67">
        <v>919.9999999999999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</row>
    <row r="147" ht="12.75" customHeight="1">
      <c r="A147" s="73" t="s">
        <v>14</v>
      </c>
      <c r="B147" s="73" t="s">
        <v>16</v>
      </c>
      <c r="C147" s="73"/>
      <c r="D147" s="67">
        <v>919.9999999999999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ht="12.75" customHeight="1">
      <c r="A148" s="73" t="s">
        <v>14</v>
      </c>
      <c r="B148" s="73" t="s">
        <v>16</v>
      </c>
      <c r="C148" s="73"/>
      <c r="D148" s="67">
        <v>703.8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</row>
    <row r="149" ht="12.75" customHeight="1">
      <c r="A149" s="73" t="s">
        <v>14</v>
      </c>
      <c r="B149" s="73" t="s">
        <v>16</v>
      </c>
      <c r="C149" s="73"/>
      <c r="D149" s="67">
        <v>703.8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</row>
    <row r="150" ht="12.75" customHeight="1">
      <c r="A150" s="73" t="s">
        <v>14</v>
      </c>
      <c r="B150" s="73" t="s">
        <v>16</v>
      </c>
      <c r="C150" s="73"/>
      <c r="D150" s="67">
        <v>667.0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</row>
    <row r="151" ht="12.75" customHeight="1">
      <c r="A151" s="73" t="s">
        <v>14</v>
      </c>
      <c r="B151" s="73" t="s">
        <v>16</v>
      </c>
      <c r="C151" s="73"/>
      <c r="D151" s="67">
        <v>667.0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ht="12.75" customHeight="1">
      <c r="A152" s="73" t="s">
        <v>14</v>
      </c>
      <c r="B152" s="73" t="s">
        <v>16</v>
      </c>
      <c r="C152" s="73"/>
      <c r="D152" s="67">
        <v>501.4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</row>
    <row r="153" ht="12.75" customHeight="1">
      <c r="A153" s="73" t="s">
        <v>14</v>
      </c>
      <c r="B153" s="73" t="s">
        <v>16</v>
      </c>
      <c r="C153" s="73"/>
      <c r="D153" s="67">
        <v>501.4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</row>
    <row r="154" ht="12.75" customHeight="1">
      <c r="A154" s="73" t="s">
        <v>14</v>
      </c>
      <c r="B154" s="73" t="s">
        <v>16</v>
      </c>
      <c r="C154" s="73"/>
      <c r="D154" s="67">
        <v>501.4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</row>
    <row r="155" ht="12.75" customHeight="1">
      <c r="A155" s="73" t="s">
        <v>14</v>
      </c>
      <c r="B155" s="73" t="s">
        <v>16</v>
      </c>
      <c r="C155" s="73"/>
      <c r="D155" s="67">
        <v>501.4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ht="12.75" customHeight="1">
      <c r="A156" s="73" t="s">
        <v>14</v>
      </c>
      <c r="B156" s="73" t="s">
        <v>16</v>
      </c>
      <c r="C156" s="73"/>
      <c r="D156" s="67">
        <v>501.4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</row>
    <row r="157" ht="12.75" customHeight="1">
      <c r="A157" s="73" t="s">
        <v>14</v>
      </c>
      <c r="B157" s="73" t="s">
        <v>16</v>
      </c>
      <c r="C157" s="73"/>
      <c r="D157" s="67">
        <v>501.4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</row>
    <row r="158" ht="12.75" customHeight="1">
      <c r="A158" s="73" t="s">
        <v>14</v>
      </c>
      <c r="B158" s="73" t="s">
        <v>16</v>
      </c>
      <c r="C158" s="73"/>
      <c r="D158" s="67">
        <v>501.4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</row>
    <row r="159" ht="12.75" customHeight="1">
      <c r="A159" s="73" t="s">
        <v>14</v>
      </c>
      <c r="B159" s="73" t="s">
        <v>16</v>
      </c>
      <c r="C159" s="73"/>
      <c r="D159" s="67">
        <v>501.4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</row>
    <row r="160" ht="12.75" customHeight="1">
      <c r="A160" s="73" t="s">
        <v>14</v>
      </c>
      <c r="B160" s="73" t="s">
        <v>16</v>
      </c>
      <c r="C160" s="73"/>
      <c r="D160" s="67">
        <v>501.4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</row>
    <row r="161" ht="12.75" customHeight="1">
      <c r="A161" s="73" t="s">
        <v>14</v>
      </c>
      <c r="B161" s="73" t="s">
        <v>16</v>
      </c>
      <c r="C161" s="73"/>
      <c r="D161" s="67">
        <v>501.4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</row>
    <row r="162" ht="12.75" customHeight="1">
      <c r="A162" s="73" t="s">
        <v>14</v>
      </c>
      <c r="B162" s="73" t="s">
        <v>16</v>
      </c>
      <c r="C162" s="73"/>
      <c r="D162" s="67">
        <v>501.4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</row>
    <row r="163" ht="12.75" customHeight="1">
      <c r="A163" s="73" t="s">
        <v>14</v>
      </c>
      <c r="B163" s="73" t="s">
        <v>16</v>
      </c>
      <c r="C163" s="73"/>
      <c r="D163" s="67">
        <v>459.99999999999994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</row>
    <row r="164" ht="12.75" customHeight="1">
      <c r="A164" s="73" t="s">
        <v>14</v>
      </c>
      <c r="B164" s="73" t="s">
        <v>16</v>
      </c>
      <c r="C164" s="73"/>
      <c r="D164" s="67">
        <v>459.99999999999994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</row>
    <row r="165" ht="12.75" customHeight="1">
      <c r="A165" s="73" t="s">
        <v>14</v>
      </c>
      <c r="B165" s="73" t="s">
        <v>16</v>
      </c>
      <c r="C165" s="73"/>
      <c r="D165" s="67">
        <v>459.99999999999994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</row>
    <row r="166" ht="12.75" customHeight="1">
      <c r="A166" s="73" t="s">
        <v>14</v>
      </c>
      <c r="B166" s="73" t="s">
        <v>16</v>
      </c>
      <c r="C166" s="73"/>
      <c r="D166" s="67">
        <v>459.99999999999994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</row>
    <row r="167" ht="12.75" customHeight="1">
      <c r="A167" s="73" t="s">
        <v>14</v>
      </c>
      <c r="B167" s="73" t="s">
        <v>16</v>
      </c>
      <c r="C167" s="73"/>
      <c r="D167" s="67">
        <v>459.99999999999994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ht="12.75" customHeight="1">
      <c r="A168" s="73" t="s">
        <v>14</v>
      </c>
      <c r="B168" s="73" t="s">
        <v>16</v>
      </c>
      <c r="C168" s="73"/>
      <c r="D168" s="67">
        <v>427.79999999999995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</row>
    <row r="169" ht="12.75" customHeight="1">
      <c r="A169" s="73" t="s">
        <v>14</v>
      </c>
      <c r="B169" s="73" t="s">
        <v>16</v>
      </c>
      <c r="C169" s="73"/>
      <c r="D169" s="67">
        <v>400.2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</row>
    <row r="170" ht="12.75" customHeight="1">
      <c r="A170" s="73" t="s">
        <v>14</v>
      </c>
      <c r="B170" s="73" t="s">
        <v>16</v>
      </c>
      <c r="C170" s="73"/>
      <c r="D170" s="67">
        <v>372.59999999999997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</row>
    <row r="171" ht="12.75" customHeight="1">
      <c r="A171" s="73" t="s">
        <v>14</v>
      </c>
      <c r="B171" s="73" t="s">
        <v>16</v>
      </c>
      <c r="C171" s="73"/>
      <c r="D171" s="67">
        <v>331.2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ht="12.75" customHeight="1">
      <c r="A172" s="73" t="s">
        <v>14</v>
      </c>
      <c r="B172" s="73" t="s">
        <v>16</v>
      </c>
      <c r="C172" s="73"/>
      <c r="D172" s="67">
        <v>317.4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</row>
    <row r="173" ht="12.75" customHeight="1">
      <c r="A173" s="73" t="s">
        <v>14</v>
      </c>
      <c r="B173" s="73" t="s">
        <v>16</v>
      </c>
      <c r="C173" s="73"/>
      <c r="D173" s="67">
        <v>289.79999999999995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</row>
    <row r="174" ht="12.75" customHeight="1">
      <c r="A174" s="73" t="s">
        <v>14</v>
      </c>
      <c r="B174" s="73" t="s">
        <v>16</v>
      </c>
      <c r="C174" s="73"/>
      <c r="D174" s="67">
        <v>271.4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</row>
    <row r="175" ht="12.75" customHeight="1">
      <c r="A175" s="73" t="s">
        <v>14</v>
      </c>
      <c r="B175" s="73" t="s">
        <v>16</v>
      </c>
      <c r="C175" s="73"/>
      <c r="D175" s="67">
        <v>252.99999999999997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ht="12.75" customHeight="1">
      <c r="A176" s="73" t="s">
        <v>14</v>
      </c>
      <c r="B176" s="73" t="s">
        <v>16</v>
      </c>
      <c r="C176" s="73"/>
      <c r="D176" s="67">
        <v>252.99999999999997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</row>
    <row r="177" ht="12.75" customHeight="1">
      <c r="A177" s="73" t="s">
        <v>14</v>
      </c>
      <c r="B177" s="73" t="s">
        <v>16</v>
      </c>
      <c r="C177" s="73"/>
      <c r="D177" s="67">
        <v>252.99999999999997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</row>
    <row r="178" ht="12.75" customHeight="1">
      <c r="A178" s="73" t="s">
        <v>14</v>
      </c>
      <c r="B178" s="73" t="s">
        <v>16</v>
      </c>
      <c r="C178" s="73"/>
      <c r="D178" s="67">
        <v>252.99999999999997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</row>
    <row r="179" ht="12.75" customHeight="1">
      <c r="A179" s="73" t="s">
        <v>14</v>
      </c>
      <c r="B179" s="73" t="s">
        <v>16</v>
      </c>
      <c r="C179" s="73"/>
      <c r="D179" s="67">
        <v>252.99999999999997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ht="12.75" customHeight="1">
      <c r="A180" s="73" t="s">
        <v>14</v>
      </c>
      <c r="B180" s="73" t="s">
        <v>16</v>
      </c>
      <c r="C180" s="73"/>
      <c r="D180" s="67">
        <v>252.99999999999997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</row>
    <row r="181" ht="12.75" customHeight="1">
      <c r="A181" s="73" t="s">
        <v>14</v>
      </c>
      <c r="B181" s="73" t="s">
        <v>16</v>
      </c>
      <c r="C181" s="73"/>
      <c r="D181" s="67">
        <v>252.99999999999997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</row>
    <row r="182" ht="12.75" customHeight="1">
      <c r="A182" s="73" t="s">
        <v>14</v>
      </c>
      <c r="B182" s="73" t="s">
        <v>16</v>
      </c>
      <c r="C182" s="73"/>
      <c r="D182" s="67">
        <v>252.99999999999997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</row>
    <row r="183" ht="12.75" customHeight="1">
      <c r="A183" s="73" t="s">
        <v>14</v>
      </c>
      <c r="B183" s="73" t="s">
        <v>16</v>
      </c>
      <c r="C183" s="73"/>
      <c r="D183" s="67">
        <v>252.99999999999997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ht="12.75" customHeight="1">
      <c r="A184" s="73" t="s">
        <v>14</v>
      </c>
      <c r="B184" s="73" t="s">
        <v>16</v>
      </c>
      <c r="C184" s="73"/>
      <c r="D184" s="67">
        <v>252.99999999999997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</row>
    <row r="185" ht="12.75" customHeight="1">
      <c r="A185" s="73" t="s">
        <v>14</v>
      </c>
      <c r="B185" s="73" t="s">
        <v>16</v>
      </c>
      <c r="C185" s="73"/>
      <c r="D185" s="67">
        <v>252.99999999999997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</row>
    <row r="186" ht="12.75" customHeight="1">
      <c r="A186" s="73" t="s">
        <v>14</v>
      </c>
      <c r="B186" s="73" t="s">
        <v>16</v>
      </c>
      <c r="C186" s="73"/>
      <c r="D186" s="67">
        <v>252.99999999999997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</row>
    <row r="187" ht="12.75" customHeight="1">
      <c r="A187" s="73" t="s">
        <v>14</v>
      </c>
      <c r="B187" s="73" t="s">
        <v>16</v>
      </c>
      <c r="C187" s="73"/>
      <c r="D187" s="67">
        <v>252.99999999999997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ht="12.75" customHeight="1">
      <c r="A188" s="73" t="s">
        <v>14</v>
      </c>
      <c r="B188" s="73" t="s">
        <v>16</v>
      </c>
      <c r="C188" s="73"/>
      <c r="D188" s="67">
        <v>193.2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</row>
    <row r="189" ht="12.75" customHeight="1">
      <c r="A189" s="73" t="s">
        <v>14</v>
      </c>
      <c r="B189" s="73" t="s">
        <v>16</v>
      </c>
      <c r="C189" s="73"/>
      <c r="D189" s="67">
        <v>188.6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</row>
    <row r="190" ht="12.75" customHeight="1">
      <c r="A190" s="73" t="s">
        <v>14</v>
      </c>
      <c r="B190" s="73" t="s">
        <v>16</v>
      </c>
      <c r="C190" s="73"/>
      <c r="D190" s="67">
        <v>161.0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</row>
    <row r="191" ht="12.75" customHeight="1">
      <c r="A191" s="73" t="s">
        <v>14</v>
      </c>
      <c r="B191" s="73" t="s">
        <v>16</v>
      </c>
      <c r="C191" s="73"/>
      <c r="D191" s="67">
        <v>156.39999999999998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ht="12.75" customHeight="1">
      <c r="A192" s="73" t="s">
        <v>14</v>
      </c>
      <c r="B192" s="73" t="s">
        <v>16</v>
      </c>
      <c r="C192" s="73"/>
      <c r="D192" s="67">
        <v>156.39999999999998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</row>
    <row r="193" ht="12.75" customHeight="1">
      <c r="A193" s="73" t="s">
        <v>14</v>
      </c>
      <c r="B193" s="73" t="s">
        <v>16</v>
      </c>
      <c r="C193" s="73"/>
      <c r="D193" s="67">
        <v>156.39999999999998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</row>
    <row r="194" ht="12.75" customHeight="1">
      <c r="A194" s="73" t="s">
        <v>14</v>
      </c>
      <c r="B194" s="73" t="s">
        <v>16</v>
      </c>
      <c r="C194" s="73"/>
      <c r="D194" s="67">
        <v>156.39999999999998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</row>
    <row r="195" ht="12.75" customHeight="1">
      <c r="A195" s="73" t="s">
        <v>14</v>
      </c>
      <c r="B195" s="73" t="s">
        <v>16</v>
      </c>
      <c r="C195" s="73"/>
      <c r="D195" s="67">
        <v>156.39999999999998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ht="12.75" customHeight="1">
      <c r="A196" s="73" t="s">
        <v>14</v>
      </c>
      <c r="B196" s="73" t="s">
        <v>16</v>
      </c>
      <c r="C196" s="73"/>
      <c r="D196" s="67">
        <v>96.6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</row>
    <row r="197" ht="12.75" customHeight="1">
      <c r="A197" s="73" t="s">
        <v>14</v>
      </c>
      <c r="B197" s="73" t="s">
        <v>16</v>
      </c>
      <c r="C197" s="73"/>
      <c r="D197" s="67">
        <v>23.0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</row>
    <row r="198" ht="12.75" customHeight="1">
      <c r="A198" s="73" t="s">
        <v>14</v>
      </c>
      <c r="B198" s="73" t="s">
        <v>16</v>
      </c>
      <c r="C198" s="73"/>
      <c r="D198" s="67">
        <v>4.6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</row>
    <row r="199" ht="12.75" customHeight="1">
      <c r="A199" s="73" t="s">
        <v>14</v>
      </c>
      <c r="B199" s="73" t="s">
        <v>16</v>
      </c>
      <c r="C199" s="73"/>
      <c r="D199" s="67">
        <v>4.6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ht="12.75" customHeight="1">
      <c r="A200" s="73" t="s">
        <v>14</v>
      </c>
      <c r="B200" s="73" t="s">
        <v>16</v>
      </c>
      <c r="C200" s="73"/>
      <c r="D200" s="67">
        <v>4.6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</row>
    <row r="201" ht="12.75" customHeight="1">
      <c r="A201" s="73" t="s">
        <v>14</v>
      </c>
      <c r="B201" s="73" t="s">
        <v>16</v>
      </c>
      <c r="C201" s="73"/>
      <c r="D201" s="67">
        <v>0.0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</row>
    <row r="202" ht="12.75" customHeight="1">
      <c r="A202" s="73" t="s">
        <v>14</v>
      </c>
      <c r="B202" s="73" t="s">
        <v>16</v>
      </c>
      <c r="C202" s="73"/>
      <c r="D202" s="67">
        <v>0.0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</row>
    <row r="203" ht="12.75" customHeight="1">
      <c r="A203" s="73" t="s">
        <v>14</v>
      </c>
      <c r="B203" s="73" t="s">
        <v>16</v>
      </c>
      <c r="C203" s="73"/>
      <c r="D203" s="67">
        <v>14949.999999999998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ht="12.75" customHeight="1">
      <c r="A204" s="73" t="s">
        <v>14</v>
      </c>
      <c r="B204" s="73" t="s">
        <v>16</v>
      </c>
      <c r="C204" s="73"/>
      <c r="D204" s="67">
        <v>11500.0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</row>
    <row r="205" ht="12.75" customHeight="1">
      <c r="A205" s="73" t="s">
        <v>14</v>
      </c>
      <c r="B205" s="73" t="s">
        <v>16</v>
      </c>
      <c r="C205" s="73"/>
      <c r="D205" s="67">
        <v>11500.0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</row>
    <row r="206" ht="12.75" customHeight="1">
      <c r="A206" s="73" t="s">
        <v>14</v>
      </c>
      <c r="B206" s="73" t="s">
        <v>16</v>
      </c>
      <c r="C206" s="73"/>
      <c r="D206" s="67">
        <v>11500.0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</row>
    <row r="207" ht="12.75" customHeight="1">
      <c r="A207" s="73" t="s">
        <v>14</v>
      </c>
      <c r="B207" s="73" t="s">
        <v>16</v>
      </c>
      <c r="C207" s="73"/>
      <c r="D207" s="67">
        <v>11500.0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ht="12.75" customHeight="1">
      <c r="A208" s="73" t="s">
        <v>14</v>
      </c>
      <c r="B208" s="73" t="s">
        <v>16</v>
      </c>
      <c r="C208" s="73"/>
      <c r="D208" s="67">
        <v>11500.0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</row>
    <row r="209" ht="12.75" customHeight="1">
      <c r="A209" s="73" t="s">
        <v>14</v>
      </c>
      <c r="B209" s="73" t="s">
        <v>16</v>
      </c>
      <c r="C209" s="73"/>
      <c r="D209" s="67">
        <v>11500.0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</row>
    <row r="210" ht="12.75" customHeight="1">
      <c r="A210" s="73" t="s">
        <v>14</v>
      </c>
      <c r="B210" s="73" t="s">
        <v>16</v>
      </c>
      <c r="C210" s="73"/>
      <c r="D210" s="67">
        <v>11500.0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</row>
    <row r="211" ht="12.75" customHeight="1">
      <c r="A211" s="73" t="s">
        <v>14</v>
      </c>
      <c r="B211" s="73" t="s">
        <v>16</v>
      </c>
      <c r="C211" s="73"/>
      <c r="D211" s="67">
        <v>0.0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ht="12.75" customHeight="1">
      <c r="A212" s="73" t="s">
        <v>14</v>
      </c>
      <c r="B212" s="73" t="s">
        <v>16</v>
      </c>
      <c r="C212" s="73"/>
      <c r="D212" s="67">
        <v>542556.2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</row>
    <row r="213" ht="12.75" customHeight="1">
      <c r="A213" s="73" t="s">
        <v>14</v>
      </c>
      <c r="B213" s="73" t="s">
        <v>16</v>
      </c>
      <c r="C213" s="73"/>
      <c r="D213" s="67">
        <v>296759.8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</row>
    <row r="214" ht="12.75" customHeight="1">
      <c r="A214" s="73" t="s">
        <v>14</v>
      </c>
      <c r="B214" s="73" t="s">
        <v>16</v>
      </c>
      <c r="C214" s="73"/>
      <c r="D214" s="67">
        <v>212837.4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</row>
    <row r="215" ht="12.75" customHeight="1">
      <c r="A215" s="73" t="s">
        <v>14</v>
      </c>
      <c r="B215" s="73" t="s">
        <v>16</v>
      </c>
      <c r="C215" s="73"/>
      <c r="D215" s="67">
        <v>135309.0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ht="12.75" customHeight="1">
      <c r="A216" s="73" t="s">
        <v>14</v>
      </c>
      <c r="B216" s="73" t="s">
        <v>16</v>
      </c>
      <c r="C216" s="73"/>
      <c r="D216" s="67">
        <v>127778.79999999999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</row>
    <row r="217" ht="12.75" customHeight="1">
      <c r="A217" s="73" t="s">
        <v>14</v>
      </c>
      <c r="B217" s="73" t="s">
        <v>16</v>
      </c>
      <c r="C217" s="73"/>
      <c r="D217" s="67">
        <v>103610.4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</row>
    <row r="218" ht="12.75" customHeight="1">
      <c r="A218" s="73" t="s">
        <v>14</v>
      </c>
      <c r="B218" s="73" t="s">
        <v>16</v>
      </c>
      <c r="C218" s="73"/>
      <c r="D218" s="67">
        <v>77970.0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</row>
    <row r="219" ht="12.75" customHeight="1">
      <c r="A219" s="73" t="s">
        <v>14</v>
      </c>
      <c r="B219" s="73" t="s">
        <v>16</v>
      </c>
      <c r="C219" s="73"/>
      <c r="D219" s="67">
        <v>68461.79999999999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ht="12.75" customHeight="1">
      <c r="A220" s="73" t="s">
        <v>14</v>
      </c>
      <c r="B220" s="73" t="s">
        <v>16</v>
      </c>
      <c r="C220" s="73"/>
      <c r="D220" s="67">
        <v>65384.399999999994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</row>
    <row r="221" ht="12.75" customHeight="1">
      <c r="A221" s="73" t="s">
        <v>14</v>
      </c>
      <c r="B221" s="73" t="s">
        <v>16</v>
      </c>
      <c r="C221" s="73"/>
      <c r="D221" s="67">
        <v>59339.99999999999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</row>
    <row r="222" ht="12.75" customHeight="1">
      <c r="A222" s="73" t="s">
        <v>14</v>
      </c>
      <c r="B222" s="73" t="s">
        <v>16</v>
      </c>
      <c r="C222" s="73"/>
      <c r="D222" s="67">
        <v>54739.99999999999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</row>
    <row r="223" ht="12.75" customHeight="1">
      <c r="A223" s="73" t="s">
        <v>14</v>
      </c>
      <c r="B223" s="73" t="s">
        <v>16</v>
      </c>
      <c r="C223" s="73"/>
      <c r="D223" s="67">
        <v>46920.0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ht="12.75" customHeight="1">
      <c r="A224" s="73" t="s">
        <v>14</v>
      </c>
      <c r="B224" s="73" t="s">
        <v>16</v>
      </c>
      <c r="C224" s="73"/>
      <c r="D224" s="67">
        <v>43470.0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</row>
    <row r="225" ht="12.75" customHeight="1">
      <c r="A225" s="73" t="s">
        <v>14</v>
      </c>
      <c r="B225" s="73" t="s">
        <v>16</v>
      </c>
      <c r="C225" s="73"/>
      <c r="D225" s="67">
        <v>42632.799999999996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</row>
    <row r="226" ht="12.75" customHeight="1">
      <c r="A226" s="73" t="s">
        <v>14</v>
      </c>
      <c r="B226" s="73" t="s">
        <v>16</v>
      </c>
      <c r="C226" s="73"/>
      <c r="D226" s="67">
        <v>35650.0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</row>
    <row r="227" ht="12.75" customHeight="1">
      <c r="A227" s="73" t="s">
        <v>14</v>
      </c>
      <c r="B227" s="73" t="s">
        <v>16</v>
      </c>
      <c r="C227" s="73"/>
      <c r="D227" s="67">
        <v>33120.0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ht="12.75" customHeight="1">
      <c r="A228" s="73" t="s">
        <v>14</v>
      </c>
      <c r="B228" s="73" t="s">
        <v>16</v>
      </c>
      <c r="C228" s="73"/>
      <c r="D228" s="67">
        <v>28174.999999999996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</row>
    <row r="229" ht="12.75" customHeight="1">
      <c r="A229" s="73" t="s">
        <v>14</v>
      </c>
      <c r="B229" s="73" t="s">
        <v>16</v>
      </c>
      <c r="C229" s="73"/>
      <c r="D229" s="67">
        <v>26449.999999999996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</row>
    <row r="230" ht="12.75" customHeight="1">
      <c r="A230" s="73" t="s">
        <v>14</v>
      </c>
      <c r="B230" s="73" t="s">
        <v>16</v>
      </c>
      <c r="C230" s="73"/>
      <c r="D230" s="67">
        <v>23000.0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</row>
    <row r="231" ht="12.75" customHeight="1">
      <c r="A231" s="73" t="s">
        <v>14</v>
      </c>
      <c r="B231" s="73" t="s">
        <v>16</v>
      </c>
      <c r="C231" s="73"/>
      <c r="D231" s="67">
        <v>22291.6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ht="12.75" customHeight="1">
      <c r="A232" s="73" t="s">
        <v>14</v>
      </c>
      <c r="B232" s="73" t="s">
        <v>16</v>
      </c>
      <c r="C232" s="73"/>
      <c r="D232" s="67">
        <v>12019.8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</row>
    <row r="233" ht="12.75" customHeight="1">
      <c r="A233" s="73" t="s">
        <v>14</v>
      </c>
      <c r="B233" s="73" t="s">
        <v>16</v>
      </c>
      <c r="C233" s="73"/>
      <c r="D233" s="67">
        <v>7589.999999999999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</row>
    <row r="234" ht="12.75" customHeight="1">
      <c r="A234" s="73" t="s">
        <v>14</v>
      </c>
      <c r="B234" s="73" t="s">
        <v>16</v>
      </c>
      <c r="C234" s="73"/>
      <c r="D234" s="67">
        <v>7502.599999999999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</row>
    <row r="235" ht="12.75" customHeight="1">
      <c r="A235" s="73" t="s">
        <v>14</v>
      </c>
      <c r="B235" s="73" t="s">
        <v>16</v>
      </c>
      <c r="C235" s="73"/>
      <c r="D235" s="67">
        <v>7244.999999999999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ht="12.75" customHeight="1">
      <c r="A236" s="73" t="s">
        <v>14</v>
      </c>
      <c r="B236" s="73" t="s">
        <v>16</v>
      </c>
      <c r="C236" s="73"/>
      <c r="D236" s="67">
        <v>6324.999999999999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</row>
    <row r="237" ht="12.75" customHeight="1">
      <c r="A237" s="73" t="s">
        <v>14</v>
      </c>
      <c r="B237" s="73" t="s">
        <v>16</v>
      </c>
      <c r="C237" s="73"/>
      <c r="D237" s="67">
        <v>5979.999999999999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</row>
    <row r="238" ht="12.75" customHeight="1">
      <c r="A238" s="73" t="s">
        <v>14</v>
      </c>
      <c r="B238" s="73" t="s">
        <v>16</v>
      </c>
      <c r="C238" s="73"/>
      <c r="D238" s="67">
        <v>3449.9999999999995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</row>
    <row r="239" ht="12.75" customHeight="1">
      <c r="A239" s="73" t="s">
        <v>14</v>
      </c>
      <c r="B239" s="73" t="s">
        <v>16</v>
      </c>
      <c r="C239" s="73"/>
      <c r="D239" s="67">
        <v>1761.8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ht="12.75" customHeight="1">
      <c r="A240" s="73" t="s">
        <v>14</v>
      </c>
      <c r="B240" s="73" t="s">
        <v>16</v>
      </c>
      <c r="C240" s="73"/>
      <c r="D240" s="67">
        <v>919.9999999999999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</row>
    <row r="241" ht="12.75" customHeight="1">
      <c r="A241" s="73" t="s">
        <v>14</v>
      </c>
      <c r="B241" s="73" t="s">
        <v>16</v>
      </c>
      <c r="C241" s="73"/>
      <c r="D241" s="67">
        <v>0.0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</row>
    <row r="242" ht="12.75" customHeight="1">
      <c r="A242" s="73" t="s">
        <v>14</v>
      </c>
      <c r="B242" s="73" t="s">
        <v>16</v>
      </c>
      <c r="C242" s="73"/>
      <c r="D242" s="67">
        <v>-131150.59999999998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</row>
    <row r="243" ht="12.75" customHeight="1">
      <c r="A243" s="73" t="s">
        <v>14</v>
      </c>
      <c r="B243" s="73" t="s">
        <v>16</v>
      </c>
      <c r="C243" s="73"/>
      <c r="D243" s="67">
        <v>367383.6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ht="12.75" customHeight="1">
      <c r="A244" s="73" t="s">
        <v>14</v>
      </c>
      <c r="B244" s="73" t="s">
        <v>16</v>
      </c>
      <c r="C244" s="73"/>
      <c r="D244" s="67">
        <v>275829.8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</row>
    <row r="245" ht="12.75" customHeight="1">
      <c r="A245" s="73" t="s">
        <v>14</v>
      </c>
      <c r="B245" s="73" t="s">
        <v>16</v>
      </c>
      <c r="C245" s="73"/>
      <c r="D245" s="67">
        <v>204612.59999999998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</row>
    <row r="246" ht="12.75" customHeight="1">
      <c r="A246" s="73" t="s">
        <v>14</v>
      </c>
      <c r="B246" s="73" t="s">
        <v>16</v>
      </c>
      <c r="C246" s="73"/>
      <c r="D246" s="67">
        <v>180329.19999999998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</row>
    <row r="247" ht="12.75" customHeight="1">
      <c r="A247" s="73" t="s">
        <v>14</v>
      </c>
      <c r="B247" s="73" t="s">
        <v>16</v>
      </c>
      <c r="C247" s="73"/>
      <c r="D247" s="67">
        <v>138119.59999999998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ht="12.75" customHeight="1">
      <c r="A248" s="73" t="s">
        <v>14</v>
      </c>
      <c r="B248" s="73" t="s">
        <v>16</v>
      </c>
      <c r="C248" s="73"/>
      <c r="D248" s="67">
        <v>134522.4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</row>
    <row r="249" ht="12.75" customHeight="1">
      <c r="A249" s="73" t="s">
        <v>14</v>
      </c>
      <c r="B249" s="73" t="s">
        <v>16</v>
      </c>
      <c r="C249" s="73"/>
      <c r="D249" s="67">
        <v>90877.59999999999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</row>
    <row r="250" ht="12.75" customHeight="1">
      <c r="A250" s="73" t="s">
        <v>14</v>
      </c>
      <c r="B250" s="73" t="s">
        <v>16</v>
      </c>
      <c r="C250" s="73"/>
      <c r="D250" s="67">
        <v>84331.79999999999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</row>
    <row r="251" ht="12.75" customHeight="1">
      <c r="A251" s="73" t="s">
        <v>14</v>
      </c>
      <c r="B251" s="73" t="s">
        <v>16</v>
      </c>
      <c r="C251" s="73"/>
      <c r="D251" s="67">
        <v>79400.59999999999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ht="12.75" customHeight="1">
      <c r="A252" s="73" t="s">
        <v>14</v>
      </c>
      <c r="B252" s="73" t="s">
        <v>16</v>
      </c>
      <c r="C252" s="73"/>
      <c r="D252" s="67">
        <v>69404.79999999999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</row>
    <row r="253" ht="12.75" customHeight="1">
      <c r="A253" s="73" t="s">
        <v>14</v>
      </c>
      <c r="B253" s="73" t="s">
        <v>16</v>
      </c>
      <c r="C253" s="73"/>
      <c r="D253" s="67">
        <v>63714.6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</row>
    <row r="254" ht="12.75" customHeight="1">
      <c r="A254" s="73" t="s">
        <v>14</v>
      </c>
      <c r="B254" s="73" t="s">
        <v>16</v>
      </c>
      <c r="C254" s="73"/>
      <c r="D254" s="67">
        <v>52297.399999999994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</row>
    <row r="255" ht="12.75" customHeight="1">
      <c r="A255" s="73" t="s">
        <v>14</v>
      </c>
      <c r="B255" s="73" t="s">
        <v>16</v>
      </c>
      <c r="C255" s="73"/>
      <c r="D255" s="67">
        <v>51036.99999999999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ht="12.75" customHeight="1">
      <c r="A256" s="73" t="s">
        <v>14</v>
      </c>
      <c r="B256" s="73" t="s">
        <v>16</v>
      </c>
      <c r="C256" s="73"/>
      <c r="D256" s="67">
        <v>48782.99999999999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</row>
    <row r="257" ht="12.75" customHeight="1">
      <c r="A257" s="73" t="s">
        <v>14</v>
      </c>
      <c r="B257" s="73" t="s">
        <v>16</v>
      </c>
      <c r="C257" s="73"/>
      <c r="D257" s="67">
        <v>46133.399999999994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</row>
    <row r="258" ht="12.75" customHeight="1">
      <c r="A258" s="73" t="s">
        <v>14</v>
      </c>
      <c r="B258" s="73" t="s">
        <v>16</v>
      </c>
      <c r="C258" s="73"/>
      <c r="D258" s="67">
        <v>39877.399999999994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</row>
    <row r="259" ht="12.75" customHeight="1">
      <c r="A259" s="73" t="s">
        <v>14</v>
      </c>
      <c r="B259" s="73" t="s">
        <v>16</v>
      </c>
      <c r="C259" s="73"/>
      <c r="D259" s="67">
        <v>37632.6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ht="12.75" customHeight="1">
      <c r="A260" s="73" t="s">
        <v>14</v>
      </c>
      <c r="B260" s="73" t="s">
        <v>16</v>
      </c>
      <c r="C260" s="73"/>
      <c r="D260" s="67">
        <v>36455.0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</row>
    <row r="261" ht="12.75" customHeight="1">
      <c r="A261" s="73" t="s">
        <v>14</v>
      </c>
      <c r="B261" s="73" t="s">
        <v>16</v>
      </c>
      <c r="C261" s="73"/>
      <c r="D261" s="67">
        <v>36050.2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</row>
    <row r="262" ht="12.75" customHeight="1">
      <c r="A262" s="73" t="s">
        <v>14</v>
      </c>
      <c r="B262" s="73" t="s">
        <v>16</v>
      </c>
      <c r="C262" s="73"/>
      <c r="D262" s="67">
        <v>35530.399999999994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</row>
    <row r="263" ht="12.75" customHeight="1">
      <c r="A263" s="73" t="s">
        <v>14</v>
      </c>
      <c r="B263" s="73" t="s">
        <v>16</v>
      </c>
      <c r="C263" s="73"/>
      <c r="D263" s="67">
        <v>34486.2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ht="12.75" customHeight="1">
      <c r="A264" s="73" t="s">
        <v>14</v>
      </c>
      <c r="B264" s="73" t="s">
        <v>16</v>
      </c>
      <c r="C264" s="73"/>
      <c r="D264" s="67">
        <v>32383.999999999996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</row>
    <row r="265" ht="12.75" customHeight="1">
      <c r="A265" s="73" t="s">
        <v>14</v>
      </c>
      <c r="B265" s="73" t="s">
        <v>16</v>
      </c>
      <c r="C265" s="73"/>
      <c r="D265" s="67">
        <v>30990.199999999997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</row>
    <row r="266" ht="12.75" customHeight="1">
      <c r="A266" s="73" t="s">
        <v>14</v>
      </c>
      <c r="B266" s="73" t="s">
        <v>16</v>
      </c>
      <c r="C266" s="73"/>
      <c r="D266" s="67">
        <v>30028.8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</row>
    <row r="267" ht="12.75" customHeight="1">
      <c r="A267" s="73" t="s">
        <v>14</v>
      </c>
      <c r="B267" s="73" t="s">
        <v>16</v>
      </c>
      <c r="C267" s="73"/>
      <c r="D267" s="67">
        <v>25129.8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ht="12.75" customHeight="1">
      <c r="A268" s="73" t="s">
        <v>14</v>
      </c>
      <c r="B268" s="73" t="s">
        <v>16</v>
      </c>
      <c r="C268" s="73"/>
      <c r="D268" s="67">
        <v>25102.199999999997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</row>
    <row r="269" ht="12.75" customHeight="1">
      <c r="A269" s="73" t="s">
        <v>14</v>
      </c>
      <c r="B269" s="73" t="s">
        <v>16</v>
      </c>
      <c r="C269" s="73"/>
      <c r="D269" s="67">
        <v>20585.0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</row>
    <row r="270" ht="12.75" customHeight="1">
      <c r="A270" s="73" t="s">
        <v>14</v>
      </c>
      <c r="B270" s="73" t="s">
        <v>16</v>
      </c>
      <c r="C270" s="73"/>
      <c r="D270" s="67">
        <v>20442.399999999998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</row>
    <row r="271" ht="12.75" customHeight="1">
      <c r="A271" s="73" t="s">
        <v>14</v>
      </c>
      <c r="B271" s="73" t="s">
        <v>16</v>
      </c>
      <c r="C271" s="73"/>
      <c r="D271" s="67">
        <v>17972.199999999997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ht="12.75" customHeight="1">
      <c r="A272" s="73" t="s">
        <v>14</v>
      </c>
      <c r="B272" s="73" t="s">
        <v>16</v>
      </c>
      <c r="C272" s="73"/>
      <c r="D272" s="67">
        <v>17608.8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</row>
    <row r="273" ht="12.75" customHeight="1">
      <c r="A273" s="73" t="s">
        <v>14</v>
      </c>
      <c r="B273" s="73" t="s">
        <v>16</v>
      </c>
      <c r="C273" s="73"/>
      <c r="D273" s="67">
        <v>17595.0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</row>
    <row r="274" ht="12.75" customHeight="1">
      <c r="A274" s="73" t="s">
        <v>14</v>
      </c>
      <c r="B274" s="73" t="s">
        <v>16</v>
      </c>
      <c r="C274" s="73"/>
      <c r="D274" s="67">
        <v>16040.199999999999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</row>
    <row r="275" ht="12.75" customHeight="1">
      <c r="A275" s="73" t="s">
        <v>14</v>
      </c>
      <c r="B275" s="73" t="s">
        <v>16</v>
      </c>
      <c r="C275" s="73"/>
      <c r="D275" s="67">
        <v>14259.999999999998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ht="12.75" customHeight="1">
      <c r="A276" s="73" t="s">
        <v>14</v>
      </c>
      <c r="B276" s="73" t="s">
        <v>16</v>
      </c>
      <c r="C276" s="73"/>
      <c r="D276" s="67">
        <v>13878.199999999999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</row>
    <row r="277" ht="12.75" customHeight="1">
      <c r="A277" s="73" t="s">
        <v>14</v>
      </c>
      <c r="B277" s="73" t="s">
        <v>16</v>
      </c>
      <c r="C277" s="73"/>
      <c r="D277" s="67">
        <v>13818.4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</row>
    <row r="278" ht="12.75" customHeight="1">
      <c r="A278" s="73" t="s">
        <v>14</v>
      </c>
      <c r="B278" s="73" t="s">
        <v>16</v>
      </c>
      <c r="C278" s="73"/>
      <c r="D278" s="67">
        <v>13482.599999999999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</row>
    <row r="279" ht="12.75" customHeight="1">
      <c r="A279" s="73" t="s">
        <v>14</v>
      </c>
      <c r="B279" s="73" t="s">
        <v>16</v>
      </c>
      <c r="C279" s="73"/>
      <c r="D279" s="67">
        <v>12383.199999999999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ht="12.75" customHeight="1">
      <c r="A280" s="73" t="s">
        <v>14</v>
      </c>
      <c r="B280" s="73" t="s">
        <v>16</v>
      </c>
      <c r="C280" s="73"/>
      <c r="D280" s="67">
        <v>12148.599999999999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</row>
    <row r="281" ht="12.75" customHeight="1">
      <c r="A281" s="73" t="s">
        <v>14</v>
      </c>
      <c r="B281" s="73" t="s">
        <v>16</v>
      </c>
      <c r="C281" s="73"/>
      <c r="D281" s="67">
        <v>11242.4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</row>
    <row r="282" ht="12.75" customHeight="1">
      <c r="A282" s="73" t="s">
        <v>14</v>
      </c>
      <c r="B282" s="73" t="s">
        <v>16</v>
      </c>
      <c r="C282" s="73"/>
      <c r="D282" s="67">
        <v>10414.4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</row>
    <row r="283" ht="12.75" customHeight="1">
      <c r="A283" s="73" t="s">
        <v>14</v>
      </c>
      <c r="B283" s="73" t="s">
        <v>16</v>
      </c>
      <c r="C283" s="73"/>
      <c r="D283" s="67">
        <v>8215.599999999999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ht="12.75" customHeight="1">
      <c r="A284" s="73" t="s">
        <v>14</v>
      </c>
      <c r="B284" s="73" t="s">
        <v>16</v>
      </c>
      <c r="C284" s="73"/>
      <c r="D284" s="67">
        <v>8211.0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</row>
    <row r="285" ht="12.75" customHeight="1">
      <c r="A285" s="73" t="s">
        <v>14</v>
      </c>
      <c r="B285" s="73" t="s">
        <v>16</v>
      </c>
      <c r="C285" s="73"/>
      <c r="D285" s="67">
        <v>7143.799999999999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</row>
    <row r="286" ht="12.75" customHeight="1">
      <c r="A286" s="73" t="s">
        <v>14</v>
      </c>
      <c r="B286" s="73" t="s">
        <v>16</v>
      </c>
      <c r="C286" s="73"/>
      <c r="D286" s="67">
        <v>6048.999999999999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</row>
    <row r="287" ht="12.75" customHeight="1">
      <c r="A287" s="73" t="s">
        <v>14</v>
      </c>
      <c r="B287" s="73" t="s">
        <v>16</v>
      </c>
      <c r="C287" s="73"/>
      <c r="D287" s="67">
        <v>5855.799999999999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ht="12.75" customHeight="1">
      <c r="A288" s="73" t="s">
        <v>14</v>
      </c>
      <c r="B288" s="73" t="s">
        <v>16</v>
      </c>
      <c r="C288" s="73"/>
      <c r="D288" s="67">
        <v>5805.2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</row>
    <row r="289" ht="12.75" customHeight="1">
      <c r="A289" s="73" t="s">
        <v>14</v>
      </c>
      <c r="B289" s="73" t="s">
        <v>16</v>
      </c>
      <c r="C289" s="73"/>
      <c r="D289" s="67">
        <v>5685.599999999999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</row>
    <row r="290" ht="12.75" customHeight="1">
      <c r="A290" s="73" t="s">
        <v>14</v>
      </c>
      <c r="B290" s="73" t="s">
        <v>16</v>
      </c>
      <c r="C290" s="73"/>
      <c r="D290" s="67">
        <v>4889.799999999999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</row>
    <row r="291" ht="12.75" customHeight="1">
      <c r="A291" s="73" t="s">
        <v>14</v>
      </c>
      <c r="B291" s="73" t="s">
        <v>16</v>
      </c>
      <c r="C291" s="73"/>
      <c r="D291" s="67">
        <v>4517.2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ht="12.75" customHeight="1">
      <c r="A292" s="73" t="s">
        <v>14</v>
      </c>
      <c r="B292" s="73" t="s">
        <v>16</v>
      </c>
      <c r="C292" s="73"/>
      <c r="D292" s="67">
        <v>4397.599999999999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</row>
    <row r="293" ht="12.75" customHeight="1">
      <c r="A293" s="73" t="s">
        <v>14</v>
      </c>
      <c r="B293" s="73" t="s">
        <v>16</v>
      </c>
      <c r="C293" s="73"/>
      <c r="D293" s="67">
        <v>3813.3999999999996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</row>
    <row r="294" ht="12.75" customHeight="1">
      <c r="A294" s="73" t="s">
        <v>14</v>
      </c>
      <c r="B294" s="73" t="s">
        <v>16</v>
      </c>
      <c r="C294" s="73"/>
      <c r="D294" s="67">
        <v>3311.9999999999995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</row>
    <row r="295" ht="12.75" customHeight="1">
      <c r="A295" s="73" t="s">
        <v>14</v>
      </c>
      <c r="B295" s="73" t="s">
        <v>16</v>
      </c>
      <c r="C295" s="73"/>
      <c r="D295" s="67">
        <v>2916.3999999999996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ht="12.75" customHeight="1">
      <c r="A296" s="73" t="s">
        <v>14</v>
      </c>
      <c r="B296" s="73" t="s">
        <v>16</v>
      </c>
      <c r="C296" s="73"/>
      <c r="D296" s="67">
        <v>2884.2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</row>
    <row r="297" ht="12.75" customHeight="1">
      <c r="A297" s="73" t="s">
        <v>14</v>
      </c>
      <c r="B297" s="73" t="s">
        <v>16</v>
      </c>
      <c r="C297" s="73"/>
      <c r="D297" s="67">
        <v>2852.0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</row>
    <row r="298" ht="12.75" customHeight="1">
      <c r="A298" s="73" t="s">
        <v>14</v>
      </c>
      <c r="B298" s="73" t="s">
        <v>16</v>
      </c>
      <c r="C298" s="73"/>
      <c r="D298" s="67">
        <v>2451.7999999999997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</row>
    <row r="299" ht="12.75" customHeight="1">
      <c r="A299" s="73" t="s">
        <v>14</v>
      </c>
      <c r="B299" s="73" t="s">
        <v>16</v>
      </c>
      <c r="C299" s="73"/>
      <c r="D299" s="67">
        <v>2428.7999999999997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ht="12.75" customHeight="1">
      <c r="A300" s="73" t="s">
        <v>14</v>
      </c>
      <c r="B300" s="73" t="s">
        <v>16</v>
      </c>
      <c r="C300" s="73"/>
      <c r="D300" s="67">
        <v>2419.6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</row>
    <row r="301" ht="12.75" customHeight="1">
      <c r="A301" s="73" t="s">
        <v>14</v>
      </c>
      <c r="B301" s="73" t="s">
        <v>16</v>
      </c>
      <c r="C301" s="73"/>
      <c r="D301" s="67">
        <v>2300.0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</row>
    <row r="302" ht="12.75" customHeight="1">
      <c r="A302" s="73" t="s">
        <v>14</v>
      </c>
      <c r="B302" s="73" t="s">
        <v>16</v>
      </c>
      <c r="C302" s="73"/>
      <c r="D302" s="67">
        <v>2277.0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</row>
    <row r="303" ht="12.75" customHeight="1">
      <c r="A303" s="73" t="s">
        <v>14</v>
      </c>
      <c r="B303" s="73" t="s">
        <v>16</v>
      </c>
      <c r="C303" s="73"/>
      <c r="D303" s="67">
        <v>1996.3999999999999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ht="12.75" customHeight="1">
      <c r="A304" s="73" t="s">
        <v>14</v>
      </c>
      <c r="B304" s="73" t="s">
        <v>16</v>
      </c>
      <c r="C304" s="73"/>
      <c r="D304" s="67">
        <v>1747.9999999999998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</row>
    <row r="305" ht="12.75" customHeight="1">
      <c r="A305" s="73" t="s">
        <v>14</v>
      </c>
      <c r="B305" s="73" t="s">
        <v>16</v>
      </c>
      <c r="C305" s="73"/>
      <c r="D305" s="67">
        <v>1692.8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</row>
    <row r="306" ht="12.75" customHeight="1">
      <c r="A306" s="73" t="s">
        <v>14</v>
      </c>
      <c r="B306" s="73" t="s">
        <v>16</v>
      </c>
      <c r="C306" s="73"/>
      <c r="D306" s="67">
        <v>906.1999999999999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</row>
    <row r="307" ht="12.75" customHeight="1">
      <c r="A307" s="73" t="s">
        <v>14</v>
      </c>
      <c r="B307" s="73" t="s">
        <v>16</v>
      </c>
      <c r="C307" s="73"/>
      <c r="D307" s="67">
        <v>694.5999999999999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ht="12.75" customHeight="1">
      <c r="A308" s="73" t="s">
        <v>14</v>
      </c>
      <c r="B308" s="73" t="s">
        <v>16</v>
      </c>
      <c r="C308" s="73"/>
      <c r="D308" s="67">
        <v>653.1999999999999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</row>
    <row r="309" ht="12.75" customHeight="1">
      <c r="A309" s="73" t="s">
        <v>14</v>
      </c>
      <c r="B309" s="73" t="s">
        <v>16</v>
      </c>
      <c r="C309" s="73"/>
      <c r="D309" s="67">
        <v>450.79999999999995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</row>
    <row r="310" ht="12.75" customHeight="1">
      <c r="A310" s="73" t="s">
        <v>14</v>
      </c>
      <c r="B310" s="73" t="s">
        <v>16</v>
      </c>
      <c r="C310" s="73"/>
      <c r="D310" s="67">
        <v>436.99999999999994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</row>
    <row r="311" ht="12.75" customHeight="1">
      <c r="A311" s="73" t="s">
        <v>14</v>
      </c>
      <c r="B311" s="73" t="s">
        <v>16</v>
      </c>
      <c r="C311" s="73"/>
      <c r="D311" s="67">
        <v>377.2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ht="12.75" customHeight="1">
      <c r="A312" s="73" t="s">
        <v>14</v>
      </c>
      <c r="B312" s="73" t="s">
        <v>16</v>
      </c>
      <c r="C312" s="73"/>
      <c r="D312" s="67">
        <v>377.2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</row>
    <row r="313" ht="12.75" customHeight="1">
      <c r="A313" s="73" t="s">
        <v>14</v>
      </c>
      <c r="B313" s="73" t="s">
        <v>16</v>
      </c>
      <c r="C313" s="73"/>
      <c r="D313" s="67">
        <v>349.59999999999997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</row>
    <row r="314" ht="12.75" customHeight="1">
      <c r="A314" s="73" t="s">
        <v>14</v>
      </c>
      <c r="B314" s="73" t="s">
        <v>16</v>
      </c>
      <c r="C314" s="73"/>
      <c r="D314" s="67">
        <v>303.59999999999997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</row>
    <row r="315" ht="12.75" customHeight="1">
      <c r="A315" s="73" t="s">
        <v>14</v>
      </c>
      <c r="B315" s="73" t="s">
        <v>16</v>
      </c>
      <c r="C315" s="73"/>
      <c r="D315" s="67">
        <v>0.0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ht="12.75" customHeight="1">
      <c r="A316" s="73" t="s">
        <v>14</v>
      </c>
      <c r="B316" s="73" t="s">
        <v>16</v>
      </c>
      <c r="C316" s="73"/>
      <c r="D316" s="67">
        <v>189989.19999999998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</row>
    <row r="317" ht="12.75" customHeight="1">
      <c r="A317" s="73" t="s">
        <v>14</v>
      </c>
      <c r="B317" s="73" t="s">
        <v>16</v>
      </c>
      <c r="C317" s="73"/>
      <c r="D317" s="67">
        <v>71438.0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</row>
    <row r="318" ht="12.75" customHeight="1">
      <c r="A318" s="73" t="s">
        <v>14</v>
      </c>
      <c r="B318" s="73" t="s">
        <v>16</v>
      </c>
      <c r="C318" s="73"/>
      <c r="D318" s="67">
        <v>71415.0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</row>
    <row r="319" ht="12.75" customHeight="1">
      <c r="A319" s="73" t="s">
        <v>14</v>
      </c>
      <c r="B319" s="73" t="s">
        <v>16</v>
      </c>
      <c r="C319" s="73"/>
      <c r="D319" s="67">
        <v>62389.799999999996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ht="12.75" customHeight="1">
      <c r="A320" s="73" t="s">
        <v>14</v>
      </c>
      <c r="B320" s="73" t="s">
        <v>16</v>
      </c>
      <c r="C320" s="73"/>
      <c r="D320" s="67">
        <v>51519.99999999999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</row>
    <row r="321" ht="12.75" customHeight="1">
      <c r="A321" s="73" t="s">
        <v>14</v>
      </c>
      <c r="B321" s="73" t="s">
        <v>16</v>
      </c>
      <c r="C321" s="73"/>
      <c r="D321" s="67">
        <v>37030.0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</row>
    <row r="322" ht="12.75" customHeight="1">
      <c r="A322" s="73" t="s">
        <v>14</v>
      </c>
      <c r="B322" s="73" t="s">
        <v>16</v>
      </c>
      <c r="C322" s="73"/>
      <c r="D322" s="67">
        <v>18326.399999999998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</row>
    <row r="323" ht="12.75" customHeight="1">
      <c r="A323" s="73" t="s">
        <v>14</v>
      </c>
      <c r="B323" s="73" t="s">
        <v>16</v>
      </c>
      <c r="C323" s="73"/>
      <c r="D323" s="67">
        <v>17475.399999999998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ht="12.75" customHeight="1">
      <c r="A324" s="73" t="s">
        <v>14</v>
      </c>
      <c r="B324" s="73" t="s">
        <v>16</v>
      </c>
      <c r="C324" s="73"/>
      <c r="D324" s="67">
        <v>0.0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</row>
    <row r="325" ht="12.75" customHeight="1">
      <c r="A325" s="73" t="s">
        <v>14</v>
      </c>
      <c r="B325" s="73" t="s">
        <v>16</v>
      </c>
      <c r="C325" s="73"/>
      <c r="D325" s="67">
        <v>0.0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</row>
    <row r="326" ht="12.75" customHeight="1">
      <c r="A326" s="73" t="s">
        <v>14</v>
      </c>
      <c r="B326" s="73" t="s">
        <v>16</v>
      </c>
      <c r="C326" s="73"/>
      <c r="D326" s="67">
        <v>-9039.0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</row>
    <row r="327" ht="12.75" customHeight="1">
      <c r="A327" s="74"/>
      <c r="B327" s="74"/>
      <c r="C327" s="74"/>
      <c r="D327" s="75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ht="12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</row>
    <row r="329" ht="12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</row>
    <row r="330" ht="12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</row>
    <row r="331" ht="12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ht="12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</row>
    <row r="333" ht="12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</row>
    <row r="334" ht="12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</row>
    <row r="335" ht="12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ht="12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</row>
    <row r="337" ht="12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</row>
    <row r="338" ht="12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</row>
    <row r="339" ht="12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ht="12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</row>
    <row r="341" ht="12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</row>
    <row r="342" ht="12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</row>
    <row r="343" ht="12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ht="12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</row>
    <row r="345" ht="12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</row>
    <row r="346" ht="12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</row>
    <row r="347" ht="12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ht="12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</row>
    <row r="349" ht="12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</row>
    <row r="350" ht="12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</row>
    <row r="351" ht="12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ht="12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</row>
    <row r="353" ht="12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</row>
    <row r="354" ht="12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</row>
    <row r="355" ht="12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ht="12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</row>
    <row r="357" ht="12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</row>
    <row r="358" ht="12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</row>
    <row r="359" ht="12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ht="12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</row>
    <row r="361" ht="12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</row>
    <row r="362" ht="12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</row>
    <row r="363" ht="12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ht="12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</row>
    <row r="365" ht="12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</row>
    <row r="366" ht="12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</row>
    <row r="367" ht="12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ht="12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</row>
    <row r="369" ht="12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</row>
    <row r="370" ht="12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</row>
    <row r="371" ht="12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ht="12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</row>
    <row r="373" ht="12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</row>
    <row r="374" ht="12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</row>
    <row r="375" ht="12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ht="12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</row>
    <row r="377" ht="12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</row>
    <row r="378" ht="12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</row>
    <row r="379" ht="12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ht="12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</row>
    <row r="381" ht="12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</row>
    <row r="382" ht="12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</row>
    <row r="383" ht="12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ht="12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</row>
    <row r="385" ht="12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</row>
    <row r="386" ht="12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</row>
    <row r="387" ht="12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ht="12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</row>
    <row r="389" ht="12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</row>
    <row r="390" ht="12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</row>
    <row r="391" ht="12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ht="12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</row>
    <row r="393" ht="12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</row>
    <row r="394" ht="12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</row>
    <row r="395" ht="12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ht="12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</row>
    <row r="397" ht="12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</row>
    <row r="398" ht="12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</row>
    <row r="399" ht="12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ht="12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</row>
    <row r="401" ht="12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</row>
    <row r="402" ht="12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</row>
    <row r="403" ht="12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ht="12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</row>
    <row r="405" ht="12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</row>
    <row r="406" ht="12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</row>
    <row r="407" ht="12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ht="12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</row>
    <row r="409" ht="12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</row>
    <row r="410" ht="12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</row>
    <row r="411" ht="12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ht="12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</row>
    <row r="413" ht="12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</row>
    <row r="414" ht="12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</row>
    <row r="415" ht="12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ht="12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</row>
    <row r="417" ht="12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</row>
    <row r="418" ht="12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</row>
    <row r="419" ht="12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ht="12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</row>
    <row r="421" ht="12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</row>
    <row r="422" ht="12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</row>
    <row r="423" ht="12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ht="12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</row>
    <row r="425" ht="12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</row>
    <row r="426" ht="12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</row>
    <row r="427" ht="12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ht="12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</row>
    <row r="429" ht="12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</row>
    <row r="430" ht="12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</row>
    <row r="431" ht="12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ht="12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</row>
    <row r="433" ht="12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</row>
    <row r="434" ht="12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</row>
    <row r="435" ht="12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ht="12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</row>
    <row r="437" ht="12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</row>
    <row r="438" ht="12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</row>
    <row r="439" ht="12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ht="12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</row>
    <row r="441" ht="12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</row>
    <row r="442" ht="12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</row>
    <row r="443" ht="12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ht="12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</row>
    <row r="445" ht="12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</row>
    <row r="446" ht="12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</row>
    <row r="447" ht="12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ht="12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</row>
    <row r="449" ht="12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</row>
    <row r="450" ht="12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</row>
    <row r="451" ht="12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ht="12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</row>
    <row r="453" ht="12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</row>
    <row r="454" ht="12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</row>
    <row r="455" ht="12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ht="12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</row>
    <row r="457" ht="12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</row>
    <row r="458" ht="12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</row>
    <row r="459" ht="12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ht="12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</row>
    <row r="461" ht="12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</row>
    <row r="462" ht="12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</row>
    <row r="463" ht="12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ht="12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</row>
    <row r="465" ht="12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</row>
    <row r="466" ht="12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</row>
    <row r="467" ht="12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ht="12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</row>
    <row r="469" ht="12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</row>
    <row r="470" ht="12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</row>
    <row r="471" ht="12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ht="12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</row>
    <row r="473" ht="12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</row>
    <row r="474" ht="12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</row>
    <row r="475" ht="12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ht="12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</row>
    <row r="477" ht="12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</row>
    <row r="478" ht="12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</row>
    <row r="479" ht="12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ht="12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</row>
    <row r="481" ht="12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</row>
    <row r="482" ht="12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</row>
    <row r="483" ht="12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</row>
    <row r="484" ht="12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</row>
    <row r="485" ht="12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</row>
    <row r="486" ht="12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</row>
    <row r="487" ht="12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</row>
    <row r="488" ht="12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</row>
    <row r="489" ht="12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</row>
    <row r="490" ht="12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</row>
    <row r="491" ht="12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</row>
    <row r="492" ht="12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</row>
    <row r="493" ht="12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</row>
    <row r="494" ht="12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</row>
    <row r="495" ht="12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</row>
    <row r="496" ht="12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</row>
    <row r="497" ht="12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</row>
    <row r="498" ht="12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</row>
    <row r="499" ht="12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</row>
    <row r="500" ht="12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</row>
    <row r="501" ht="12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</row>
    <row r="502" ht="12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</row>
    <row r="503" ht="12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</row>
    <row r="504" ht="12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</row>
    <row r="505" ht="12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</row>
    <row r="506" ht="12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</row>
    <row r="507" ht="12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</row>
    <row r="508" ht="12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</row>
    <row r="509" ht="12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</row>
    <row r="510" ht="12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</row>
    <row r="511" ht="12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</row>
    <row r="512" ht="12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</row>
    <row r="513" ht="12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</row>
    <row r="514" ht="12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</row>
    <row r="515" ht="12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</row>
    <row r="516" ht="12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</row>
    <row r="517" ht="12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</row>
    <row r="518" ht="12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</row>
    <row r="519" ht="12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</row>
    <row r="520" ht="12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</row>
    <row r="521" ht="12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</row>
    <row r="522" ht="12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</row>
    <row r="523" ht="12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</row>
    <row r="524" ht="12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</row>
    <row r="525" ht="12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</row>
    <row r="526" ht="12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</row>
    <row r="527" ht="12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</row>
    <row r="528" ht="12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</row>
    <row r="529" ht="12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</row>
    <row r="530" ht="12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</row>
    <row r="531" ht="12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</row>
    <row r="532" ht="12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</row>
    <row r="533" ht="12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</row>
    <row r="534" ht="12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</row>
    <row r="535" ht="12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</row>
    <row r="536" ht="12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</row>
    <row r="537" ht="12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</row>
    <row r="538" ht="12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</row>
    <row r="539" ht="12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</row>
    <row r="540" ht="12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</row>
    <row r="541" ht="12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</row>
    <row r="542" ht="12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</row>
    <row r="543" ht="12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</row>
    <row r="544" ht="12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</row>
    <row r="545" ht="12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</row>
    <row r="546" ht="12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</row>
    <row r="547" ht="12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</row>
    <row r="548" ht="12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</row>
    <row r="549" ht="12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</row>
    <row r="550" ht="12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</row>
    <row r="551" ht="12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</row>
    <row r="552" ht="12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</row>
    <row r="553" ht="12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</row>
    <row r="554" ht="12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</row>
    <row r="555" ht="12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</row>
    <row r="556" ht="12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</row>
    <row r="557" ht="12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</row>
    <row r="558" ht="12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</row>
    <row r="559" ht="12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</row>
    <row r="560" ht="12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</row>
    <row r="561" ht="12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</row>
    <row r="562" ht="12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</row>
    <row r="563" ht="12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</row>
    <row r="564" ht="12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</row>
    <row r="565" ht="12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</row>
    <row r="566" ht="12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</row>
    <row r="567" ht="12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</row>
    <row r="568" ht="12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</row>
    <row r="569" ht="12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</row>
    <row r="570" ht="12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</row>
    <row r="571" ht="12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</row>
    <row r="572" ht="12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</row>
    <row r="573" ht="12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</row>
    <row r="574" ht="12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</row>
    <row r="575" ht="12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</row>
    <row r="576" ht="12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</row>
    <row r="577" ht="12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</row>
    <row r="578" ht="12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</row>
    <row r="579" ht="12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</row>
    <row r="580" ht="12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</row>
    <row r="581" ht="12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</row>
    <row r="582" ht="12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</row>
    <row r="583" ht="12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</row>
    <row r="584" ht="12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</row>
    <row r="585" ht="12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</row>
    <row r="586" ht="12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</row>
    <row r="587" ht="12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</row>
    <row r="588" ht="12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</row>
    <row r="589" ht="12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</row>
    <row r="590" ht="12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</row>
    <row r="591" ht="12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</row>
    <row r="592" ht="12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</row>
    <row r="593" ht="12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</row>
    <row r="594" ht="12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</row>
    <row r="595" ht="12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</row>
    <row r="596" ht="12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</row>
    <row r="597" ht="12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</row>
    <row r="598" ht="12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</row>
    <row r="599" ht="12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</row>
    <row r="600" ht="12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</row>
    <row r="601" ht="12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</row>
    <row r="602" ht="12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</row>
    <row r="603" ht="12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</row>
    <row r="604" ht="12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</row>
    <row r="605" ht="12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</row>
    <row r="606" ht="12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</row>
    <row r="607" ht="12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</row>
    <row r="608" ht="12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</row>
    <row r="609" ht="12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</row>
    <row r="610" ht="12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</row>
    <row r="611" ht="12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</row>
    <row r="612" ht="12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</row>
    <row r="613" ht="12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</row>
    <row r="614" ht="12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</row>
    <row r="615" ht="12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</row>
    <row r="616" ht="12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</row>
    <row r="617" ht="12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</row>
    <row r="618" ht="12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</row>
    <row r="619" ht="12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</row>
    <row r="620" ht="12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</row>
    <row r="621" ht="12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</row>
    <row r="622" ht="12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</row>
    <row r="623" ht="12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</row>
    <row r="624" ht="12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</row>
    <row r="625" ht="12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</row>
    <row r="626" ht="12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</row>
    <row r="627" ht="12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</row>
    <row r="628" ht="12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</row>
    <row r="629" ht="12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</row>
    <row r="630" ht="12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</row>
    <row r="631" ht="12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</row>
    <row r="632" ht="12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</row>
    <row r="633" ht="12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</row>
    <row r="634" ht="12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</row>
    <row r="635" ht="12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</row>
    <row r="636" ht="12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</row>
    <row r="637" ht="12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</row>
    <row r="638" ht="12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</row>
    <row r="639" ht="12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</row>
    <row r="640" ht="12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</row>
    <row r="641" ht="12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</row>
    <row r="642" ht="12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</row>
    <row r="643" ht="12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</row>
    <row r="644" ht="12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</row>
    <row r="645" ht="12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</row>
    <row r="646" ht="12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</row>
    <row r="647" ht="12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</row>
    <row r="648" ht="12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</row>
    <row r="649" ht="12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</row>
    <row r="650" ht="12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</row>
    <row r="651" ht="12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</row>
    <row r="652" ht="12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</row>
    <row r="653" ht="12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</row>
    <row r="654" ht="12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</row>
    <row r="655" ht="12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</row>
    <row r="656" ht="12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</row>
    <row r="657" ht="12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</row>
    <row r="658" ht="12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</row>
    <row r="659" ht="12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</row>
    <row r="660" ht="12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</row>
    <row r="661" ht="12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</row>
    <row r="662" ht="12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</row>
    <row r="663" ht="12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</row>
    <row r="664" ht="12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</row>
    <row r="665" ht="12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</row>
    <row r="666" ht="12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</row>
    <row r="667" ht="12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</row>
    <row r="668" ht="12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</row>
    <row r="669" ht="12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</row>
    <row r="670" ht="12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</row>
    <row r="671" ht="12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</row>
    <row r="672" ht="12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</row>
    <row r="673" ht="12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</row>
    <row r="674" ht="12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</row>
    <row r="675" ht="12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</row>
    <row r="676" ht="12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</row>
    <row r="677" ht="12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</row>
    <row r="678" ht="12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</row>
    <row r="679" ht="12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</row>
    <row r="680" ht="12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</row>
    <row r="681" ht="12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</row>
    <row r="682" ht="12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</row>
    <row r="683" ht="12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</row>
    <row r="684" ht="12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</row>
    <row r="685" ht="12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</row>
    <row r="686" ht="12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</row>
    <row r="687" ht="12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</row>
    <row r="688" ht="12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</row>
    <row r="689" ht="12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</row>
    <row r="690" ht="12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</row>
    <row r="691" ht="12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</row>
    <row r="692" ht="12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</row>
    <row r="693" ht="12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</row>
    <row r="694" ht="12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</row>
    <row r="695" ht="12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</row>
    <row r="696" ht="12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</row>
    <row r="697" ht="12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</row>
    <row r="698" ht="12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</row>
    <row r="699" ht="12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</row>
    <row r="700" ht="12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</row>
    <row r="701" ht="12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</row>
    <row r="702" ht="12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</row>
    <row r="703" ht="12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</row>
    <row r="704" ht="12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</row>
    <row r="705" ht="12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</row>
    <row r="706" ht="12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</row>
    <row r="707" ht="12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</row>
    <row r="708" ht="12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</row>
    <row r="709" ht="12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</row>
    <row r="710" ht="12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</row>
    <row r="711" ht="12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</row>
    <row r="712" ht="12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</row>
    <row r="713" ht="12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</row>
    <row r="714" ht="12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</row>
    <row r="715" ht="12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</row>
    <row r="716" ht="12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</row>
    <row r="717" ht="12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</row>
    <row r="718" ht="12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</row>
    <row r="719" ht="12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</row>
    <row r="720" ht="12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</row>
    <row r="721" ht="12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</row>
    <row r="722" ht="12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</row>
    <row r="723" ht="12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</row>
    <row r="724" ht="12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</row>
    <row r="725" ht="12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</row>
    <row r="726" ht="12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</row>
    <row r="727" ht="12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</row>
    <row r="728" ht="12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</row>
    <row r="729" ht="12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</row>
    <row r="730" ht="12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</row>
    <row r="731" ht="12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</row>
    <row r="732" ht="12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</row>
    <row r="733" ht="12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</row>
    <row r="734" ht="12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</row>
    <row r="735" ht="12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</row>
    <row r="736" ht="12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</row>
    <row r="737" ht="12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</row>
    <row r="738" ht="12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</row>
    <row r="739" ht="12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</row>
    <row r="740" ht="12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</row>
    <row r="741" ht="12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</row>
    <row r="742" ht="12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</row>
    <row r="743" ht="12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</row>
    <row r="744" ht="12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</row>
    <row r="745" ht="12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</row>
    <row r="746" ht="12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</row>
    <row r="747" ht="12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</row>
    <row r="748" ht="12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</row>
    <row r="749" ht="12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</row>
    <row r="750" ht="12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</row>
    <row r="751" ht="12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</row>
    <row r="752" ht="12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</row>
    <row r="753" ht="12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</row>
    <row r="754" ht="12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</row>
    <row r="755" ht="12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</row>
    <row r="756" ht="12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</row>
    <row r="757" ht="12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</row>
    <row r="758" ht="12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</row>
    <row r="759" ht="12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</row>
    <row r="760" ht="12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</row>
    <row r="761" ht="12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</row>
    <row r="762" ht="12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</row>
    <row r="763" ht="12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</row>
    <row r="764" ht="12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</row>
    <row r="765" ht="12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</row>
    <row r="766" ht="12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</row>
    <row r="767" ht="12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</row>
    <row r="768" ht="12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</row>
    <row r="769" ht="12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</row>
    <row r="770" ht="12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</row>
    <row r="771" ht="12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</row>
    <row r="772" ht="12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</row>
    <row r="773" ht="12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</row>
    <row r="774" ht="12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</row>
    <row r="775" ht="12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</row>
    <row r="776" ht="12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</row>
    <row r="777" ht="12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</row>
    <row r="778" ht="12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</row>
    <row r="779" ht="12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</row>
    <row r="780" ht="12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</row>
    <row r="781" ht="12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</row>
    <row r="782" ht="12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</row>
    <row r="783" ht="12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</row>
    <row r="784" ht="12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</row>
    <row r="785" ht="12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</row>
    <row r="786" ht="12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</row>
    <row r="787" ht="12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</row>
    <row r="788" ht="12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</row>
    <row r="789" ht="12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</row>
    <row r="790" ht="12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</row>
    <row r="791" ht="12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</row>
    <row r="792" ht="12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</row>
    <row r="793" ht="12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</row>
    <row r="794" ht="12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</row>
    <row r="795" ht="12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</row>
    <row r="796" ht="12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</row>
    <row r="797" ht="12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</row>
    <row r="798" ht="12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</row>
    <row r="799" ht="12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</row>
    <row r="800" ht="12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</row>
    <row r="801" ht="12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</row>
    <row r="802" ht="12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</row>
    <row r="803" ht="12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</row>
    <row r="804" ht="12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</row>
    <row r="805" ht="12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</row>
    <row r="806" ht="12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</row>
    <row r="807" ht="12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</row>
    <row r="808" ht="12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</row>
    <row r="809" ht="12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</row>
    <row r="810" ht="12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</row>
    <row r="811" ht="12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</row>
    <row r="812" ht="12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</row>
    <row r="813" ht="12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</row>
    <row r="814" ht="12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</row>
    <row r="815" ht="12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</row>
    <row r="816" ht="12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</row>
    <row r="817" ht="12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</row>
    <row r="818" ht="12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</row>
    <row r="819" ht="12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</row>
    <row r="820" ht="12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</row>
    <row r="821" ht="12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</row>
    <row r="822" ht="12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</row>
    <row r="823" ht="12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</row>
    <row r="824" ht="12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</row>
    <row r="825" ht="12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</row>
    <row r="826" ht="12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</row>
    <row r="827" ht="12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</row>
    <row r="828" ht="12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</row>
    <row r="829" ht="12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</row>
    <row r="830" ht="12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</row>
    <row r="831" ht="12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</row>
    <row r="832" ht="12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</row>
    <row r="833" ht="12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</row>
    <row r="834" ht="12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</row>
    <row r="835" ht="12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</row>
    <row r="836" ht="12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</row>
    <row r="837" ht="12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</row>
    <row r="838" ht="12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</row>
    <row r="839" ht="12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</row>
    <row r="840" ht="12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</row>
    <row r="841" ht="12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</row>
    <row r="842" ht="12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</row>
    <row r="843" ht="12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</row>
    <row r="844" ht="12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</row>
    <row r="845" ht="12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</row>
    <row r="846" ht="12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</row>
    <row r="847" ht="12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</row>
    <row r="848" ht="12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</row>
    <row r="849" ht="12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</row>
    <row r="850" ht="12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</row>
    <row r="851" ht="12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</row>
    <row r="852" ht="12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</row>
    <row r="853" ht="12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</row>
    <row r="854" ht="12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</row>
    <row r="855" ht="12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</row>
    <row r="856" ht="12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</row>
    <row r="857" ht="12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</row>
    <row r="858" ht="12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</row>
    <row r="859" ht="12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</row>
    <row r="860" ht="12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</row>
    <row r="861" ht="12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</row>
    <row r="862" ht="12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</row>
    <row r="863" ht="12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</row>
    <row r="864" ht="12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</row>
    <row r="865" ht="12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</row>
    <row r="866" ht="12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</row>
    <row r="867" ht="12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</row>
    <row r="868" ht="12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</row>
    <row r="869" ht="12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</row>
    <row r="870" ht="12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</row>
    <row r="871" ht="12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</row>
    <row r="872" ht="12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</row>
    <row r="873" ht="12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</row>
    <row r="874" ht="12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</row>
    <row r="875" ht="12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</row>
    <row r="876" ht="12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</row>
    <row r="877" ht="12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</row>
    <row r="878" ht="12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</row>
    <row r="879" ht="12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</row>
    <row r="880" ht="12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</row>
    <row r="881" ht="12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</row>
    <row r="882" ht="12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</row>
    <row r="883" ht="12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</row>
    <row r="884" ht="12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</row>
    <row r="885" ht="12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</row>
    <row r="886" ht="12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</row>
    <row r="887" ht="12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</row>
    <row r="888" ht="12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</row>
    <row r="889" ht="12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</row>
    <row r="890" ht="12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</row>
    <row r="891" ht="12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</row>
    <row r="892" ht="12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</row>
    <row r="893" ht="12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</row>
    <row r="894" ht="12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</row>
    <row r="895" ht="12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</row>
    <row r="896" ht="12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</row>
    <row r="897" ht="12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</row>
    <row r="898" ht="12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</row>
    <row r="899" ht="12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</row>
    <row r="900" ht="12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</row>
    <row r="901" ht="12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</row>
    <row r="902" ht="12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</row>
    <row r="903" ht="12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</row>
    <row r="904" ht="12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</row>
    <row r="905" ht="12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</row>
    <row r="906" ht="12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</row>
    <row r="907" ht="12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</row>
    <row r="908" ht="12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</row>
    <row r="909" ht="12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</row>
    <row r="910" ht="12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</row>
    <row r="911" ht="12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</row>
    <row r="912" ht="12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</row>
    <row r="913" ht="12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</row>
    <row r="914" ht="12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</row>
    <row r="915" ht="12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</row>
    <row r="916" ht="12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</row>
    <row r="917" ht="12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</row>
    <row r="918" ht="12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</row>
    <row r="919" ht="12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</row>
    <row r="920" ht="12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</row>
    <row r="921" ht="12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</row>
    <row r="922" ht="12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</row>
    <row r="923" ht="12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</row>
    <row r="924" ht="12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</row>
    <row r="925" ht="12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</row>
    <row r="926" ht="12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</row>
    <row r="927" ht="12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</row>
    <row r="928" ht="12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</row>
    <row r="929" ht="12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</row>
    <row r="930" ht="12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</row>
    <row r="931" ht="12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</row>
    <row r="932" ht="12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</row>
    <row r="933" ht="12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</row>
    <row r="934" ht="12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</row>
    <row r="935" ht="12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</row>
    <row r="936" ht="12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</row>
    <row r="937" ht="12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</row>
    <row r="938" ht="12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</row>
    <row r="939" ht="12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</row>
    <row r="940" ht="12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</row>
    <row r="941" ht="12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</row>
    <row r="942" ht="12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</row>
    <row r="943" ht="12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</row>
    <row r="944" ht="12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</row>
    <row r="945" ht="12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</row>
    <row r="946" ht="12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</row>
    <row r="947" ht="12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</row>
    <row r="948" ht="12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</row>
    <row r="949" ht="12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</row>
    <row r="950" ht="12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</row>
    <row r="951" ht="12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</row>
    <row r="952" ht="12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</row>
    <row r="953" ht="12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</row>
    <row r="954" ht="12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</row>
    <row r="955" ht="12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</row>
    <row r="956" ht="12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</row>
    <row r="957" ht="12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</row>
    <row r="958" ht="12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</row>
    <row r="959" ht="12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</row>
    <row r="960" ht="12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</row>
    <row r="961" ht="12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</row>
    <row r="962" ht="12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</row>
    <row r="963" ht="12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</row>
    <row r="964" ht="12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</row>
    <row r="965" ht="12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</row>
    <row r="966" ht="12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</row>
    <row r="967" ht="12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</row>
    <row r="968" ht="12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</row>
    <row r="969" ht="12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</row>
    <row r="970" ht="12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</row>
    <row r="971" ht="12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</row>
    <row r="972" ht="12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</row>
    <row r="973" ht="12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</row>
    <row r="974" ht="12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</row>
    <row r="975" ht="12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</row>
    <row r="976" ht="12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</row>
    <row r="977" ht="12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</row>
    <row r="978" ht="12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</row>
    <row r="979" ht="12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</row>
    <row r="980" ht="12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</row>
    <row r="981" ht="12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</row>
    <row r="982" ht="12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</row>
    <row r="983" ht="12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</row>
    <row r="984" ht="12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</row>
    <row r="985" ht="12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</row>
    <row r="986" ht="12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</row>
    <row r="987" ht="12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</row>
    <row r="988" ht="12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</row>
    <row r="989" ht="12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</row>
    <row r="990" ht="12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</row>
    <row r="991" ht="12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</row>
    <row r="992" ht="12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</row>
    <row r="993" ht="12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</row>
    <row r="994" ht="12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</row>
    <row r="995" ht="12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</row>
    <row r="996" ht="12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</row>
    <row r="997" ht="12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</row>
    <row r="998" ht="12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</row>
    <row r="999" ht="12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</row>
    <row r="1000" ht="12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</row>
  </sheetData>
  <printOptions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FFFF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86"/>
    <col customWidth="1" min="2" max="2" width="10.0"/>
    <col customWidth="1" min="3" max="3" width="48.43"/>
    <col customWidth="1" min="4" max="12" width="12.71"/>
    <col customWidth="1" hidden="1" min="13" max="13" width="25.71"/>
    <col customWidth="1" min="14" max="14" width="23.29"/>
    <col customWidth="1" min="15" max="18" width="8.86"/>
  </cols>
  <sheetData>
    <row r="1" ht="10.5" customHeight="1">
      <c r="A1" s="14"/>
      <c r="B1" s="68" t="s">
        <v>38</v>
      </c>
      <c r="C1" s="14"/>
      <c r="D1" s="14"/>
      <c r="O1" s="14"/>
      <c r="P1" s="14"/>
      <c r="Q1" s="14"/>
      <c r="R1" s="14"/>
    </row>
    <row r="2" ht="12.75" customHeight="1">
      <c r="A2" s="69"/>
      <c r="B2" s="70" t="s">
        <v>17</v>
      </c>
      <c r="C2" s="14"/>
      <c r="D2" s="60"/>
      <c r="O2" s="14"/>
      <c r="P2" s="14"/>
      <c r="Q2" s="14"/>
      <c r="R2" s="14"/>
    </row>
    <row r="3" ht="27.75" customHeight="1">
      <c r="A3" s="61" t="s">
        <v>82</v>
      </c>
      <c r="B3" s="62" t="s">
        <v>86</v>
      </c>
      <c r="C3" s="63" t="s">
        <v>87</v>
      </c>
      <c r="D3" s="71" t="str">
        <f>RecurringRevenue!D3</f>
        <v>2018 total</v>
      </c>
      <c r="O3" s="14"/>
      <c r="P3" s="14"/>
      <c r="Q3" s="14"/>
      <c r="R3" s="14"/>
    </row>
    <row r="4" ht="12.75" customHeight="1">
      <c r="A4" s="65" t="s">
        <v>14</v>
      </c>
      <c r="B4" s="65" t="s">
        <v>17</v>
      </c>
      <c r="C4" s="66"/>
      <c r="D4" s="67">
        <v>89138.09999999999</v>
      </c>
      <c r="O4" s="72"/>
      <c r="P4" s="72"/>
      <c r="Q4" s="72"/>
      <c r="R4" s="72"/>
    </row>
    <row r="5" ht="12.75" customHeight="1">
      <c r="A5" s="73" t="s">
        <v>14</v>
      </c>
      <c r="B5" s="73" t="s">
        <v>17</v>
      </c>
      <c r="C5" s="73"/>
      <c r="D5" s="67">
        <v>19409.399999999998</v>
      </c>
      <c r="O5" s="14"/>
      <c r="P5" s="14"/>
      <c r="Q5" s="14"/>
      <c r="R5" s="14"/>
    </row>
    <row r="6" ht="12.75" customHeight="1">
      <c r="A6" s="76" t="s">
        <v>14</v>
      </c>
      <c r="B6" s="76" t="s">
        <v>17</v>
      </c>
      <c r="C6" s="73"/>
      <c r="D6" s="67">
        <v>6350.9</v>
      </c>
      <c r="O6" s="14"/>
      <c r="P6" s="14"/>
      <c r="Q6" s="14"/>
      <c r="R6" s="14"/>
    </row>
    <row r="7" ht="12.75" customHeight="1">
      <c r="A7" s="73" t="s">
        <v>14</v>
      </c>
      <c r="B7" s="73" t="s">
        <v>17</v>
      </c>
      <c r="C7" s="73"/>
      <c r="D7" s="67">
        <v>922.4999999999999</v>
      </c>
      <c r="O7" s="14"/>
      <c r="P7" s="14"/>
      <c r="Q7" s="14"/>
      <c r="R7" s="14"/>
    </row>
    <row r="8" ht="12.75" customHeight="1">
      <c r="A8" s="73" t="s">
        <v>14</v>
      </c>
      <c r="B8" s="73" t="s">
        <v>17</v>
      </c>
      <c r="C8" s="73"/>
      <c r="D8" s="67">
        <v>824.0999999999999</v>
      </c>
      <c r="O8" s="14"/>
      <c r="P8" s="14"/>
      <c r="Q8" s="14"/>
      <c r="R8" s="14"/>
    </row>
    <row r="9" ht="12.75" customHeight="1">
      <c r="A9" s="73" t="s">
        <v>14</v>
      </c>
      <c r="B9" s="73" t="s">
        <v>17</v>
      </c>
      <c r="C9" s="73"/>
      <c r="D9" s="67">
        <v>549.4</v>
      </c>
      <c r="O9" s="14"/>
      <c r="P9" s="14"/>
      <c r="Q9" s="14"/>
      <c r="R9" s="14"/>
    </row>
    <row r="10" ht="12.75" customHeight="1">
      <c r="A10" s="73" t="s">
        <v>14</v>
      </c>
      <c r="B10" s="73" t="s">
        <v>17</v>
      </c>
      <c r="C10" s="73"/>
      <c r="D10" s="67">
        <v>0.0</v>
      </c>
      <c r="O10" s="14"/>
      <c r="P10" s="14"/>
      <c r="Q10" s="14"/>
      <c r="R10" s="14"/>
    </row>
    <row r="11" ht="12.75" customHeight="1">
      <c r="A11" s="73" t="s">
        <v>14</v>
      </c>
      <c r="B11" s="73" t="s">
        <v>17</v>
      </c>
      <c r="C11" s="73"/>
      <c r="D11" s="67">
        <v>27113.3</v>
      </c>
      <c r="O11" s="14"/>
      <c r="P11" s="14"/>
      <c r="Q11" s="14"/>
      <c r="R11" s="14"/>
    </row>
    <row r="12" ht="12.75" customHeight="1">
      <c r="A12" s="73" t="s">
        <v>14</v>
      </c>
      <c r="B12" s="73" t="s">
        <v>17</v>
      </c>
      <c r="C12" s="73"/>
      <c r="D12" s="67">
        <v>19421.699999999997</v>
      </c>
      <c r="O12" s="14"/>
      <c r="P12" s="14"/>
      <c r="Q12" s="14"/>
      <c r="R12" s="14"/>
    </row>
    <row r="13" ht="12.75" customHeight="1">
      <c r="A13" s="73" t="s">
        <v>14</v>
      </c>
      <c r="B13" s="73" t="s">
        <v>17</v>
      </c>
      <c r="C13" s="73"/>
      <c r="D13" s="67">
        <v>15579.999999999998</v>
      </c>
      <c r="O13" s="14"/>
      <c r="P13" s="14"/>
      <c r="Q13" s="14"/>
      <c r="R13" s="14"/>
    </row>
    <row r="14" ht="12.75" customHeight="1">
      <c r="A14" s="73" t="s">
        <v>14</v>
      </c>
      <c r="B14" s="73" t="s">
        <v>17</v>
      </c>
      <c r="C14" s="73"/>
      <c r="D14" s="67">
        <v>13763.699999999999</v>
      </c>
      <c r="O14" s="14"/>
      <c r="P14" s="14"/>
      <c r="Q14" s="14"/>
      <c r="R14" s="14"/>
    </row>
    <row r="15" ht="12.75" customHeight="1">
      <c r="A15" s="73" t="s">
        <v>14</v>
      </c>
      <c r="B15" s="73" t="s">
        <v>17</v>
      </c>
      <c r="C15" s="73"/>
      <c r="D15" s="67">
        <v>13587.4</v>
      </c>
      <c r="O15" s="14"/>
      <c r="P15" s="14"/>
      <c r="Q15" s="14"/>
      <c r="R15" s="14"/>
    </row>
    <row r="16" ht="12.75" customHeight="1">
      <c r="A16" s="73" t="s">
        <v>14</v>
      </c>
      <c r="B16" s="73" t="s">
        <v>17</v>
      </c>
      <c r="C16" s="73"/>
      <c r="D16" s="67">
        <v>10713.3</v>
      </c>
      <c r="O16" s="14"/>
      <c r="P16" s="14"/>
      <c r="Q16" s="14"/>
      <c r="R16" s="14"/>
    </row>
    <row r="17" ht="12.75" customHeight="1">
      <c r="A17" s="73" t="s">
        <v>14</v>
      </c>
      <c r="B17" s="73" t="s">
        <v>17</v>
      </c>
      <c r="C17" s="73"/>
      <c r="D17" s="67">
        <v>6330.4</v>
      </c>
      <c r="O17" s="14"/>
      <c r="P17" s="14"/>
      <c r="Q17" s="14"/>
      <c r="R17" s="14"/>
    </row>
    <row r="18" ht="12.75" customHeight="1">
      <c r="A18" s="73" t="s">
        <v>14</v>
      </c>
      <c r="B18" s="73" t="s">
        <v>17</v>
      </c>
      <c r="C18" s="73"/>
      <c r="D18" s="67">
        <v>5125.0</v>
      </c>
      <c r="O18" s="14"/>
      <c r="P18" s="14"/>
      <c r="Q18" s="14"/>
      <c r="R18" s="14"/>
    </row>
    <row r="19" ht="12.75" customHeight="1">
      <c r="A19" s="73" t="s">
        <v>14</v>
      </c>
      <c r="B19" s="73" t="s">
        <v>17</v>
      </c>
      <c r="C19" s="73"/>
      <c r="D19" s="67">
        <v>3915.4999999999995</v>
      </c>
      <c r="O19" s="14"/>
      <c r="P19" s="14"/>
      <c r="Q19" s="14"/>
      <c r="R19" s="14"/>
    </row>
    <row r="20" ht="12.75" customHeight="1">
      <c r="A20" s="73" t="s">
        <v>14</v>
      </c>
      <c r="B20" s="73" t="s">
        <v>17</v>
      </c>
      <c r="C20" s="73"/>
      <c r="D20" s="67">
        <v>3382.4999999999995</v>
      </c>
      <c r="O20" s="14"/>
      <c r="P20" s="14"/>
      <c r="Q20" s="14"/>
      <c r="R20" s="14"/>
    </row>
    <row r="21" ht="12.75" customHeight="1">
      <c r="A21" s="73" t="s">
        <v>14</v>
      </c>
      <c r="B21" s="73" t="s">
        <v>17</v>
      </c>
      <c r="C21" s="73"/>
      <c r="D21" s="67">
        <v>3304.6</v>
      </c>
      <c r="O21" s="14"/>
      <c r="P21" s="14"/>
      <c r="Q21" s="14"/>
      <c r="R21" s="14"/>
    </row>
    <row r="22" ht="12.75" customHeight="1">
      <c r="A22" s="73" t="s">
        <v>14</v>
      </c>
      <c r="B22" s="73" t="s">
        <v>17</v>
      </c>
      <c r="C22" s="73"/>
      <c r="D22" s="67">
        <v>2939.7</v>
      </c>
      <c r="O22" s="14"/>
      <c r="P22" s="14"/>
      <c r="Q22" s="14"/>
      <c r="R22" s="14"/>
    </row>
    <row r="23" ht="12.75" customHeight="1">
      <c r="A23" s="73" t="s">
        <v>14</v>
      </c>
      <c r="B23" s="73" t="s">
        <v>17</v>
      </c>
      <c r="C23" s="73"/>
      <c r="D23" s="67">
        <v>2693.7</v>
      </c>
      <c r="O23" s="14"/>
      <c r="P23" s="14"/>
      <c r="Q23" s="14"/>
      <c r="R23" s="14"/>
    </row>
    <row r="24" ht="12.75" customHeight="1">
      <c r="A24" s="73" t="s">
        <v>14</v>
      </c>
      <c r="B24" s="73" t="s">
        <v>17</v>
      </c>
      <c r="C24" s="73"/>
      <c r="D24" s="67">
        <v>2615.7999999999997</v>
      </c>
      <c r="O24" s="14"/>
      <c r="P24" s="14"/>
      <c r="Q24" s="14"/>
      <c r="R24" s="14"/>
    </row>
    <row r="25" ht="12.75" customHeight="1">
      <c r="A25" s="73" t="s">
        <v>14</v>
      </c>
      <c r="B25" s="73" t="s">
        <v>17</v>
      </c>
      <c r="C25" s="73"/>
      <c r="D25" s="67">
        <v>885.5999999999999</v>
      </c>
      <c r="O25" s="14"/>
      <c r="P25" s="14"/>
      <c r="Q25" s="14"/>
      <c r="R25" s="14"/>
    </row>
    <row r="26" ht="12.75" customHeight="1">
      <c r="A26" s="73" t="s">
        <v>14</v>
      </c>
      <c r="B26" s="73" t="s">
        <v>17</v>
      </c>
      <c r="C26" s="73"/>
      <c r="D26" s="67">
        <v>770.8</v>
      </c>
      <c r="O26" s="14"/>
      <c r="P26" s="14"/>
      <c r="Q26" s="14"/>
      <c r="R26" s="14"/>
    </row>
    <row r="27" ht="12.75" customHeight="1">
      <c r="A27" s="73" t="s">
        <v>14</v>
      </c>
      <c r="B27" s="73" t="s">
        <v>17</v>
      </c>
      <c r="C27" s="73"/>
      <c r="D27" s="67">
        <v>684.6999999999999</v>
      </c>
      <c r="O27" s="14"/>
      <c r="P27" s="14"/>
      <c r="Q27" s="14"/>
      <c r="R27" s="14"/>
    </row>
    <row r="28" ht="12.75" customHeight="1">
      <c r="A28" s="73" t="s">
        <v>14</v>
      </c>
      <c r="B28" s="73" t="s">
        <v>17</v>
      </c>
      <c r="C28" s="73"/>
      <c r="D28" s="67">
        <v>615.0</v>
      </c>
      <c r="O28" s="14"/>
      <c r="P28" s="14"/>
      <c r="Q28" s="14"/>
      <c r="R28" s="14"/>
    </row>
    <row r="29" ht="12.75" customHeight="1">
      <c r="A29" s="73" t="s">
        <v>14</v>
      </c>
      <c r="B29" s="73" t="s">
        <v>17</v>
      </c>
      <c r="C29" s="73"/>
      <c r="D29" s="67">
        <v>545.3</v>
      </c>
      <c r="O29" s="14"/>
      <c r="P29" s="14"/>
      <c r="Q29" s="14"/>
      <c r="R29" s="14"/>
    </row>
    <row r="30" ht="12.75" customHeight="1">
      <c r="A30" s="73" t="s">
        <v>14</v>
      </c>
      <c r="B30" s="73" t="s">
        <v>17</v>
      </c>
      <c r="C30" s="73"/>
      <c r="D30" s="67">
        <v>545.3</v>
      </c>
      <c r="O30" s="14"/>
      <c r="P30" s="14"/>
      <c r="Q30" s="14"/>
      <c r="R30" s="14"/>
    </row>
    <row r="31" ht="12.75" customHeight="1">
      <c r="A31" s="73" t="s">
        <v>14</v>
      </c>
      <c r="B31" s="73" t="s">
        <v>17</v>
      </c>
      <c r="C31" s="73"/>
      <c r="D31" s="67">
        <v>471.49999999999994</v>
      </c>
      <c r="O31" s="14"/>
      <c r="P31" s="14"/>
      <c r="Q31" s="14"/>
      <c r="R31" s="14"/>
    </row>
    <row r="32" ht="12.75" customHeight="1">
      <c r="A32" s="73" t="s">
        <v>14</v>
      </c>
      <c r="B32" s="73" t="s">
        <v>17</v>
      </c>
      <c r="C32" s="73"/>
      <c r="D32" s="67">
        <v>352.59999999999997</v>
      </c>
      <c r="O32" s="14"/>
      <c r="P32" s="14"/>
      <c r="Q32" s="14"/>
      <c r="R32" s="14"/>
    </row>
    <row r="33" ht="12.75" customHeight="1">
      <c r="A33" s="73" t="s">
        <v>14</v>
      </c>
      <c r="B33" s="73" t="s">
        <v>17</v>
      </c>
      <c r="C33" s="73"/>
      <c r="D33" s="67">
        <v>307.5</v>
      </c>
      <c r="O33" s="14"/>
      <c r="P33" s="14"/>
      <c r="Q33" s="14"/>
      <c r="R33" s="14"/>
    </row>
    <row r="34" ht="12.75" customHeight="1">
      <c r="A34" s="73" t="s">
        <v>14</v>
      </c>
      <c r="B34" s="73" t="s">
        <v>17</v>
      </c>
      <c r="C34" s="73"/>
      <c r="D34" s="67">
        <v>172.2</v>
      </c>
      <c r="O34" s="14"/>
      <c r="P34" s="14"/>
      <c r="Q34" s="14"/>
      <c r="R34" s="14"/>
    </row>
    <row r="35" ht="12.75" customHeight="1">
      <c r="A35" s="73" t="s">
        <v>14</v>
      </c>
      <c r="B35" s="73" t="s">
        <v>17</v>
      </c>
      <c r="C35" s="73"/>
      <c r="D35" s="67">
        <v>231695.09999999998</v>
      </c>
      <c r="O35" s="14"/>
      <c r="P35" s="14"/>
      <c r="Q35" s="14"/>
      <c r="R35" s="14"/>
    </row>
    <row r="36" ht="12.75" customHeight="1">
      <c r="A36" s="73" t="s">
        <v>14</v>
      </c>
      <c r="B36" s="73" t="s">
        <v>17</v>
      </c>
      <c r="C36" s="73"/>
      <c r="D36" s="67">
        <v>50552.99999999999</v>
      </c>
      <c r="O36" s="14"/>
      <c r="P36" s="14"/>
      <c r="Q36" s="14"/>
      <c r="R36" s="14"/>
    </row>
    <row r="37" ht="12.75" customHeight="1">
      <c r="A37" s="73" t="s">
        <v>14</v>
      </c>
      <c r="B37" s="73" t="s">
        <v>17</v>
      </c>
      <c r="C37" s="73"/>
      <c r="D37" s="67">
        <v>47559.99999999999</v>
      </c>
      <c r="O37" s="14"/>
      <c r="P37" s="14"/>
      <c r="Q37" s="14"/>
      <c r="R37" s="14"/>
    </row>
    <row r="38" ht="12.75" customHeight="1">
      <c r="A38" s="73" t="s">
        <v>14</v>
      </c>
      <c r="B38" s="73" t="s">
        <v>17</v>
      </c>
      <c r="C38" s="73"/>
      <c r="D38" s="67">
        <v>47527.2</v>
      </c>
      <c r="O38" s="14"/>
      <c r="P38" s="14"/>
      <c r="Q38" s="14"/>
      <c r="R38" s="14"/>
    </row>
    <row r="39" ht="12.75" customHeight="1">
      <c r="A39" s="73" t="s">
        <v>14</v>
      </c>
      <c r="B39" s="73" t="s">
        <v>17</v>
      </c>
      <c r="C39" s="73"/>
      <c r="D39" s="67">
        <v>43049.99999999999</v>
      </c>
      <c r="O39" s="14"/>
      <c r="P39" s="14"/>
      <c r="Q39" s="14"/>
      <c r="R39" s="14"/>
    </row>
    <row r="40" ht="12.75" customHeight="1">
      <c r="A40" s="73" t="s">
        <v>14</v>
      </c>
      <c r="B40" s="73" t="s">
        <v>17</v>
      </c>
      <c r="C40" s="73"/>
      <c r="D40" s="67">
        <v>38548.2</v>
      </c>
      <c r="O40" s="14"/>
      <c r="P40" s="14"/>
      <c r="Q40" s="14"/>
      <c r="R40" s="14"/>
    </row>
    <row r="41" ht="12.75" customHeight="1">
      <c r="A41" s="73" t="s">
        <v>14</v>
      </c>
      <c r="B41" s="73" t="s">
        <v>17</v>
      </c>
      <c r="C41" s="73"/>
      <c r="D41" s="67">
        <v>38015.2</v>
      </c>
      <c r="O41" s="14"/>
      <c r="P41" s="14"/>
      <c r="Q41" s="14"/>
      <c r="R41" s="14"/>
    </row>
    <row r="42" ht="12.75" customHeight="1">
      <c r="A42" s="73" t="s">
        <v>14</v>
      </c>
      <c r="B42" s="73" t="s">
        <v>17</v>
      </c>
      <c r="C42" s="73"/>
      <c r="D42" s="67">
        <v>37068.1</v>
      </c>
      <c r="O42" s="14"/>
      <c r="P42" s="14"/>
      <c r="Q42" s="14"/>
      <c r="R42" s="14"/>
    </row>
    <row r="43" ht="12.75" customHeight="1">
      <c r="A43" s="73" t="s">
        <v>14</v>
      </c>
      <c r="B43" s="73" t="s">
        <v>17</v>
      </c>
      <c r="C43" s="73"/>
      <c r="D43" s="67">
        <v>25653.699999999997</v>
      </c>
      <c r="O43" s="14"/>
      <c r="P43" s="14"/>
      <c r="Q43" s="14"/>
      <c r="R43" s="14"/>
    </row>
    <row r="44" ht="12.75" customHeight="1">
      <c r="A44" s="73" t="s">
        <v>14</v>
      </c>
      <c r="B44" s="73" t="s">
        <v>17</v>
      </c>
      <c r="C44" s="73"/>
      <c r="D44" s="67">
        <v>22631.999999999996</v>
      </c>
      <c r="O44" s="14"/>
      <c r="P44" s="14"/>
      <c r="Q44" s="14"/>
      <c r="R44" s="14"/>
    </row>
    <row r="45" ht="12.75" customHeight="1">
      <c r="A45" s="73" t="s">
        <v>14</v>
      </c>
      <c r="B45" s="73" t="s">
        <v>17</v>
      </c>
      <c r="C45" s="73"/>
      <c r="D45" s="67">
        <v>22631.999999999996</v>
      </c>
      <c r="O45" s="14"/>
      <c r="P45" s="14"/>
      <c r="Q45" s="14"/>
      <c r="R45" s="14"/>
    </row>
    <row r="46" ht="12.75" customHeight="1">
      <c r="A46" s="73" t="s">
        <v>14</v>
      </c>
      <c r="B46" s="73" t="s">
        <v>17</v>
      </c>
      <c r="C46" s="73"/>
      <c r="D46" s="67">
        <v>22094.899999999998</v>
      </c>
      <c r="O46" s="14"/>
      <c r="P46" s="14"/>
      <c r="Q46" s="14"/>
      <c r="R46" s="14"/>
    </row>
    <row r="47" ht="12.75" customHeight="1">
      <c r="A47" s="73" t="s">
        <v>14</v>
      </c>
      <c r="B47" s="73" t="s">
        <v>17</v>
      </c>
      <c r="C47" s="73"/>
      <c r="D47" s="67">
        <v>21270.8</v>
      </c>
      <c r="O47" s="14"/>
      <c r="P47" s="14"/>
      <c r="Q47" s="14"/>
      <c r="R47" s="14"/>
    </row>
    <row r="48" ht="12.75" customHeight="1">
      <c r="A48" s="73" t="s">
        <v>14</v>
      </c>
      <c r="B48" s="73" t="s">
        <v>17</v>
      </c>
      <c r="C48" s="73"/>
      <c r="D48" s="67">
        <v>18363.899999999998</v>
      </c>
      <c r="O48" s="14"/>
      <c r="P48" s="14"/>
      <c r="Q48" s="14"/>
      <c r="R48" s="14"/>
    </row>
    <row r="49" ht="12.75" customHeight="1">
      <c r="A49" s="73" t="s">
        <v>14</v>
      </c>
      <c r="B49" s="73" t="s">
        <v>17</v>
      </c>
      <c r="C49" s="73"/>
      <c r="D49" s="67">
        <v>17466.0</v>
      </c>
      <c r="O49" s="14"/>
      <c r="P49" s="14"/>
      <c r="Q49" s="14"/>
      <c r="R49" s="14"/>
    </row>
    <row r="50" ht="12.75" customHeight="1">
      <c r="A50" s="73" t="s">
        <v>14</v>
      </c>
      <c r="B50" s="73" t="s">
        <v>17</v>
      </c>
      <c r="C50" s="73"/>
      <c r="D50" s="67">
        <v>15838.3</v>
      </c>
      <c r="O50" s="14"/>
      <c r="P50" s="14"/>
      <c r="Q50" s="14"/>
      <c r="R50" s="14"/>
    </row>
    <row r="51" ht="12.75" customHeight="1">
      <c r="A51" s="73" t="s">
        <v>14</v>
      </c>
      <c r="B51" s="73" t="s">
        <v>17</v>
      </c>
      <c r="C51" s="73"/>
      <c r="D51" s="67">
        <v>9840.0</v>
      </c>
      <c r="O51" s="14"/>
      <c r="P51" s="14"/>
      <c r="Q51" s="14"/>
      <c r="R51" s="14"/>
    </row>
    <row r="52" ht="12.75" customHeight="1">
      <c r="A52" s="73" t="s">
        <v>14</v>
      </c>
      <c r="B52" s="73" t="s">
        <v>17</v>
      </c>
      <c r="C52" s="73"/>
      <c r="D52" s="67">
        <v>9840.0</v>
      </c>
      <c r="O52" s="14"/>
      <c r="P52" s="14"/>
      <c r="Q52" s="14"/>
      <c r="R52" s="14"/>
    </row>
    <row r="53" ht="12.75" customHeight="1">
      <c r="A53" s="73" t="s">
        <v>14</v>
      </c>
      <c r="B53" s="73" t="s">
        <v>17</v>
      </c>
      <c r="C53" s="73"/>
      <c r="D53" s="67">
        <v>8995.4</v>
      </c>
      <c r="O53" s="14"/>
      <c r="P53" s="14"/>
      <c r="Q53" s="14"/>
      <c r="R53" s="14"/>
    </row>
    <row r="54" ht="12.75" customHeight="1">
      <c r="A54" s="73" t="s">
        <v>14</v>
      </c>
      <c r="B54" s="73" t="s">
        <v>17</v>
      </c>
      <c r="C54" s="73"/>
      <c r="D54" s="67">
        <v>8995.4</v>
      </c>
      <c r="O54" s="14"/>
      <c r="P54" s="14"/>
      <c r="Q54" s="14"/>
      <c r="R54" s="14"/>
    </row>
    <row r="55" ht="12.75" customHeight="1">
      <c r="A55" s="73" t="s">
        <v>14</v>
      </c>
      <c r="B55" s="73" t="s">
        <v>17</v>
      </c>
      <c r="C55" s="73"/>
      <c r="D55" s="67">
        <v>8200.0</v>
      </c>
      <c r="O55" s="14"/>
      <c r="P55" s="14"/>
      <c r="Q55" s="14"/>
      <c r="R55" s="14"/>
    </row>
    <row r="56" ht="12.75" customHeight="1">
      <c r="A56" s="73" t="s">
        <v>14</v>
      </c>
      <c r="B56" s="73" t="s">
        <v>17</v>
      </c>
      <c r="C56" s="73"/>
      <c r="D56" s="67">
        <v>8200.0</v>
      </c>
      <c r="O56" s="14"/>
      <c r="P56" s="14"/>
      <c r="Q56" s="14"/>
      <c r="R56" s="14"/>
    </row>
    <row r="57" ht="12.75" customHeight="1">
      <c r="A57" s="73" t="s">
        <v>14</v>
      </c>
      <c r="B57" s="73" t="s">
        <v>17</v>
      </c>
      <c r="C57" s="73"/>
      <c r="D57" s="67">
        <v>8035.999999999999</v>
      </c>
      <c r="O57" s="14"/>
      <c r="P57" s="14"/>
      <c r="Q57" s="14"/>
      <c r="R57" s="14"/>
    </row>
    <row r="58" ht="12.75" customHeight="1">
      <c r="A58" s="73" t="s">
        <v>14</v>
      </c>
      <c r="B58" s="73" t="s">
        <v>17</v>
      </c>
      <c r="C58" s="73"/>
      <c r="D58" s="67">
        <v>6621.499999999999</v>
      </c>
      <c r="O58" s="14"/>
      <c r="P58" s="14"/>
      <c r="Q58" s="14"/>
      <c r="R58" s="14"/>
    </row>
    <row r="59" ht="12.75" customHeight="1">
      <c r="A59" s="73" t="s">
        <v>14</v>
      </c>
      <c r="B59" s="73" t="s">
        <v>17</v>
      </c>
      <c r="C59" s="73"/>
      <c r="D59" s="67">
        <v>6149.999999999999</v>
      </c>
      <c r="O59" s="14"/>
      <c r="P59" s="14"/>
      <c r="Q59" s="14"/>
      <c r="R59" s="14"/>
    </row>
    <row r="60" ht="12.75" customHeight="1">
      <c r="A60" s="73" t="s">
        <v>14</v>
      </c>
      <c r="B60" s="73" t="s">
        <v>17</v>
      </c>
      <c r="C60" s="73"/>
      <c r="D60" s="67">
        <v>6149.999999999999</v>
      </c>
      <c r="O60" s="14"/>
      <c r="P60" s="14"/>
      <c r="Q60" s="14"/>
      <c r="R60" s="14"/>
    </row>
    <row r="61" ht="12.75" customHeight="1">
      <c r="A61" s="73" t="s">
        <v>14</v>
      </c>
      <c r="B61" s="73" t="s">
        <v>17</v>
      </c>
      <c r="C61" s="73"/>
      <c r="D61" s="67">
        <v>4895.4</v>
      </c>
      <c r="O61" s="14"/>
      <c r="P61" s="14"/>
      <c r="Q61" s="14"/>
      <c r="R61" s="14"/>
    </row>
    <row r="62" ht="12.75" customHeight="1">
      <c r="A62" s="73" t="s">
        <v>14</v>
      </c>
      <c r="B62" s="73" t="s">
        <v>17</v>
      </c>
      <c r="C62" s="73"/>
      <c r="D62" s="67">
        <v>3476.7999999999997</v>
      </c>
      <c r="O62" s="14"/>
      <c r="P62" s="14"/>
      <c r="Q62" s="14"/>
      <c r="R62" s="14"/>
    </row>
    <row r="63" ht="12.75" customHeight="1">
      <c r="A63" s="73" t="s">
        <v>14</v>
      </c>
      <c r="B63" s="73" t="s">
        <v>17</v>
      </c>
      <c r="C63" s="73"/>
      <c r="D63" s="67">
        <v>3263.6</v>
      </c>
      <c r="O63" s="14"/>
      <c r="P63" s="14"/>
      <c r="Q63" s="14"/>
      <c r="R63" s="14"/>
    </row>
    <row r="64" ht="12.75" customHeight="1">
      <c r="A64" s="73" t="s">
        <v>14</v>
      </c>
      <c r="B64" s="73" t="s">
        <v>17</v>
      </c>
      <c r="C64" s="73"/>
      <c r="D64" s="67">
        <v>2460.0</v>
      </c>
      <c r="O64" s="14"/>
      <c r="P64" s="14"/>
      <c r="Q64" s="14"/>
      <c r="R64" s="14"/>
    </row>
    <row r="65" ht="12.75" customHeight="1">
      <c r="A65" s="73" t="s">
        <v>14</v>
      </c>
      <c r="B65" s="73" t="s">
        <v>17</v>
      </c>
      <c r="C65" s="73"/>
      <c r="D65" s="67">
        <v>2152.5</v>
      </c>
      <c r="O65" s="14"/>
      <c r="P65" s="14"/>
      <c r="Q65" s="14"/>
      <c r="R65" s="14"/>
    </row>
    <row r="66" ht="12.75" customHeight="1">
      <c r="A66" s="73" t="s">
        <v>14</v>
      </c>
      <c r="B66" s="73" t="s">
        <v>17</v>
      </c>
      <c r="C66" s="73"/>
      <c r="D66" s="67">
        <v>2050.0</v>
      </c>
      <c r="O66" s="14"/>
      <c r="P66" s="14"/>
      <c r="Q66" s="14"/>
      <c r="R66" s="14"/>
    </row>
    <row r="67" ht="12.75" customHeight="1">
      <c r="A67" s="73" t="s">
        <v>14</v>
      </c>
      <c r="B67" s="73" t="s">
        <v>17</v>
      </c>
      <c r="C67" s="73"/>
      <c r="D67" s="67">
        <v>1541.6</v>
      </c>
      <c r="O67" s="14"/>
      <c r="P67" s="14"/>
      <c r="Q67" s="14"/>
      <c r="R67" s="14"/>
    </row>
    <row r="68" ht="12.75" customHeight="1">
      <c r="A68" s="73" t="s">
        <v>14</v>
      </c>
      <c r="B68" s="73" t="s">
        <v>17</v>
      </c>
      <c r="C68" s="73"/>
      <c r="D68" s="67">
        <v>1537.4999999999998</v>
      </c>
      <c r="O68" s="14"/>
      <c r="P68" s="14"/>
      <c r="Q68" s="14"/>
      <c r="R68" s="14"/>
    </row>
    <row r="69" ht="12.75" customHeight="1">
      <c r="A69" s="73" t="s">
        <v>14</v>
      </c>
      <c r="B69" s="73" t="s">
        <v>17</v>
      </c>
      <c r="C69" s="73"/>
      <c r="D69" s="67">
        <v>1295.6</v>
      </c>
      <c r="O69" s="14"/>
      <c r="P69" s="14"/>
      <c r="Q69" s="14"/>
      <c r="R69" s="14"/>
    </row>
    <row r="70" ht="12.75" customHeight="1">
      <c r="A70" s="73" t="s">
        <v>14</v>
      </c>
      <c r="B70" s="73" t="s">
        <v>17</v>
      </c>
      <c r="C70" s="73"/>
      <c r="D70" s="67">
        <v>1258.6999999999998</v>
      </c>
      <c r="O70" s="14"/>
      <c r="P70" s="14"/>
      <c r="Q70" s="14"/>
      <c r="R70" s="14"/>
    </row>
    <row r="71" ht="12.75" customHeight="1">
      <c r="A71" s="73" t="s">
        <v>14</v>
      </c>
      <c r="B71" s="73" t="s">
        <v>17</v>
      </c>
      <c r="C71" s="73"/>
      <c r="D71" s="67">
        <v>1189.0</v>
      </c>
      <c r="O71" s="14"/>
      <c r="P71" s="14"/>
      <c r="Q71" s="14"/>
      <c r="R71" s="14"/>
    </row>
    <row r="72" ht="12.75" customHeight="1">
      <c r="A72" s="73" t="s">
        <v>14</v>
      </c>
      <c r="B72" s="73" t="s">
        <v>17</v>
      </c>
      <c r="C72" s="73"/>
      <c r="D72" s="67">
        <v>1115.1999999999998</v>
      </c>
      <c r="O72" s="14"/>
      <c r="P72" s="14"/>
      <c r="Q72" s="14"/>
      <c r="R72" s="14"/>
    </row>
    <row r="73" ht="12.75" customHeight="1">
      <c r="A73" s="73" t="s">
        <v>14</v>
      </c>
      <c r="B73" s="73" t="s">
        <v>17</v>
      </c>
      <c r="C73" s="73"/>
      <c r="D73" s="67">
        <v>701.0999999999999</v>
      </c>
      <c r="O73" s="14"/>
      <c r="P73" s="14"/>
      <c r="Q73" s="14"/>
      <c r="R73" s="14"/>
    </row>
    <row r="74" ht="12.75" customHeight="1">
      <c r="A74" s="73" t="s">
        <v>14</v>
      </c>
      <c r="B74" s="73" t="s">
        <v>17</v>
      </c>
      <c r="C74" s="73"/>
      <c r="D74" s="67">
        <v>627.3</v>
      </c>
      <c r="O74" s="14"/>
      <c r="P74" s="14"/>
      <c r="Q74" s="14"/>
      <c r="R74" s="14"/>
    </row>
    <row r="75" ht="12.75" customHeight="1">
      <c r="A75" s="73" t="s">
        <v>14</v>
      </c>
      <c r="B75" s="73" t="s">
        <v>17</v>
      </c>
      <c r="C75" s="73"/>
      <c r="D75" s="67">
        <v>0.0</v>
      </c>
      <c r="O75" s="14"/>
      <c r="P75" s="14"/>
      <c r="Q75" s="14"/>
      <c r="R75" s="14"/>
    </row>
    <row r="76" ht="12.75" customHeight="1">
      <c r="A76" s="73" t="s">
        <v>14</v>
      </c>
      <c r="B76" s="73" t="s">
        <v>17</v>
      </c>
      <c r="C76" s="73"/>
      <c r="D76" s="67">
        <v>0.0</v>
      </c>
      <c r="O76" s="14"/>
      <c r="P76" s="14"/>
      <c r="Q76" s="14"/>
      <c r="R76" s="14"/>
    </row>
    <row r="77" ht="12.75" customHeight="1">
      <c r="A77" s="73" t="s">
        <v>14</v>
      </c>
      <c r="B77" s="73" t="s">
        <v>17</v>
      </c>
      <c r="C77" s="73"/>
      <c r="D77" s="67">
        <v>-83406.29999999999</v>
      </c>
      <c r="O77" s="14"/>
      <c r="P77" s="14"/>
      <c r="Q77" s="14"/>
      <c r="R77" s="14"/>
    </row>
    <row r="78" ht="12.75" customHeight="1">
      <c r="A78" s="73" t="s">
        <v>14</v>
      </c>
      <c r="B78" s="73" t="s">
        <v>17</v>
      </c>
      <c r="C78" s="73"/>
      <c r="D78" s="67">
        <v>60032.2</v>
      </c>
      <c r="O78" s="14"/>
      <c r="P78" s="14"/>
      <c r="Q78" s="14"/>
      <c r="R78" s="14"/>
    </row>
    <row r="79" ht="12.75" customHeight="1">
      <c r="A79" s="73" t="s">
        <v>14</v>
      </c>
      <c r="B79" s="73" t="s">
        <v>17</v>
      </c>
      <c r="C79" s="73"/>
      <c r="D79" s="67">
        <v>54382.399999999994</v>
      </c>
      <c r="O79" s="14"/>
      <c r="P79" s="14"/>
      <c r="Q79" s="14"/>
      <c r="R79" s="14"/>
    </row>
    <row r="80" ht="12.75" customHeight="1">
      <c r="A80" s="73" t="s">
        <v>14</v>
      </c>
      <c r="B80" s="73" t="s">
        <v>17</v>
      </c>
      <c r="C80" s="73"/>
      <c r="D80" s="67">
        <v>20319.6</v>
      </c>
      <c r="O80" s="14"/>
      <c r="P80" s="14"/>
      <c r="Q80" s="14"/>
      <c r="R80" s="14"/>
    </row>
    <row r="81" ht="12.75" customHeight="1">
      <c r="A81" s="73" t="s">
        <v>14</v>
      </c>
      <c r="B81" s="73" t="s">
        <v>17</v>
      </c>
      <c r="C81" s="73"/>
      <c r="D81" s="67">
        <v>91233.2</v>
      </c>
      <c r="O81" s="14"/>
      <c r="P81" s="14"/>
      <c r="Q81" s="14"/>
      <c r="R81" s="14"/>
    </row>
    <row r="82" ht="12.75" customHeight="1">
      <c r="A82" s="73" t="s">
        <v>14</v>
      </c>
      <c r="B82" s="73" t="s">
        <v>17</v>
      </c>
      <c r="C82" s="73"/>
      <c r="D82" s="67">
        <v>59261.399999999994</v>
      </c>
      <c r="O82" s="14"/>
      <c r="P82" s="14"/>
      <c r="Q82" s="14"/>
      <c r="R82" s="14"/>
    </row>
    <row r="83" ht="12.75" customHeight="1">
      <c r="A83" s="73" t="s">
        <v>14</v>
      </c>
      <c r="B83" s="73" t="s">
        <v>17</v>
      </c>
      <c r="C83" s="73"/>
      <c r="D83" s="67">
        <v>28507.3</v>
      </c>
      <c r="O83" s="14"/>
      <c r="P83" s="14"/>
      <c r="Q83" s="14"/>
      <c r="R83" s="14"/>
    </row>
    <row r="84" ht="12.75" customHeight="1">
      <c r="A84" s="73" t="s">
        <v>14</v>
      </c>
      <c r="B84" s="73" t="s">
        <v>17</v>
      </c>
      <c r="C84" s="73"/>
      <c r="D84" s="67">
        <v>6994.599999999999</v>
      </c>
      <c r="O84" s="14"/>
      <c r="P84" s="14"/>
      <c r="Q84" s="14"/>
      <c r="R84" s="14"/>
    </row>
    <row r="85" ht="12.75" customHeight="1">
      <c r="A85" s="73" t="s">
        <v>14</v>
      </c>
      <c r="B85" s="73" t="s">
        <v>17</v>
      </c>
      <c r="C85" s="73"/>
      <c r="D85" s="67">
        <v>2800.2999999999997</v>
      </c>
      <c r="O85" s="14"/>
      <c r="P85" s="14"/>
      <c r="Q85" s="14"/>
      <c r="R85" s="14"/>
    </row>
    <row r="86" ht="12.75" customHeight="1">
      <c r="A86" s="73" t="s">
        <v>14</v>
      </c>
      <c r="B86" s="73" t="s">
        <v>17</v>
      </c>
      <c r="C86" s="73"/>
      <c r="D86" s="67">
        <v>578.0999999999999</v>
      </c>
      <c r="O86" s="14"/>
      <c r="P86" s="14"/>
      <c r="Q86" s="14"/>
      <c r="R86" s="14"/>
    </row>
    <row r="87" ht="12.75" customHeight="1">
      <c r="A87" s="74" t="s">
        <v>14</v>
      </c>
      <c r="B87" s="74" t="s">
        <v>17</v>
      </c>
      <c r="C87" s="74"/>
      <c r="D87" s="75">
        <v>533.0</v>
      </c>
      <c r="O87" s="14"/>
      <c r="P87" s="14"/>
      <c r="Q87" s="14"/>
      <c r="R87" s="14"/>
    </row>
    <row r="88" ht="12.75" customHeight="1">
      <c r="A88" s="14"/>
      <c r="B88" s="14"/>
      <c r="C88" s="14"/>
      <c r="D88" s="14"/>
      <c r="O88" s="14"/>
      <c r="P88" s="14"/>
      <c r="Q88" s="14"/>
      <c r="R88" s="14"/>
    </row>
    <row r="89" ht="12.75" customHeight="1">
      <c r="A89" s="14"/>
      <c r="B89" s="14"/>
      <c r="C89" s="14"/>
      <c r="D89" s="14"/>
      <c r="O89" s="14"/>
      <c r="P89" s="14"/>
      <c r="Q89" s="14"/>
      <c r="R89" s="14"/>
    </row>
    <row r="90" ht="12.75" customHeight="1">
      <c r="A90" s="14"/>
      <c r="B90" s="14"/>
      <c r="C90" s="14"/>
      <c r="D90" s="14"/>
      <c r="O90" s="14"/>
      <c r="P90" s="14"/>
      <c r="Q90" s="14"/>
      <c r="R90" s="14"/>
    </row>
    <row r="91" ht="12.75" customHeight="1">
      <c r="A91" s="14"/>
      <c r="B91" s="14"/>
      <c r="C91" s="14"/>
      <c r="D91" s="14"/>
      <c r="O91" s="14"/>
      <c r="P91" s="14"/>
      <c r="Q91" s="14"/>
      <c r="R91" s="14"/>
    </row>
    <row r="92" ht="12.75" customHeight="1">
      <c r="A92" s="14"/>
      <c r="B92" s="14"/>
      <c r="C92" s="14"/>
      <c r="D92" s="14"/>
      <c r="O92" s="14"/>
      <c r="P92" s="14"/>
      <c r="Q92" s="14"/>
      <c r="R92" s="14"/>
    </row>
    <row r="93" ht="12.75" customHeight="1">
      <c r="A93" s="14"/>
      <c r="B93" s="14"/>
      <c r="C93" s="14"/>
      <c r="D93" s="14"/>
      <c r="O93" s="14"/>
      <c r="P93" s="14"/>
      <c r="Q93" s="14"/>
      <c r="R93" s="14"/>
    </row>
    <row r="94" ht="12.75" customHeight="1">
      <c r="A94" s="14"/>
      <c r="B94" s="14"/>
      <c r="C94" s="14"/>
      <c r="D94" s="14"/>
      <c r="O94" s="14"/>
      <c r="P94" s="14"/>
      <c r="Q94" s="14"/>
      <c r="R94" s="14"/>
    </row>
    <row r="95" ht="12.75" customHeight="1">
      <c r="A95" s="14"/>
      <c r="B95" s="14"/>
      <c r="C95" s="14"/>
      <c r="D95" s="14"/>
      <c r="O95" s="14"/>
      <c r="P95" s="14"/>
      <c r="Q95" s="14"/>
      <c r="R95" s="14"/>
    </row>
    <row r="96" ht="12.75" customHeight="1">
      <c r="A96" s="14"/>
      <c r="B96" s="14"/>
      <c r="C96" s="14"/>
      <c r="D96" s="14"/>
      <c r="O96" s="14"/>
      <c r="P96" s="14"/>
      <c r="Q96" s="14"/>
      <c r="R96" s="14"/>
    </row>
    <row r="97" ht="12.75" customHeight="1">
      <c r="A97" s="14"/>
      <c r="B97" s="14"/>
      <c r="C97" s="14"/>
      <c r="D97" s="14"/>
      <c r="O97" s="14"/>
      <c r="P97" s="14"/>
      <c r="Q97" s="14"/>
      <c r="R97" s="14"/>
    </row>
    <row r="98" ht="12.75" customHeight="1">
      <c r="A98" s="14"/>
      <c r="B98" s="14"/>
      <c r="C98" s="14"/>
      <c r="D98" s="14"/>
      <c r="O98" s="14"/>
      <c r="P98" s="14"/>
      <c r="Q98" s="14"/>
      <c r="R98" s="14"/>
    </row>
    <row r="99" ht="12.75" customHeight="1">
      <c r="A99" s="14"/>
      <c r="B99" s="14"/>
      <c r="C99" s="14"/>
      <c r="D99" s="14"/>
      <c r="O99" s="14"/>
      <c r="P99" s="14"/>
      <c r="Q99" s="14"/>
      <c r="R99" s="14"/>
    </row>
    <row r="100" ht="12.75" customHeight="1">
      <c r="A100" s="14"/>
      <c r="B100" s="14"/>
      <c r="C100" s="14"/>
      <c r="D100" s="14"/>
      <c r="O100" s="14"/>
      <c r="P100" s="14"/>
      <c r="Q100" s="14"/>
      <c r="R100" s="14"/>
    </row>
    <row r="101" ht="12.75" customHeight="1">
      <c r="A101" s="14"/>
      <c r="B101" s="14"/>
      <c r="C101" s="14"/>
      <c r="D101" s="14"/>
      <c r="O101" s="14"/>
      <c r="P101" s="14"/>
      <c r="Q101" s="14"/>
      <c r="R101" s="14"/>
    </row>
    <row r="102" ht="12.75" customHeight="1">
      <c r="A102" s="14"/>
      <c r="B102" s="14"/>
      <c r="C102" s="14"/>
      <c r="D102" s="14"/>
      <c r="O102" s="14"/>
      <c r="P102" s="14"/>
      <c r="Q102" s="14"/>
      <c r="R102" s="14"/>
    </row>
    <row r="103" ht="12.75" customHeight="1">
      <c r="A103" s="14"/>
      <c r="B103" s="14"/>
      <c r="C103" s="14"/>
      <c r="D103" s="14"/>
      <c r="O103" s="14"/>
      <c r="P103" s="14"/>
      <c r="Q103" s="14"/>
      <c r="R103" s="14"/>
    </row>
    <row r="104" ht="12.75" customHeight="1">
      <c r="A104" s="14"/>
      <c r="B104" s="14"/>
      <c r="C104" s="14"/>
      <c r="D104" s="14"/>
      <c r="O104" s="14"/>
      <c r="P104" s="14"/>
      <c r="Q104" s="14"/>
      <c r="R104" s="14"/>
    </row>
    <row r="105" ht="12.75" customHeight="1">
      <c r="A105" s="14"/>
      <c r="B105" s="14"/>
      <c r="C105" s="14"/>
      <c r="D105" s="14"/>
      <c r="O105" s="14"/>
      <c r="P105" s="14"/>
      <c r="Q105" s="14"/>
      <c r="R105" s="14"/>
    </row>
    <row r="106" ht="12.75" customHeight="1">
      <c r="A106" s="14"/>
      <c r="B106" s="14"/>
      <c r="C106" s="14"/>
      <c r="D106" s="14"/>
      <c r="O106" s="14"/>
      <c r="P106" s="14"/>
      <c r="Q106" s="14"/>
      <c r="R106" s="14"/>
    </row>
    <row r="107" ht="12.75" customHeight="1">
      <c r="A107" s="14"/>
      <c r="B107" s="14"/>
      <c r="C107" s="14"/>
      <c r="D107" s="14"/>
      <c r="O107" s="14"/>
      <c r="P107" s="14"/>
      <c r="Q107" s="14"/>
      <c r="R107" s="14"/>
    </row>
    <row r="108" ht="12.75" customHeight="1">
      <c r="A108" s="14"/>
      <c r="B108" s="14"/>
      <c r="C108" s="14"/>
      <c r="D108" s="14"/>
      <c r="O108" s="14"/>
      <c r="P108" s="14"/>
      <c r="Q108" s="14"/>
      <c r="R108" s="14"/>
    </row>
    <row r="109" ht="12.75" customHeight="1">
      <c r="A109" s="14"/>
      <c r="B109" s="14"/>
      <c r="C109" s="14"/>
      <c r="D109" s="14"/>
      <c r="O109" s="14"/>
      <c r="P109" s="14"/>
      <c r="Q109" s="14"/>
      <c r="R109" s="14"/>
    </row>
    <row r="110" ht="12.75" customHeight="1">
      <c r="A110" s="14"/>
      <c r="B110" s="14"/>
      <c r="C110" s="14"/>
      <c r="D110" s="14"/>
      <c r="O110" s="14"/>
      <c r="P110" s="14"/>
      <c r="Q110" s="14"/>
      <c r="R110" s="14"/>
    </row>
    <row r="111" ht="12.75" customHeight="1">
      <c r="A111" s="14"/>
      <c r="B111" s="14"/>
      <c r="C111" s="14"/>
      <c r="D111" s="14"/>
      <c r="O111" s="14"/>
      <c r="P111" s="14"/>
      <c r="Q111" s="14"/>
      <c r="R111" s="14"/>
    </row>
    <row r="112" ht="12.75" customHeight="1">
      <c r="A112" s="14"/>
      <c r="B112" s="14"/>
      <c r="C112" s="14"/>
      <c r="D112" s="14"/>
      <c r="O112" s="14"/>
      <c r="P112" s="14"/>
      <c r="Q112" s="14"/>
      <c r="R112" s="14"/>
    </row>
    <row r="113" ht="12.75" customHeight="1">
      <c r="A113" s="14"/>
      <c r="B113" s="14"/>
      <c r="C113" s="14"/>
      <c r="D113" s="14"/>
      <c r="O113" s="14"/>
      <c r="P113" s="14"/>
      <c r="Q113" s="14"/>
      <c r="R113" s="14"/>
    </row>
    <row r="114" ht="12.75" customHeight="1">
      <c r="A114" s="14"/>
      <c r="B114" s="14"/>
      <c r="C114" s="14"/>
      <c r="D114" s="14"/>
      <c r="O114" s="14"/>
      <c r="P114" s="14"/>
      <c r="Q114" s="14"/>
      <c r="R114" s="14"/>
    </row>
    <row r="115" ht="12.75" customHeight="1">
      <c r="A115" s="14"/>
      <c r="B115" s="14"/>
      <c r="C115" s="14"/>
      <c r="D115" s="14"/>
      <c r="O115" s="14"/>
      <c r="P115" s="14"/>
      <c r="Q115" s="14"/>
      <c r="R115" s="14"/>
    </row>
    <row r="116" ht="12.75" customHeight="1">
      <c r="A116" s="14"/>
      <c r="B116" s="14"/>
      <c r="C116" s="14"/>
      <c r="D116" s="14"/>
      <c r="O116" s="14"/>
      <c r="P116" s="14"/>
      <c r="Q116" s="14"/>
      <c r="R116" s="14"/>
    </row>
    <row r="117" ht="12.75" customHeight="1">
      <c r="A117" s="14"/>
      <c r="B117" s="14"/>
      <c r="C117" s="14"/>
      <c r="D117" s="14"/>
      <c r="O117" s="14"/>
      <c r="P117" s="14"/>
      <c r="Q117" s="14"/>
      <c r="R117" s="14"/>
    </row>
    <row r="118" ht="12.75" customHeight="1">
      <c r="A118" s="14"/>
      <c r="B118" s="14"/>
      <c r="C118" s="14"/>
      <c r="D118" s="14"/>
      <c r="O118" s="14"/>
      <c r="P118" s="14"/>
      <c r="Q118" s="14"/>
      <c r="R118" s="14"/>
    </row>
    <row r="119" ht="12.75" customHeight="1">
      <c r="A119" s="14"/>
      <c r="B119" s="14"/>
      <c r="C119" s="14"/>
      <c r="D119" s="14"/>
      <c r="O119" s="14"/>
      <c r="P119" s="14"/>
      <c r="Q119" s="14"/>
      <c r="R119" s="14"/>
    </row>
    <row r="120" ht="12.75" customHeight="1">
      <c r="A120" s="14"/>
      <c r="B120" s="14"/>
      <c r="C120" s="14"/>
      <c r="D120" s="14"/>
      <c r="O120" s="14"/>
      <c r="P120" s="14"/>
      <c r="Q120" s="14"/>
      <c r="R120" s="14"/>
    </row>
    <row r="121" ht="12.75" customHeight="1">
      <c r="A121" s="14"/>
      <c r="B121" s="14"/>
      <c r="C121" s="14"/>
      <c r="D121" s="14"/>
      <c r="O121" s="14"/>
      <c r="P121" s="14"/>
      <c r="Q121" s="14"/>
      <c r="R121" s="14"/>
    </row>
    <row r="122" ht="12.75" customHeight="1">
      <c r="A122" s="14"/>
      <c r="B122" s="14"/>
      <c r="C122" s="14"/>
      <c r="D122" s="14"/>
      <c r="O122" s="14"/>
      <c r="P122" s="14"/>
      <c r="Q122" s="14"/>
      <c r="R122" s="14"/>
    </row>
    <row r="123" ht="12.75" customHeight="1">
      <c r="A123" s="14"/>
      <c r="B123" s="14"/>
      <c r="C123" s="14"/>
      <c r="D123" s="14"/>
      <c r="O123" s="14"/>
      <c r="P123" s="14"/>
      <c r="Q123" s="14"/>
      <c r="R123" s="14"/>
    </row>
    <row r="124" ht="12.75" customHeight="1">
      <c r="A124" s="14"/>
      <c r="B124" s="14"/>
      <c r="C124" s="14"/>
      <c r="D124" s="14"/>
      <c r="O124" s="14"/>
      <c r="P124" s="14"/>
      <c r="Q124" s="14"/>
      <c r="R124" s="14"/>
    </row>
    <row r="125" ht="12.75" customHeight="1">
      <c r="A125" s="14"/>
      <c r="B125" s="14"/>
      <c r="C125" s="14"/>
      <c r="D125" s="14"/>
      <c r="O125" s="14"/>
      <c r="P125" s="14"/>
      <c r="Q125" s="14"/>
      <c r="R125" s="14"/>
    </row>
    <row r="126" ht="12.75" customHeight="1">
      <c r="A126" s="14"/>
      <c r="B126" s="14"/>
      <c r="C126" s="14"/>
      <c r="D126" s="14"/>
      <c r="O126" s="14"/>
      <c r="P126" s="14"/>
      <c r="Q126" s="14"/>
      <c r="R126" s="14"/>
    </row>
    <row r="127" ht="12.75" customHeight="1">
      <c r="A127" s="14"/>
      <c r="B127" s="14"/>
      <c r="C127" s="14"/>
      <c r="D127" s="14"/>
      <c r="O127" s="14"/>
      <c r="P127" s="14"/>
      <c r="Q127" s="14"/>
      <c r="R127" s="14"/>
    </row>
    <row r="128" ht="12.75" customHeight="1">
      <c r="A128" s="14"/>
      <c r="B128" s="14"/>
      <c r="C128" s="14"/>
      <c r="D128" s="14"/>
      <c r="O128" s="14"/>
      <c r="P128" s="14"/>
      <c r="Q128" s="14"/>
      <c r="R128" s="14"/>
    </row>
    <row r="129" ht="12.75" customHeight="1">
      <c r="A129" s="14"/>
      <c r="B129" s="14"/>
      <c r="C129" s="14"/>
      <c r="D129" s="14"/>
      <c r="O129" s="14"/>
      <c r="P129" s="14"/>
      <c r="Q129" s="14"/>
      <c r="R129" s="14"/>
    </row>
    <row r="130" ht="12.75" customHeight="1">
      <c r="A130" s="14"/>
      <c r="B130" s="14"/>
      <c r="C130" s="14"/>
      <c r="D130" s="14"/>
      <c r="O130" s="14"/>
      <c r="P130" s="14"/>
      <c r="Q130" s="14"/>
      <c r="R130" s="14"/>
    </row>
    <row r="131" ht="12.75" customHeight="1">
      <c r="A131" s="14"/>
      <c r="B131" s="14"/>
      <c r="C131" s="14"/>
      <c r="D131" s="14"/>
      <c r="O131" s="14"/>
      <c r="P131" s="14"/>
      <c r="Q131" s="14"/>
      <c r="R131" s="14"/>
    </row>
    <row r="132" ht="12.75" customHeight="1">
      <c r="A132" s="14"/>
      <c r="B132" s="14"/>
      <c r="C132" s="14"/>
      <c r="D132" s="14"/>
      <c r="O132" s="14"/>
      <c r="P132" s="14"/>
      <c r="Q132" s="14"/>
      <c r="R132" s="14"/>
    </row>
    <row r="133" ht="12.75" customHeight="1">
      <c r="A133" s="14"/>
      <c r="B133" s="14"/>
      <c r="C133" s="14"/>
      <c r="D133" s="14"/>
      <c r="O133" s="14"/>
      <c r="P133" s="14"/>
      <c r="Q133" s="14"/>
      <c r="R133" s="14"/>
    </row>
    <row r="134" ht="12.75" customHeight="1">
      <c r="A134" s="14"/>
      <c r="B134" s="14"/>
      <c r="C134" s="14"/>
      <c r="D134" s="14"/>
      <c r="O134" s="14"/>
      <c r="P134" s="14"/>
      <c r="Q134" s="14"/>
      <c r="R134" s="14"/>
    </row>
    <row r="135" ht="12.75" customHeight="1">
      <c r="A135" s="14"/>
      <c r="B135" s="14"/>
      <c r="C135" s="14"/>
      <c r="D135" s="14"/>
      <c r="O135" s="14"/>
      <c r="P135" s="14"/>
      <c r="Q135" s="14"/>
      <c r="R135" s="14"/>
    </row>
    <row r="136" ht="12.75" customHeight="1">
      <c r="A136" s="14"/>
      <c r="B136" s="14"/>
      <c r="C136" s="14"/>
      <c r="D136" s="14"/>
      <c r="O136" s="14"/>
      <c r="P136" s="14"/>
      <c r="Q136" s="14"/>
      <c r="R136" s="14"/>
    </row>
    <row r="137" ht="12.75" customHeight="1">
      <c r="A137" s="14"/>
      <c r="B137" s="14"/>
      <c r="C137" s="14"/>
      <c r="D137" s="14"/>
      <c r="O137" s="14"/>
      <c r="P137" s="14"/>
      <c r="Q137" s="14"/>
      <c r="R137" s="14"/>
    </row>
    <row r="138" ht="12.75" customHeight="1">
      <c r="A138" s="14"/>
      <c r="B138" s="14"/>
      <c r="C138" s="14"/>
      <c r="D138" s="14"/>
      <c r="O138" s="14"/>
      <c r="P138" s="14"/>
      <c r="Q138" s="14"/>
      <c r="R138" s="14"/>
    </row>
    <row r="139" ht="12.75" customHeight="1">
      <c r="A139" s="14"/>
      <c r="B139" s="14"/>
      <c r="C139" s="14"/>
      <c r="D139" s="14"/>
      <c r="O139" s="14"/>
      <c r="P139" s="14"/>
      <c r="Q139" s="14"/>
      <c r="R139" s="14"/>
    </row>
    <row r="140" ht="12.75" customHeight="1">
      <c r="A140" s="14"/>
      <c r="B140" s="14"/>
      <c r="C140" s="14"/>
      <c r="D140" s="14"/>
      <c r="O140" s="14"/>
      <c r="P140" s="14"/>
      <c r="Q140" s="14"/>
      <c r="R140" s="14"/>
    </row>
    <row r="141" ht="12.75" customHeight="1">
      <c r="A141" s="14"/>
      <c r="B141" s="14"/>
      <c r="C141" s="14"/>
      <c r="D141" s="14"/>
      <c r="O141" s="14"/>
      <c r="P141" s="14"/>
      <c r="Q141" s="14"/>
      <c r="R141" s="14"/>
    </row>
    <row r="142" ht="12.75" customHeight="1">
      <c r="A142" s="14"/>
      <c r="B142" s="14"/>
      <c r="C142" s="14"/>
      <c r="D142" s="14"/>
      <c r="O142" s="14"/>
      <c r="P142" s="14"/>
      <c r="Q142" s="14"/>
      <c r="R142" s="14"/>
    </row>
    <row r="143" ht="12.75" customHeight="1">
      <c r="A143" s="14"/>
      <c r="B143" s="14"/>
      <c r="C143" s="14"/>
      <c r="D143" s="14"/>
      <c r="O143" s="14"/>
      <c r="P143" s="14"/>
      <c r="Q143" s="14"/>
      <c r="R143" s="14"/>
    </row>
    <row r="144" ht="12.75" customHeight="1">
      <c r="A144" s="14"/>
      <c r="B144" s="14"/>
      <c r="C144" s="14"/>
      <c r="D144" s="14"/>
      <c r="O144" s="14"/>
      <c r="P144" s="14"/>
      <c r="Q144" s="14"/>
      <c r="R144" s="14"/>
    </row>
    <row r="145" ht="12.75" customHeight="1">
      <c r="A145" s="14"/>
      <c r="B145" s="14"/>
      <c r="C145" s="14"/>
      <c r="D145" s="14"/>
      <c r="O145" s="14"/>
      <c r="P145" s="14"/>
      <c r="Q145" s="14"/>
      <c r="R145" s="14"/>
    </row>
    <row r="146" ht="12.75" customHeight="1">
      <c r="A146" s="14"/>
      <c r="B146" s="14"/>
      <c r="C146" s="14"/>
      <c r="D146" s="14"/>
      <c r="O146" s="14"/>
      <c r="P146" s="14"/>
      <c r="Q146" s="14"/>
      <c r="R146" s="14"/>
    </row>
    <row r="147" ht="12.75" customHeight="1">
      <c r="A147" s="14"/>
      <c r="B147" s="14"/>
      <c r="C147" s="14"/>
      <c r="D147" s="14"/>
      <c r="O147" s="14"/>
      <c r="P147" s="14"/>
      <c r="Q147" s="14"/>
      <c r="R147" s="14"/>
    </row>
    <row r="148" ht="12.75" customHeight="1">
      <c r="A148" s="14"/>
      <c r="B148" s="14"/>
      <c r="C148" s="14"/>
      <c r="D148" s="14"/>
      <c r="O148" s="14"/>
      <c r="P148" s="14"/>
      <c r="Q148" s="14"/>
      <c r="R148" s="14"/>
    </row>
    <row r="149" ht="12.75" customHeight="1">
      <c r="A149" s="14"/>
      <c r="B149" s="14"/>
      <c r="C149" s="14"/>
      <c r="D149" s="14"/>
      <c r="O149" s="14"/>
      <c r="P149" s="14"/>
      <c r="Q149" s="14"/>
      <c r="R149" s="14"/>
    </row>
    <row r="150" ht="12.75" customHeight="1">
      <c r="A150" s="14"/>
      <c r="B150" s="14"/>
      <c r="C150" s="14"/>
      <c r="D150" s="14"/>
      <c r="O150" s="14"/>
      <c r="P150" s="14"/>
      <c r="Q150" s="14"/>
      <c r="R150" s="14"/>
    </row>
    <row r="151" ht="12.75" customHeight="1">
      <c r="A151" s="14"/>
      <c r="B151" s="14"/>
      <c r="C151" s="14"/>
      <c r="D151" s="14"/>
      <c r="O151" s="14"/>
      <c r="P151" s="14"/>
      <c r="Q151" s="14"/>
      <c r="R151" s="14"/>
    </row>
    <row r="152" ht="12.75" customHeight="1">
      <c r="A152" s="14"/>
      <c r="B152" s="14"/>
      <c r="C152" s="14"/>
      <c r="D152" s="14"/>
      <c r="O152" s="14"/>
      <c r="P152" s="14"/>
      <c r="Q152" s="14"/>
      <c r="R152" s="14"/>
    </row>
    <row r="153" ht="12.75" customHeight="1">
      <c r="A153" s="14"/>
      <c r="B153" s="14"/>
      <c r="C153" s="14"/>
      <c r="D153" s="14"/>
      <c r="O153" s="14"/>
      <c r="P153" s="14"/>
      <c r="Q153" s="14"/>
      <c r="R153" s="14"/>
    </row>
    <row r="154" ht="12.75" customHeight="1">
      <c r="A154" s="14"/>
      <c r="B154" s="14"/>
      <c r="C154" s="14"/>
      <c r="D154" s="14"/>
      <c r="O154" s="14"/>
      <c r="P154" s="14"/>
      <c r="Q154" s="14"/>
      <c r="R154" s="14"/>
    </row>
    <row r="155" ht="12.75" customHeight="1">
      <c r="A155" s="14"/>
      <c r="B155" s="14"/>
      <c r="C155" s="14"/>
      <c r="D155" s="14"/>
      <c r="O155" s="14"/>
      <c r="P155" s="14"/>
      <c r="Q155" s="14"/>
      <c r="R155" s="14"/>
    </row>
    <row r="156" ht="12.75" customHeight="1">
      <c r="A156" s="14"/>
      <c r="B156" s="14"/>
      <c r="C156" s="14"/>
      <c r="D156" s="14"/>
      <c r="O156" s="14"/>
      <c r="P156" s="14"/>
      <c r="Q156" s="14"/>
      <c r="R156" s="14"/>
    </row>
    <row r="157" ht="12.75" customHeight="1">
      <c r="A157" s="14"/>
      <c r="B157" s="14"/>
      <c r="C157" s="14"/>
      <c r="D157" s="14"/>
      <c r="O157" s="14"/>
      <c r="P157" s="14"/>
      <c r="Q157" s="14"/>
      <c r="R157" s="14"/>
    </row>
    <row r="158" ht="12.75" customHeight="1">
      <c r="A158" s="14"/>
      <c r="B158" s="14"/>
      <c r="C158" s="14"/>
      <c r="D158" s="14"/>
      <c r="O158" s="14"/>
      <c r="P158" s="14"/>
      <c r="Q158" s="14"/>
      <c r="R158" s="14"/>
    </row>
    <row r="159" ht="12.75" customHeight="1">
      <c r="A159" s="14"/>
      <c r="B159" s="14"/>
      <c r="C159" s="14"/>
      <c r="D159" s="14"/>
      <c r="O159" s="14"/>
      <c r="P159" s="14"/>
      <c r="Q159" s="14"/>
      <c r="R159" s="14"/>
    </row>
    <row r="160" ht="12.75" customHeight="1">
      <c r="A160" s="14"/>
      <c r="B160" s="14"/>
      <c r="C160" s="14"/>
      <c r="D160" s="14"/>
      <c r="O160" s="14"/>
      <c r="P160" s="14"/>
      <c r="Q160" s="14"/>
      <c r="R160" s="14"/>
    </row>
    <row r="161" ht="12.75" customHeight="1">
      <c r="A161" s="14"/>
      <c r="B161" s="14"/>
      <c r="C161" s="14"/>
      <c r="D161" s="14"/>
      <c r="O161" s="14"/>
      <c r="P161" s="14"/>
      <c r="Q161" s="14"/>
      <c r="R161" s="14"/>
    </row>
    <row r="162" ht="12.75" customHeight="1">
      <c r="A162" s="14"/>
      <c r="B162" s="14"/>
      <c r="C162" s="14"/>
      <c r="D162" s="14"/>
      <c r="O162" s="14"/>
      <c r="P162" s="14"/>
      <c r="Q162" s="14"/>
      <c r="R162" s="14"/>
    </row>
    <row r="163" ht="12.75" customHeight="1">
      <c r="A163" s="14"/>
      <c r="B163" s="14"/>
      <c r="C163" s="14"/>
      <c r="D163" s="14"/>
      <c r="O163" s="14"/>
      <c r="P163" s="14"/>
      <c r="Q163" s="14"/>
      <c r="R163" s="14"/>
    </row>
    <row r="164" ht="12.75" customHeight="1">
      <c r="A164" s="14"/>
      <c r="B164" s="14"/>
      <c r="C164" s="14"/>
      <c r="D164" s="14"/>
      <c r="O164" s="14"/>
      <c r="P164" s="14"/>
      <c r="Q164" s="14"/>
      <c r="R164" s="14"/>
    </row>
    <row r="165" ht="12.75" customHeight="1">
      <c r="A165" s="14"/>
      <c r="B165" s="14"/>
      <c r="C165" s="14"/>
      <c r="D165" s="14"/>
      <c r="O165" s="14"/>
      <c r="P165" s="14"/>
      <c r="Q165" s="14"/>
      <c r="R165" s="14"/>
    </row>
    <row r="166" ht="12.75" customHeight="1">
      <c r="A166" s="14"/>
      <c r="B166" s="14"/>
      <c r="C166" s="14"/>
      <c r="D166" s="14"/>
      <c r="O166" s="14"/>
      <c r="P166" s="14"/>
      <c r="Q166" s="14"/>
      <c r="R166" s="14"/>
    </row>
    <row r="167" ht="12.75" customHeight="1">
      <c r="A167" s="14"/>
      <c r="B167" s="14"/>
      <c r="C167" s="14"/>
      <c r="D167" s="14"/>
      <c r="O167" s="14"/>
      <c r="P167" s="14"/>
      <c r="Q167" s="14"/>
      <c r="R167" s="14"/>
    </row>
    <row r="168" ht="12.75" customHeight="1">
      <c r="A168" s="14"/>
      <c r="B168" s="14"/>
      <c r="C168" s="14"/>
      <c r="D168" s="14"/>
      <c r="O168" s="14"/>
      <c r="P168" s="14"/>
      <c r="Q168" s="14"/>
      <c r="R168" s="14"/>
    </row>
    <row r="169" ht="12.75" customHeight="1">
      <c r="A169" s="14"/>
      <c r="B169" s="14"/>
      <c r="C169" s="14"/>
      <c r="D169" s="14"/>
      <c r="O169" s="14"/>
      <c r="P169" s="14"/>
      <c r="Q169" s="14"/>
      <c r="R169" s="14"/>
    </row>
    <row r="170" ht="12.75" customHeight="1">
      <c r="A170" s="14"/>
      <c r="B170" s="14"/>
      <c r="C170" s="14"/>
      <c r="D170" s="14"/>
      <c r="O170" s="14"/>
      <c r="P170" s="14"/>
      <c r="Q170" s="14"/>
      <c r="R170" s="14"/>
    </row>
    <row r="171" ht="12.75" customHeight="1">
      <c r="A171" s="14"/>
      <c r="B171" s="14"/>
      <c r="C171" s="14"/>
      <c r="D171" s="14"/>
      <c r="O171" s="14"/>
      <c r="P171" s="14"/>
      <c r="Q171" s="14"/>
      <c r="R171" s="14"/>
    </row>
    <row r="172" ht="12.75" customHeight="1">
      <c r="A172" s="14"/>
      <c r="B172" s="14"/>
      <c r="C172" s="14"/>
      <c r="D172" s="14"/>
      <c r="O172" s="14"/>
      <c r="P172" s="14"/>
      <c r="Q172" s="14"/>
      <c r="R172" s="14"/>
    </row>
    <row r="173" ht="12.75" customHeight="1">
      <c r="A173" s="14"/>
      <c r="B173" s="14"/>
      <c r="C173" s="14"/>
      <c r="D173" s="14"/>
      <c r="O173" s="14"/>
      <c r="P173" s="14"/>
      <c r="Q173" s="14"/>
      <c r="R173" s="14"/>
    </row>
    <row r="174" ht="12.75" customHeight="1">
      <c r="A174" s="14"/>
      <c r="B174" s="14"/>
      <c r="C174" s="14"/>
      <c r="D174" s="14"/>
      <c r="O174" s="14"/>
      <c r="P174" s="14"/>
      <c r="Q174" s="14"/>
      <c r="R174" s="14"/>
    </row>
    <row r="175" ht="12.75" customHeight="1">
      <c r="A175" s="14"/>
      <c r="B175" s="14"/>
      <c r="C175" s="14"/>
      <c r="D175" s="14"/>
      <c r="O175" s="14"/>
      <c r="P175" s="14"/>
      <c r="Q175" s="14"/>
      <c r="R175" s="14"/>
    </row>
    <row r="176" ht="12.75" customHeight="1">
      <c r="A176" s="14"/>
      <c r="B176" s="14"/>
      <c r="C176" s="14"/>
      <c r="D176" s="14"/>
      <c r="O176" s="14"/>
      <c r="P176" s="14"/>
      <c r="Q176" s="14"/>
      <c r="R176" s="14"/>
    </row>
    <row r="177" ht="12.75" customHeight="1">
      <c r="A177" s="14"/>
      <c r="B177" s="14"/>
      <c r="C177" s="14"/>
      <c r="D177" s="14"/>
      <c r="O177" s="14"/>
      <c r="P177" s="14"/>
      <c r="Q177" s="14"/>
      <c r="R177" s="14"/>
    </row>
    <row r="178" ht="12.75" customHeight="1">
      <c r="A178" s="14"/>
      <c r="B178" s="14"/>
      <c r="C178" s="14"/>
      <c r="D178" s="14"/>
      <c r="O178" s="14"/>
      <c r="P178" s="14"/>
      <c r="Q178" s="14"/>
      <c r="R178" s="14"/>
    </row>
    <row r="179" ht="12.75" customHeight="1">
      <c r="A179" s="14"/>
      <c r="B179" s="14"/>
      <c r="C179" s="14"/>
      <c r="D179" s="14"/>
      <c r="O179" s="14"/>
      <c r="P179" s="14"/>
      <c r="Q179" s="14"/>
      <c r="R179" s="14"/>
    </row>
    <row r="180" ht="12.75" customHeight="1">
      <c r="A180" s="14"/>
      <c r="B180" s="14"/>
      <c r="C180" s="14"/>
      <c r="D180" s="14"/>
      <c r="O180" s="14"/>
      <c r="P180" s="14"/>
      <c r="Q180" s="14"/>
      <c r="R180" s="14"/>
    </row>
    <row r="181" ht="12.75" customHeight="1">
      <c r="A181" s="14"/>
      <c r="B181" s="14"/>
      <c r="C181" s="14"/>
      <c r="D181" s="14"/>
      <c r="O181" s="14"/>
      <c r="P181" s="14"/>
      <c r="Q181" s="14"/>
      <c r="R181" s="14"/>
    </row>
    <row r="182" ht="12.75" customHeight="1">
      <c r="A182" s="14"/>
      <c r="B182" s="14"/>
      <c r="C182" s="14"/>
      <c r="D182" s="14"/>
      <c r="O182" s="14"/>
      <c r="P182" s="14"/>
      <c r="Q182" s="14"/>
      <c r="R182" s="14"/>
    </row>
    <row r="183" ht="12.75" customHeight="1">
      <c r="A183" s="14"/>
      <c r="B183" s="14"/>
      <c r="C183" s="14"/>
      <c r="D183" s="14"/>
      <c r="O183" s="14"/>
      <c r="P183" s="14"/>
      <c r="Q183" s="14"/>
      <c r="R183" s="14"/>
    </row>
    <row r="184" ht="12.75" customHeight="1">
      <c r="A184" s="14"/>
      <c r="B184" s="14"/>
      <c r="C184" s="14"/>
      <c r="D184" s="14"/>
      <c r="O184" s="14"/>
      <c r="P184" s="14"/>
      <c r="Q184" s="14"/>
      <c r="R184" s="14"/>
    </row>
    <row r="185" ht="12.75" customHeight="1">
      <c r="A185" s="14"/>
      <c r="B185" s="14"/>
      <c r="C185" s="14"/>
      <c r="D185" s="14"/>
      <c r="O185" s="14"/>
      <c r="P185" s="14"/>
      <c r="Q185" s="14"/>
      <c r="R185" s="14"/>
    </row>
    <row r="186" ht="12.75" customHeight="1">
      <c r="A186" s="14"/>
      <c r="B186" s="14"/>
      <c r="C186" s="14"/>
      <c r="D186" s="14"/>
      <c r="O186" s="14"/>
      <c r="P186" s="14"/>
      <c r="Q186" s="14"/>
      <c r="R186" s="14"/>
    </row>
    <row r="187" ht="12.75" customHeight="1">
      <c r="A187" s="14"/>
      <c r="B187" s="14"/>
      <c r="C187" s="14"/>
      <c r="D187" s="14"/>
      <c r="O187" s="14"/>
      <c r="P187" s="14"/>
      <c r="Q187" s="14"/>
      <c r="R187" s="14"/>
    </row>
    <row r="188" ht="12.75" customHeight="1">
      <c r="A188" s="14"/>
      <c r="B188" s="14"/>
      <c r="C188" s="14"/>
      <c r="D188" s="14"/>
      <c r="O188" s="14"/>
      <c r="P188" s="14"/>
      <c r="Q188" s="14"/>
      <c r="R188" s="14"/>
    </row>
    <row r="189" ht="12.75" customHeight="1">
      <c r="A189" s="14"/>
      <c r="B189" s="14"/>
      <c r="C189" s="14"/>
      <c r="D189" s="14"/>
      <c r="O189" s="14"/>
      <c r="P189" s="14"/>
      <c r="Q189" s="14"/>
      <c r="R189" s="14"/>
    </row>
    <row r="190" ht="12.75" customHeight="1">
      <c r="A190" s="14"/>
      <c r="B190" s="14"/>
      <c r="C190" s="14"/>
      <c r="D190" s="14"/>
      <c r="O190" s="14"/>
      <c r="P190" s="14"/>
      <c r="Q190" s="14"/>
      <c r="R190" s="14"/>
    </row>
    <row r="191" ht="12.75" customHeight="1">
      <c r="A191" s="14"/>
      <c r="B191" s="14"/>
      <c r="C191" s="14"/>
      <c r="D191" s="14"/>
      <c r="O191" s="14"/>
      <c r="P191" s="14"/>
      <c r="Q191" s="14"/>
      <c r="R191" s="14"/>
    </row>
    <row r="192" ht="12.75" customHeight="1">
      <c r="A192" s="14"/>
      <c r="B192" s="14"/>
      <c r="C192" s="14"/>
      <c r="D192" s="14"/>
      <c r="O192" s="14"/>
      <c r="P192" s="14"/>
      <c r="Q192" s="14"/>
      <c r="R192" s="14"/>
    </row>
    <row r="193" ht="12.75" customHeight="1">
      <c r="A193" s="14"/>
      <c r="B193" s="14"/>
      <c r="C193" s="14"/>
      <c r="D193" s="14"/>
      <c r="O193" s="14"/>
      <c r="P193" s="14"/>
      <c r="Q193" s="14"/>
      <c r="R193" s="14"/>
    </row>
    <row r="194" ht="12.75" customHeight="1">
      <c r="A194" s="14"/>
      <c r="B194" s="14"/>
      <c r="C194" s="14"/>
      <c r="D194" s="14"/>
      <c r="O194" s="14"/>
      <c r="P194" s="14"/>
      <c r="Q194" s="14"/>
      <c r="R194" s="14"/>
    </row>
    <row r="195" ht="12.75" customHeight="1">
      <c r="A195" s="14"/>
      <c r="B195" s="14"/>
      <c r="C195" s="14"/>
      <c r="D195" s="14"/>
      <c r="O195" s="14"/>
      <c r="P195" s="14"/>
      <c r="Q195" s="14"/>
      <c r="R195" s="14"/>
    </row>
    <row r="196" ht="12.75" customHeight="1">
      <c r="A196" s="14"/>
      <c r="B196" s="14"/>
      <c r="C196" s="14"/>
      <c r="D196" s="14"/>
      <c r="O196" s="14"/>
      <c r="P196" s="14"/>
      <c r="Q196" s="14"/>
      <c r="R196" s="14"/>
    </row>
    <row r="197" ht="12.75" customHeight="1">
      <c r="A197" s="14"/>
      <c r="B197" s="14"/>
      <c r="C197" s="14"/>
      <c r="D197" s="14"/>
      <c r="O197" s="14"/>
      <c r="P197" s="14"/>
      <c r="Q197" s="14"/>
      <c r="R197" s="14"/>
    </row>
    <row r="198" ht="12.75" customHeight="1">
      <c r="A198" s="14"/>
      <c r="B198" s="14"/>
      <c r="C198" s="14"/>
      <c r="D198" s="14"/>
      <c r="O198" s="14"/>
      <c r="P198" s="14"/>
      <c r="Q198" s="14"/>
      <c r="R198" s="14"/>
    </row>
    <row r="199" ht="12.75" customHeight="1">
      <c r="A199" s="14"/>
      <c r="B199" s="14"/>
      <c r="C199" s="14"/>
      <c r="D199" s="14"/>
      <c r="O199" s="14"/>
      <c r="P199" s="14"/>
      <c r="Q199" s="14"/>
      <c r="R199" s="14"/>
    </row>
    <row r="200" ht="12.75" customHeight="1">
      <c r="A200" s="14"/>
      <c r="B200" s="14"/>
      <c r="C200" s="14"/>
      <c r="D200" s="14"/>
      <c r="O200" s="14"/>
      <c r="P200" s="14"/>
      <c r="Q200" s="14"/>
      <c r="R200" s="14"/>
    </row>
    <row r="201" ht="12.75" customHeight="1">
      <c r="A201" s="14"/>
      <c r="B201" s="14"/>
      <c r="C201" s="14"/>
      <c r="D201" s="14"/>
      <c r="O201" s="14"/>
      <c r="P201" s="14"/>
      <c r="Q201" s="14"/>
      <c r="R201" s="14"/>
    </row>
    <row r="202" ht="12.75" customHeight="1">
      <c r="A202" s="14"/>
      <c r="B202" s="14"/>
      <c r="C202" s="14"/>
      <c r="D202" s="14"/>
      <c r="O202" s="14"/>
      <c r="P202" s="14"/>
      <c r="Q202" s="14"/>
      <c r="R202" s="14"/>
    </row>
    <row r="203" ht="12.75" customHeight="1">
      <c r="A203" s="14"/>
      <c r="B203" s="14"/>
      <c r="C203" s="14"/>
      <c r="D203" s="14"/>
      <c r="O203" s="14"/>
      <c r="P203" s="14"/>
      <c r="Q203" s="14"/>
      <c r="R203" s="14"/>
    </row>
    <row r="204" ht="12.75" customHeight="1">
      <c r="A204" s="14"/>
      <c r="B204" s="14"/>
      <c r="C204" s="14"/>
      <c r="D204" s="14"/>
      <c r="O204" s="14"/>
      <c r="P204" s="14"/>
      <c r="Q204" s="14"/>
      <c r="R204" s="14"/>
    </row>
    <row r="205" ht="12.75" customHeight="1">
      <c r="A205" s="14"/>
      <c r="B205" s="14"/>
      <c r="C205" s="14"/>
      <c r="D205" s="14"/>
      <c r="O205" s="14"/>
      <c r="P205" s="14"/>
      <c r="Q205" s="14"/>
      <c r="R205" s="14"/>
    </row>
    <row r="206" ht="12.75" customHeight="1">
      <c r="A206" s="14"/>
      <c r="B206" s="14"/>
      <c r="C206" s="14"/>
      <c r="D206" s="14"/>
      <c r="O206" s="14"/>
      <c r="P206" s="14"/>
      <c r="Q206" s="14"/>
      <c r="R206" s="14"/>
    </row>
    <row r="207" ht="12.75" customHeight="1">
      <c r="A207" s="14"/>
      <c r="B207" s="14"/>
      <c r="C207" s="14"/>
      <c r="D207" s="14"/>
      <c r="O207" s="14"/>
      <c r="P207" s="14"/>
      <c r="Q207" s="14"/>
      <c r="R207" s="14"/>
    </row>
    <row r="208" ht="12.75" customHeight="1">
      <c r="A208" s="14"/>
      <c r="B208" s="14"/>
      <c r="C208" s="14"/>
      <c r="D208" s="14"/>
      <c r="O208" s="14"/>
      <c r="P208" s="14"/>
      <c r="Q208" s="14"/>
      <c r="R208" s="14"/>
    </row>
    <row r="209" ht="12.75" customHeight="1">
      <c r="A209" s="14"/>
      <c r="B209" s="14"/>
      <c r="C209" s="14"/>
      <c r="D209" s="14"/>
      <c r="O209" s="14"/>
      <c r="P209" s="14"/>
      <c r="Q209" s="14"/>
      <c r="R209" s="14"/>
    </row>
    <row r="210" ht="12.75" customHeight="1">
      <c r="A210" s="14"/>
      <c r="B210" s="14"/>
      <c r="C210" s="14"/>
      <c r="D210" s="14"/>
      <c r="O210" s="14"/>
      <c r="P210" s="14"/>
      <c r="Q210" s="14"/>
      <c r="R210" s="14"/>
    </row>
    <row r="211" ht="12.75" customHeight="1">
      <c r="A211" s="14"/>
      <c r="B211" s="14"/>
      <c r="C211" s="14"/>
      <c r="D211" s="14"/>
      <c r="O211" s="14"/>
      <c r="P211" s="14"/>
      <c r="Q211" s="14"/>
      <c r="R211" s="14"/>
    </row>
    <row r="212" ht="12.75" customHeight="1">
      <c r="A212" s="14"/>
      <c r="B212" s="14"/>
      <c r="C212" s="14"/>
      <c r="D212" s="14"/>
      <c r="O212" s="14"/>
      <c r="P212" s="14"/>
      <c r="Q212" s="14"/>
      <c r="R212" s="14"/>
    </row>
    <row r="213" ht="12.75" customHeight="1">
      <c r="A213" s="14"/>
      <c r="B213" s="14"/>
      <c r="C213" s="14"/>
      <c r="D213" s="14"/>
      <c r="O213" s="14"/>
      <c r="P213" s="14"/>
      <c r="Q213" s="14"/>
      <c r="R213" s="14"/>
    </row>
    <row r="214" ht="12.75" customHeight="1">
      <c r="A214" s="14"/>
      <c r="B214" s="14"/>
      <c r="C214" s="14"/>
      <c r="D214" s="14"/>
      <c r="O214" s="14"/>
      <c r="P214" s="14"/>
      <c r="Q214" s="14"/>
      <c r="R214" s="14"/>
    </row>
    <row r="215" ht="12.75" customHeight="1">
      <c r="A215" s="14"/>
      <c r="B215" s="14"/>
      <c r="C215" s="14"/>
      <c r="D215" s="14"/>
      <c r="O215" s="14"/>
      <c r="P215" s="14"/>
      <c r="Q215" s="14"/>
      <c r="R215" s="14"/>
    </row>
    <row r="216" ht="12.75" customHeight="1">
      <c r="A216" s="14"/>
      <c r="B216" s="14"/>
      <c r="C216" s="14"/>
      <c r="D216" s="14"/>
      <c r="O216" s="14"/>
      <c r="P216" s="14"/>
      <c r="Q216" s="14"/>
      <c r="R216" s="14"/>
    </row>
    <row r="217" ht="12.75" customHeight="1">
      <c r="A217" s="14"/>
      <c r="B217" s="14"/>
      <c r="C217" s="14"/>
      <c r="D217" s="14"/>
      <c r="O217" s="14"/>
      <c r="P217" s="14"/>
      <c r="Q217" s="14"/>
      <c r="R217" s="14"/>
    </row>
    <row r="218" ht="12.75" customHeight="1">
      <c r="A218" s="14"/>
      <c r="B218" s="14"/>
      <c r="C218" s="14"/>
      <c r="D218" s="14"/>
      <c r="O218" s="14"/>
      <c r="P218" s="14"/>
      <c r="Q218" s="14"/>
      <c r="R218" s="14"/>
    </row>
    <row r="219" ht="12.75" customHeight="1">
      <c r="A219" s="14"/>
      <c r="B219" s="14"/>
      <c r="C219" s="14"/>
      <c r="D219" s="14"/>
      <c r="O219" s="14"/>
      <c r="P219" s="14"/>
      <c r="Q219" s="14"/>
      <c r="R219" s="14"/>
    </row>
    <row r="220" ht="12.75" customHeight="1">
      <c r="A220" s="14"/>
      <c r="B220" s="14"/>
      <c r="C220" s="14"/>
      <c r="D220" s="14"/>
      <c r="O220" s="14"/>
      <c r="P220" s="14"/>
      <c r="Q220" s="14"/>
      <c r="R220" s="14"/>
    </row>
    <row r="221" ht="12.75" customHeight="1">
      <c r="A221" s="14"/>
      <c r="B221" s="14"/>
      <c r="C221" s="14"/>
      <c r="D221" s="14"/>
      <c r="O221" s="14"/>
      <c r="P221" s="14"/>
      <c r="Q221" s="14"/>
      <c r="R221" s="14"/>
    </row>
    <row r="222" ht="12.75" customHeight="1">
      <c r="A222" s="14"/>
      <c r="B222" s="14"/>
      <c r="C222" s="14"/>
      <c r="D222" s="14"/>
      <c r="O222" s="14"/>
      <c r="P222" s="14"/>
      <c r="Q222" s="14"/>
      <c r="R222" s="14"/>
    </row>
    <row r="223" ht="12.75" customHeight="1">
      <c r="A223" s="14"/>
      <c r="B223" s="14"/>
      <c r="C223" s="14"/>
      <c r="D223" s="14"/>
      <c r="O223" s="14"/>
      <c r="P223" s="14"/>
      <c r="Q223" s="14"/>
      <c r="R223" s="14"/>
    </row>
    <row r="224" ht="12.75" customHeight="1">
      <c r="A224" s="14"/>
      <c r="B224" s="14"/>
      <c r="C224" s="14"/>
      <c r="D224" s="14"/>
      <c r="O224" s="14"/>
      <c r="P224" s="14"/>
      <c r="Q224" s="14"/>
      <c r="R224" s="14"/>
    </row>
    <row r="225" ht="12.75" customHeight="1">
      <c r="A225" s="14"/>
      <c r="B225" s="14"/>
      <c r="C225" s="14"/>
      <c r="D225" s="14"/>
      <c r="O225" s="14"/>
      <c r="P225" s="14"/>
      <c r="Q225" s="14"/>
      <c r="R225" s="14"/>
    </row>
    <row r="226" ht="12.75" customHeight="1">
      <c r="A226" s="14"/>
      <c r="B226" s="14"/>
      <c r="C226" s="14"/>
      <c r="D226" s="14"/>
      <c r="O226" s="14"/>
      <c r="P226" s="14"/>
      <c r="Q226" s="14"/>
      <c r="R226" s="14"/>
    </row>
    <row r="227" ht="12.75" customHeight="1">
      <c r="A227" s="14"/>
      <c r="B227" s="14"/>
      <c r="C227" s="14"/>
      <c r="D227" s="14"/>
      <c r="O227" s="14"/>
      <c r="P227" s="14"/>
      <c r="Q227" s="14"/>
      <c r="R227" s="14"/>
    </row>
    <row r="228" ht="12.75" customHeight="1">
      <c r="A228" s="14"/>
      <c r="B228" s="14"/>
      <c r="C228" s="14"/>
      <c r="D228" s="14"/>
      <c r="O228" s="14"/>
      <c r="P228" s="14"/>
      <c r="Q228" s="14"/>
      <c r="R228" s="14"/>
    </row>
    <row r="229" ht="12.75" customHeight="1">
      <c r="A229" s="14"/>
      <c r="B229" s="14"/>
      <c r="C229" s="14"/>
      <c r="D229" s="14"/>
      <c r="O229" s="14"/>
      <c r="P229" s="14"/>
      <c r="Q229" s="14"/>
      <c r="R229" s="14"/>
    </row>
    <row r="230" ht="12.75" customHeight="1">
      <c r="A230" s="14"/>
      <c r="B230" s="14"/>
      <c r="C230" s="14"/>
      <c r="D230" s="14"/>
      <c r="O230" s="14"/>
      <c r="P230" s="14"/>
      <c r="Q230" s="14"/>
      <c r="R230" s="14"/>
    </row>
    <row r="231" ht="12.75" customHeight="1">
      <c r="A231" s="14"/>
      <c r="B231" s="14"/>
      <c r="C231" s="14"/>
      <c r="D231" s="14"/>
      <c r="O231" s="14"/>
      <c r="P231" s="14"/>
      <c r="Q231" s="14"/>
      <c r="R231" s="14"/>
    </row>
    <row r="232" ht="12.75" customHeight="1">
      <c r="A232" s="14"/>
      <c r="B232" s="14"/>
      <c r="C232" s="14"/>
      <c r="D232" s="14"/>
      <c r="O232" s="14"/>
      <c r="P232" s="14"/>
      <c r="Q232" s="14"/>
      <c r="R232" s="14"/>
    </row>
    <row r="233" ht="12.75" customHeight="1">
      <c r="A233" s="14"/>
      <c r="B233" s="14"/>
      <c r="C233" s="14"/>
      <c r="D233" s="14"/>
      <c r="O233" s="14"/>
      <c r="P233" s="14"/>
      <c r="Q233" s="14"/>
      <c r="R233" s="14"/>
    </row>
    <row r="234" ht="12.75" customHeight="1">
      <c r="A234" s="14"/>
      <c r="B234" s="14"/>
      <c r="C234" s="14"/>
      <c r="D234" s="14"/>
      <c r="O234" s="14"/>
      <c r="P234" s="14"/>
      <c r="Q234" s="14"/>
      <c r="R234" s="14"/>
    </row>
    <row r="235" ht="12.75" customHeight="1">
      <c r="A235" s="14"/>
      <c r="B235" s="14"/>
      <c r="C235" s="14"/>
      <c r="D235" s="14"/>
      <c r="O235" s="14"/>
      <c r="P235" s="14"/>
      <c r="Q235" s="14"/>
      <c r="R235" s="14"/>
    </row>
    <row r="236" ht="12.75" customHeight="1">
      <c r="A236" s="14"/>
      <c r="B236" s="14"/>
      <c r="C236" s="14"/>
      <c r="D236" s="14"/>
      <c r="O236" s="14"/>
      <c r="P236" s="14"/>
      <c r="Q236" s="14"/>
      <c r="R236" s="14"/>
    </row>
    <row r="237" ht="12.75" customHeight="1">
      <c r="A237" s="14"/>
      <c r="B237" s="14"/>
      <c r="C237" s="14"/>
      <c r="D237" s="14"/>
      <c r="O237" s="14"/>
      <c r="P237" s="14"/>
      <c r="Q237" s="14"/>
      <c r="R237" s="14"/>
    </row>
    <row r="238" ht="12.75" customHeight="1">
      <c r="A238" s="14"/>
      <c r="B238" s="14"/>
      <c r="C238" s="14"/>
      <c r="D238" s="14"/>
      <c r="O238" s="14"/>
      <c r="P238" s="14"/>
      <c r="Q238" s="14"/>
      <c r="R238" s="14"/>
    </row>
    <row r="239" ht="12.75" customHeight="1">
      <c r="A239" s="14"/>
      <c r="B239" s="14"/>
      <c r="C239" s="14"/>
      <c r="D239" s="14"/>
      <c r="O239" s="14"/>
      <c r="P239" s="14"/>
      <c r="Q239" s="14"/>
      <c r="R239" s="14"/>
    </row>
    <row r="240" ht="12.75" customHeight="1">
      <c r="A240" s="14"/>
      <c r="B240" s="14"/>
      <c r="C240" s="14"/>
      <c r="D240" s="14"/>
      <c r="O240" s="14"/>
      <c r="P240" s="14"/>
      <c r="Q240" s="14"/>
      <c r="R240" s="14"/>
    </row>
    <row r="241" ht="12.75" customHeight="1">
      <c r="A241" s="14"/>
      <c r="B241" s="14"/>
      <c r="C241" s="14"/>
      <c r="D241" s="14"/>
      <c r="O241" s="14"/>
      <c r="P241" s="14"/>
      <c r="Q241" s="14"/>
      <c r="R241" s="14"/>
    </row>
    <row r="242" ht="12.75" customHeight="1">
      <c r="A242" s="14"/>
      <c r="B242" s="14"/>
      <c r="C242" s="14"/>
      <c r="D242" s="14"/>
      <c r="O242" s="14"/>
      <c r="P242" s="14"/>
      <c r="Q242" s="14"/>
      <c r="R242" s="14"/>
    </row>
    <row r="243" ht="12.75" customHeight="1">
      <c r="A243" s="14"/>
      <c r="B243" s="14"/>
      <c r="C243" s="14"/>
      <c r="D243" s="14"/>
      <c r="O243" s="14"/>
      <c r="P243" s="14"/>
      <c r="Q243" s="14"/>
      <c r="R243" s="14"/>
    </row>
    <row r="244" ht="12.75" customHeight="1">
      <c r="A244" s="14"/>
      <c r="B244" s="14"/>
      <c r="C244" s="14"/>
      <c r="D244" s="14"/>
      <c r="O244" s="14"/>
      <c r="P244" s="14"/>
      <c r="Q244" s="14"/>
      <c r="R244" s="14"/>
    </row>
    <row r="245" ht="12.75" customHeight="1">
      <c r="A245" s="14"/>
      <c r="B245" s="14"/>
      <c r="C245" s="14"/>
      <c r="D245" s="14"/>
      <c r="O245" s="14"/>
      <c r="P245" s="14"/>
      <c r="Q245" s="14"/>
      <c r="R245" s="14"/>
    </row>
    <row r="246" ht="12.75" customHeight="1">
      <c r="A246" s="14"/>
      <c r="B246" s="14"/>
      <c r="C246" s="14"/>
      <c r="D246" s="14"/>
      <c r="O246" s="14"/>
      <c r="P246" s="14"/>
      <c r="Q246" s="14"/>
      <c r="R246" s="14"/>
    </row>
    <row r="247" ht="12.75" customHeight="1">
      <c r="A247" s="14"/>
      <c r="B247" s="14"/>
      <c r="C247" s="14"/>
      <c r="D247" s="14"/>
      <c r="O247" s="14"/>
      <c r="P247" s="14"/>
      <c r="Q247" s="14"/>
      <c r="R247" s="14"/>
    </row>
    <row r="248" ht="12.75" customHeight="1">
      <c r="A248" s="14"/>
      <c r="B248" s="14"/>
      <c r="C248" s="14"/>
      <c r="D248" s="14"/>
      <c r="O248" s="14"/>
      <c r="P248" s="14"/>
      <c r="Q248" s="14"/>
      <c r="R248" s="14"/>
    </row>
    <row r="249" ht="12.75" customHeight="1">
      <c r="A249" s="14"/>
      <c r="B249" s="14"/>
      <c r="C249" s="14"/>
      <c r="D249" s="14"/>
      <c r="O249" s="14"/>
      <c r="P249" s="14"/>
      <c r="Q249" s="14"/>
      <c r="R249" s="14"/>
    </row>
    <row r="250" ht="12.75" customHeight="1">
      <c r="A250" s="14"/>
      <c r="B250" s="14"/>
      <c r="C250" s="14"/>
      <c r="D250" s="14"/>
      <c r="O250" s="14"/>
      <c r="P250" s="14"/>
      <c r="Q250" s="14"/>
      <c r="R250" s="14"/>
    </row>
    <row r="251" ht="12.75" customHeight="1">
      <c r="A251" s="14"/>
      <c r="B251" s="14"/>
      <c r="C251" s="14"/>
      <c r="D251" s="14"/>
      <c r="O251" s="14"/>
      <c r="P251" s="14"/>
      <c r="Q251" s="14"/>
      <c r="R251" s="14"/>
    </row>
    <row r="252" ht="12.75" customHeight="1">
      <c r="A252" s="14"/>
      <c r="B252" s="14"/>
      <c r="C252" s="14"/>
      <c r="D252" s="14"/>
      <c r="O252" s="14"/>
      <c r="P252" s="14"/>
      <c r="Q252" s="14"/>
      <c r="R252" s="14"/>
    </row>
    <row r="253" ht="12.75" customHeight="1">
      <c r="A253" s="14"/>
      <c r="B253" s="14"/>
      <c r="C253" s="14"/>
      <c r="D253" s="14"/>
      <c r="O253" s="14"/>
      <c r="P253" s="14"/>
      <c r="Q253" s="14"/>
      <c r="R253" s="14"/>
    </row>
    <row r="254" ht="12.75" customHeight="1">
      <c r="A254" s="14"/>
      <c r="B254" s="14"/>
      <c r="C254" s="14"/>
      <c r="D254" s="14"/>
      <c r="O254" s="14"/>
      <c r="P254" s="14"/>
      <c r="Q254" s="14"/>
      <c r="R254" s="14"/>
    </row>
    <row r="255" ht="12.75" customHeight="1">
      <c r="A255" s="14"/>
      <c r="B255" s="14"/>
      <c r="C255" s="14"/>
      <c r="D255" s="14"/>
      <c r="O255" s="14"/>
      <c r="P255" s="14"/>
      <c r="Q255" s="14"/>
      <c r="R255" s="14"/>
    </row>
    <row r="256" ht="12.75" customHeight="1">
      <c r="A256" s="14"/>
      <c r="B256" s="14"/>
      <c r="C256" s="14"/>
      <c r="D256" s="14"/>
      <c r="O256" s="14"/>
      <c r="P256" s="14"/>
      <c r="Q256" s="14"/>
      <c r="R256" s="14"/>
    </row>
    <row r="257" ht="12.75" customHeight="1">
      <c r="A257" s="14"/>
      <c r="B257" s="14"/>
      <c r="C257" s="14"/>
      <c r="D257" s="14"/>
      <c r="O257" s="14"/>
      <c r="P257" s="14"/>
      <c r="Q257" s="14"/>
      <c r="R257" s="14"/>
    </row>
    <row r="258" ht="12.75" customHeight="1">
      <c r="A258" s="14"/>
      <c r="B258" s="14"/>
      <c r="C258" s="14"/>
      <c r="D258" s="14"/>
      <c r="O258" s="14"/>
      <c r="P258" s="14"/>
      <c r="Q258" s="14"/>
      <c r="R258" s="14"/>
    </row>
    <row r="259" ht="12.75" customHeight="1">
      <c r="A259" s="14"/>
      <c r="B259" s="14"/>
      <c r="C259" s="14"/>
      <c r="D259" s="14"/>
      <c r="O259" s="14"/>
      <c r="P259" s="14"/>
      <c r="Q259" s="14"/>
      <c r="R259" s="14"/>
    </row>
    <row r="260" ht="12.75" customHeight="1">
      <c r="A260" s="14"/>
      <c r="B260" s="14"/>
      <c r="C260" s="14"/>
      <c r="D260" s="14"/>
      <c r="O260" s="14"/>
      <c r="P260" s="14"/>
      <c r="Q260" s="14"/>
      <c r="R260" s="14"/>
    </row>
    <row r="261" ht="12.75" customHeight="1">
      <c r="A261" s="14"/>
      <c r="B261" s="14"/>
      <c r="C261" s="14"/>
      <c r="D261" s="14"/>
      <c r="O261" s="14"/>
      <c r="P261" s="14"/>
      <c r="Q261" s="14"/>
      <c r="R261" s="14"/>
    </row>
    <row r="262" ht="12.75" customHeight="1">
      <c r="A262" s="14"/>
      <c r="B262" s="14"/>
      <c r="C262" s="14"/>
      <c r="D262" s="14"/>
      <c r="O262" s="14"/>
      <c r="P262" s="14"/>
      <c r="Q262" s="14"/>
      <c r="R262" s="14"/>
    </row>
    <row r="263" ht="12.75" customHeight="1">
      <c r="A263" s="14"/>
      <c r="B263" s="14"/>
      <c r="C263" s="14"/>
      <c r="D263" s="14"/>
      <c r="O263" s="14"/>
      <c r="P263" s="14"/>
      <c r="Q263" s="14"/>
      <c r="R263" s="14"/>
    </row>
    <row r="264" ht="12.75" customHeight="1">
      <c r="A264" s="14"/>
      <c r="B264" s="14"/>
      <c r="C264" s="14"/>
      <c r="D264" s="14"/>
      <c r="O264" s="14"/>
      <c r="P264" s="14"/>
      <c r="Q264" s="14"/>
      <c r="R264" s="14"/>
    </row>
    <row r="265" ht="12.75" customHeight="1">
      <c r="A265" s="14"/>
      <c r="B265" s="14"/>
      <c r="C265" s="14"/>
      <c r="D265" s="14"/>
      <c r="O265" s="14"/>
      <c r="P265" s="14"/>
      <c r="Q265" s="14"/>
      <c r="R265" s="14"/>
    </row>
    <row r="266" ht="12.75" customHeight="1">
      <c r="A266" s="14"/>
      <c r="B266" s="14"/>
      <c r="C266" s="14"/>
      <c r="D266" s="14"/>
      <c r="O266" s="14"/>
      <c r="P266" s="14"/>
      <c r="Q266" s="14"/>
      <c r="R266" s="14"/>
    </row>
    <row r="267" ht="12.75" customHeight="1">
      <c r="A267" s="14"/>
      <c r="B267" s="14"/>
      <c r="C267" s="14"/>
      <c r="D267" s="14"/>
      <c r="O267" s="14"/>
      <c r="P267" s="14"/>
      <c r="Q267" s="14"/>
      <c r="R267" s="14"/>
    </row>
    <row r="268" ht="12.75" customHeight="1">
      <c r="A268" s="14"/>
      <c r="B268" s="14"/>
      <c r="C268" s="14"/>
      <c r="D268" s="14"/>
      <c r="O268" s="14"/>
      <c r="P268" s="14"/>
      <c r="Q268" s="14"/>
      <c r="R268" s="14"/>
    </row>
    <row r="269" ht="12.75" customHeight="1">
      <c r="A269" s="14"/>
      <c r="B269" s="14"/>
      <c r="C269" s="14"/>
      <c r="D269" s="14"/>
      <c r="O269" s="14"/>
      <c r="P269" s="14"/>
      <c r="Q269" s="14"/>
      <c r="R269" s="14"/>
    </row>
    <row r="270" ht="12.75" customHeight="1">
      <c r="A270" s="14"/>
      <c r="B270" s="14"/>
      <c r="C270" s="14"/>
      <c r="D270" s="14"/>
      <c r="O270" s="14"/>
      <c r="P270" s="14"/>
      <c r="Q270" s="14"/>
      <c r="R270" s="14"/>
    </row>
    <row r="271" ht="12.75" customHeight="1">
      <c r="A271" s="14"/>
      <c r="B271" s="14"/>
      <c r="C271" s="14"/>
      <c r="D271" s="14"/>
      <c r="O271" s="14"/>
      <c r="P271" s="14"/>
      <c r="Q271" s="14"/>
      <c r="R271" s="14"/>
    </row>
    <row r="272" ht="12.75" customHeight="1">
      <c r="A272" s="14"/>
      <c r="B272" s="14"/>
      <c r="C272" s="14"/>
      <c r="D272" s="14"/>
      <c r="O272" s="14"/>
      <c r="P272" s="14"/>
      <c r="Q272" s="14"/>
      <c r="R272" s="14"/>
    </row>
    <row r="273" ht="12.75" customHeight="1">
      <c r="A273" s="14"/>
      <c r="B273" s="14"/>
      <c r="C273" s="14"/>
      <c r="D273" s="14"/>
      <c r="O273" s="14"/>
      <c r="P273" s="14"/>
      <c r="Q273" s="14"/>
      <c r="R273" s="14"/>
    </row>
    <row r="274" ht="12.75" customHeight="1">
      <c r="A274" s="14"/>
      <c r="B274" s="14"/>
      <c r="C274" s="14"/>
      <c r="D274" s="14"/>
      <c r="O274" s="14"/>
      <c r="P274" s="14"/>
      <c r="Q274" s="14"/>
      <c r="R274" s="14"/>
    </row>
    <row r="275" ht="12.75" customHeight="1">
      <c r="A275" s="14"/>
      <c r="B275" s="14"/>
      <c r="C275" s="14"/>
      <c r="D275" s="14"/>
      <c r="O275" s="14"/>
      <c r="P275" s="14"/>
      <c r="Q275" s="14"/>
      <c r="R275" s="14"/>
    </row>
    <row r="276" ht="12.75" customHeight="1">
      <c r="A276" s="14"/>
      <c r="B276" s="14"/>
      <c r="C276" s="14"/>
      <c r="D276" s="14"/>
      <c r="O276" s="14"/>
      <c r="P276" s="14"/>
      <c r="Q276" s="14"/>
      <c r="R276" s="14"/>
    </row>
    <row r="277" ht="12.75" customHeight="1">
      <c r="A277" s="14"/>
      <c r="B277" s="14"/>
      <c r="C277" s="14"/>
      <c r="D277" s="14"/>
      <c r="O277" s="14"/>
      <c r="P277" s="14"/>
      <c r="Q277" s="14"/>
      <c r="R277" s="14"/>
    </row>
    <row r="278" ht="12.75" customHeight="1">
      <c r="A278" s="14"/>
      <c r="B278" s="14"/>
      <c r="C278" s="14"/>
      <c r="D278" s="14"/>
      <c r="O278" s="14"/>
      <c r="P278" s="14"/>
      <c r="Q278" s="14"/>
      <c r="R278" s="14"/>
    </row>
    <row r="279" ht="12.75" customHeight="1">
      <c r="A279" s="14"/>
      <c r="B279" s="14"/>
      <c r="C279" s="14"/>
      <c r="D279" s="14"/>
      <c r="O279" s="14"/>
      <c r="P279" s="14"/>
      <c r="Q279" s="14"/>
      <c r="R279" s="14"/>
    </row>
    <row r="280" ht="12.75" customHeight="1">
      <c r="A280" s="14"/>
      <c r="B280" s="14"/>
      <c r="C280" s="14"/>
      <c r="D280" s="14"/>
      <c r="O280" s="14"/>
      <c r="P280" s="14"/>
      <c r="Q280" s="14"/>
      <c r="R280" s="14"/>
    </row>
    <row r="281" ht="12.75" customHeight="1">
      <c r="A281" s="14"/>
      <c r="B281" s="14"/>
      <c r="C281" s="14"/>
      <c r="D281" s="14"/>
      <c r="O281" s="14"/>
      <c r="P281" s="14"/>
      <c r="Q281" s="14"/>
      <c r="R281" s="14"/>
    </row>
    <row r="282" ht="12.75" customHeight="1">
      <c r="A282" s="14"/>
      <c r="B282" s="14"/>
      <c r="C282" s="14"/>
      <c r="D282" s="14"/>
      <c r="O282" s="14"/>
      <c r="P282" s="14"/>
      <c r="Q282" s="14"/>
      <c r="R282" s="14"/>
    </row>
    <row r="283" ht="12.75" customHeight="1">
      <c r="A283" s="14"/>
      <c r="B283" s="14"/>
      <c r="C283" s="14"/>
      <c r="D283" s="14"/>
      <c r="O283" s="14"/>
      <c r="P283" s="14"/>
      <c r="Q283" s="14"/>
      <c r="R283" s="14"/>
    </row>
    <row r="284" ht="12.75" customHeight="1">
      <c r="A284" s="14"/>
      <c r="B284" s="14"/>
      <c r="C284" s="14"/>
      <c r="D284" s="14"/>
      <c r="O284" s="14"/>
      <c r="P284" s="14"/>
      <c r="Q284" s="14"/>
      <c r="R284" s="14"/>
    </row>
    <row r="285" ht="12.75" customHeight="1">
      <c r="A285" s="14"/>
      <c r="B285" s="14"/>
      <c r="C285" s="14"/>
      <c r="D285" s="14"/>
      <c r="O285" s="14"/>
      <c r="P285" s="14"/>
      <c r="Q285" s="14"/>
      <c r="R285" s="14"/>
    </row>
    <row r="286" ht="12.75" customHeight="1">
      <c r="A286" s="14"/>
      <c r="B286" s="14"/>
      <c r="C286" s="14"/>
      <c r="D286" s="14"/>
      <c r="O286" s="14"/>
      <c r="P286" s="14"/>
      <c r="Q286" s="14"/>
      <c r="R286" s="14"/>
    </row>
    <row r="287" ht="12.75" customHeight="1">
      <c r="A287" s="14"/>
      <c r="B287" s="14"/>
      <c r="C287" s="14"/>
      <c r="D287" s="14"/>
      <c r="O287" s="14"/>
      <c r="P287" s="14"/>
      <c r="Q287" s="14"/>
      <c r="R287" s="14"/>
    </row>
    <row r="288" ht="12.75" customHeight="1">
      <c r="A288" s="14"/>
      <c r="B288" s="14"/>
      <c r="C288" s="14"/>
      <c r="D288" s="14"/>
      <c r="O288" s="14"/>
      <c r="P288" s="14"/>
      <c r="Q288" s="14"/>
      <c r="R288" s="14"/>
    </row>
    <row r="289" ht="12.75" customHeight="1">
      <c r="A289" s="14"/>
      <c r="B289" s="14"/>
      <c r="C289" s="14"/>
      <c r="D289" s="14"/>
      <c r="O289" s="14"/>
      <c r="P289" s="14"/>
      <c r="Q289" s="14"/>
      <c r="R289" s="14"/>
    </row>
    <row r="290" ht="12.75" customHeight="1">
      <c r="A290" s="14"/>
      <c r="B290" s="14"/>
      <c r="C290" s="14"/>
      <c r="D290" s="14"/>
      <c r="O290" s="14"/>
      <c r="P290" s="14"/>
      <c r="Q290" s="14"/>
      <c r="R290" s="14"/>
    </row>
    <row r="291" ht="12.75" customHeight="1">
      <c r="A291" s="14"/>
      <c r="B291" s="14"/>
      <c r="C291" s="14"/>
      <c r="D291" s="14"/>
      <c r="O291" s="14"/>
      <c r="P291" s="14"/>
      <c r="Q291" s="14"/>
      <c r="R291" s="14"/>
    </row>
    <row r="292" ht="12.75" customHeight="1">
      <c r="A292" s="14"/>
      <c r="B292" s="14"/>
      <c r="C292" s="14"/>
      <c r="D292" s="14"/>
      <c r="O292" s="14"/>
      <c r="P292" s="14"/>
      <c r="Q292" s="14"/>
      <c r="R292" s="14"/>
    </row>
    <row r="293" ht="12.75" customHeight="1">
      <c r="A293" s="14"/>
      <c r="B293" s="14"/>
      <c r="C293" s="14"/>
      <c r="D293" s="14"/>
      <c r="O293" s="14"/>
      <c r="P293" s="14"/>
      <c r="Q293" s="14"/>
      <c r="R293" s="14"/>
    </row>
    <row r="294" ht="12.75" customHeight="1">
      <c r="A294" s="14"/>
      <c r="B294" s="14"/>
      <c r="C294" s="14"/>
      <c r="D294" s="14"/>
      <c r="O294" s="14"/>
      <c r="P294" s="14"/>
      <c r="Q294" s="14"/>
      <c r="R294" s="14"/>
    </row>
    <row r="295" ht="12.75" customHeight="1">
      <c r="A295" s="14"/>
      <c r="B295" s="14"/>
      <c r="C295" s="14"/>
      <c r="D295" s="14"/>
      <c r="O295" s="14"/>
      <c r="P295" s="14"/>
      <c r="Q295" s="14"/>
      <c r="R295" s="14"/>
    </row>
    <row r="296" ht="12.75" customHeight="1">
      <c r="A296" s="14"/>
      <c r="B296" s="14"/>
      <c r="C296" s="14"/>
      <c r="D296" s="14"/>
      <c r="O296" s="14"/>
      <c r="P296" s="14"/>
      <c r="Q296" s="14"/>
      <c r="R296" s="14"/>
    </row>
    <row r="297" ht="12.75" customHeight="1">
      <c r="A297" s="14"/>
      <c r="B297" s="14"/>
      <c r="C297" s="14"/>
      <c r="D297" s="14"/>
      <c r="O297" s="14"/>
      <c r="P297" s="14"/>
      <c r="Q297" s="14"/>
      <c r="R297" s="14"/>
    </row>
    <row r="298" ht="12.75" customHeight="1">
      <c r="A298" s="14"/>
      <c r="B298" s="14"/>
      <c r="C298" s="14"/>
      <c r="D298" s="14"/>
      <c r="O298" s="14"/>
      <c r="P298" s="14"/>
      <c r="Q298" s="14"/>
      <c r="R298" s="14"/>
    </row>
    <row r="299" ht="12.75" customHeight="1">
      <c r="A299" s="14"/>
      <c r="B299" s="14"/>
      <c r="C299" s="14"/>
      <c r="D299" s="14"/>
      <c r="O299" s="14"/>
      <c r="P299" s="14"/>
      <c r="Q299" s="14"/>
      <c r="R299" s="14"/>
    </row>
    <row r="300" ht="12.75" customHeight="1">
      <c r="A300" s="14"/>
      <c r="B300" s="14"/>
      <c r="C300" s="14"/>
      <c r="D300" s="14"/>
      <c r="O300" s="14"/>
      <c r="P300" s="14"/>
      <c r="Q300" s="14"/>
      <c r="R300" s="14"/>
    </row>
    <row r="301" ht="12.75" customHeight="1">
      <c r="A301" s="14"/>
      <c r="B301" s="14"/>
      <c r="C301" s="14"/>
      <c r="D301" s="14"/>
      <c r="O301" s="14"/>
      <c r="P301" s="14"/>
      <c r="Q301" s="14"/>
      <c r="R301" s="14"/>
    </row>
    <row r="302" ht="12.75" customHeight="1">
      <c r="A302" s="14"/>
      <c r="B302" s="14"/>
      <c r="C302" s="14"/>
      <c r="D302" s="14"/>
      <c r="O302" s="14"/>
      <c r="P302" s="14"/>
      <c r="Q302" s="14"/>
      <c r="R302" s="14"/>
    </row>
    <row r="303" ht="12.75" customHeight="1">
      <c r="A303" s="14"/>
      <c r="B303" s="14"/>
      <c r="C303" s="14"/>
      <c r="D303" s="14"/>
      <c r="O303" s="14"/>
      <c r="P303" s="14"/>
      <c r="Q303" s="14"/>
      <c r="R303" s="14"/>
    </row>
    <row r="304" ht="12.75" customHeight="1">
      <c r="A304" s="14"/>
      <c r="B304" s="14"/>
      <c r="C304" s="14"/>
      <c r="D304" s="14"/>
      <c r="O304" s="14"/>
      <c r="P304" s="14"/>
      <c r="Q304" s="14"/>
      <c r="R304" s="14"/>
    </row>
    <row r="305" ht="12.75" customHeight="1">
      <c r="A305" s="14"/>
      <c r="B305" s="14"/>
      <c r="C305" s="14"/>
      <c r="D305" s="14"/>
      <c r="O305" s="14"/>
      <c r="P305" s="14"/>
      <c r="Q305" s="14"/>
      <c r="R305" s="14"/>
    </row>
    <row r="306" ht="12.75" customHeight="1">
      <c r="A306" s="14"/>
      <c r="B306" s="14"/>
      <c r="C306" s="14"/>
      <c r="D306" s="14"/>
      <c r="O306" s="14"/>
      <c r="P306" s="14"/>
      <c r="Q306" s="14"/>
      <c r="R306" s="14"/>
    </row>
    <row r="307" ht="12.75" customHeight="1">
      <c r="A307" s="14"/>
      <c r="B307" s="14"/>
      <c r="C307" s="14"/>
      <c r="D307" s="14"/>
      <c r="O307" s="14"/>
      <c r="P307" s="14"/>
      <c r="Q307" s="14"/>
      <c r="R307" s="14"/>
    </row>
    <row r="308" ht="12.75" customHeight="1">
      <c r="A308" s="14"/>
      <c r="B308" s="14"/>
      <c r="C308" s="14"/>
      <c r="D308" s="14"/>
      <c r="O308" s="14"/>
      <c r="P308" s="14"/>
      <c r="Q308" s="14"/>
      <c r="R308" s="14"/>
    </row>
    <row r="309" ht="12.75" customHeight="1">
      <c r="A309" s="14"/>
      <c r="B309" s="14"/>
      <c r="C309" s="14"/>
      <c r="D309" s="14"/>
      <c r="O309" s="14"/>
      <c r="P309" s="14"/>
      <c r="Q309" s="14"/>
      <c r="R309" s="14"/>
    </row>
    <row r="310" ht="12.75" customHeight="1">
      <c r="A310" s="14"/>
      <c r="B310" s="14"/>
      <c r="C310" s="14"/>
      <c r="D310" s="14"/>
      <c r="O310" s="14"/>
      <c r="P310" s="14"/>
      <c r="Q310" s="14"/>
      <c r="R310" s="14"/>
    </row>
    <row r="311" ht="12.75" customHeight="1">
      <c r="A311" s="14"/>
      <c r="B311" s="14"/>
      <c r="C311" s="14"/>
      <c r="D311" s="14"/>
      <c r="O311" s="14"/>
      <c r="P311" s="14"/>
      <c r="Q311" s="14"/>
      <c r="R311" s="14"/>
    </row>
    <row r="312" ht="12.75" customHeight="1">
      <c r="A312" s="14"/>
      <c r="B312" s="14"/>
      <c r="C312" s="14"/>
      <c r="D312" s="14"/>
      <c r="O312" s="14"/>
      <c r="P312" s="14"/>
      <c r="Q312" s="14"/>
      <c r="R312" s="14"/>
    </row>
    <row r="313" ht="12.75" customHeight="1">
      <c r="A313" s="14"/>
      <c r="B313" s="14"/>
      <c r="C313" s="14"/>
      <c r="D313" s="14"/>
      <c r="O313" s="14"/>
      <c r="P313" s="14"/>
      <c r="Q313" s="14"/>
      <c r="R313" s="14"/>
    </row>
    <row r="314" ht="12.75" customHeight="1">
      <c r="A314" s="14"/>
      <c r="B314" s="14"/>
      <c r="C314" s="14"/>
      <c r="D314" s="14"/>
      <c r="O314" s="14"/>
      <c r="P314" s="14"/>
      <c r="Q314" s="14"/>
      <c r="R314" s="14"/>
    </row>
    <row r="315" ht="12.75" customHeight="1">
      <c r="A315" s="14"/>
      <c r="B315" s="14"/>
      <c r="C315" s="14"/>
      <c r="D315" s="14"/>
      <c r="O315" s="14"/>
      <c r="P315" s="14"/>
      <c r="Q315" s="14"/>
      <c r="R315" s="14"/>
    </row>
    <row r="316" ht="12.75" customHeight="1">
      <c r="A316" s="14"/>
      <c r="B316" s="14"/>
      <c r="C316" s="14"/>
      <c r="D316" s="14"/>
      <c r="O316" s="14"/>
      <c r="P316" s="14"/>
      <c r="Q316" s="14"/>
      <c r="R316" s="14"/>
    </row>
    <row r="317" ht="12.75" customHeight="1">
      <c r="A317" s="14"/>
      <c r="B317" s="14"/>
      <c r="C317" s="14"/>
      <c r="D317" s="14"/>
      <c r="O317" s="14"/>
      <c r="P317" s="14"/>
      <c r="Q317" s="14"/>
      <c r="R317" s="14"/>
    </row>
    <row r="318" ht="12.75" customHeight="1">
      <c r="A318" s="14"/>
      <c r="B318" s="14"/>
      <c r="C318" s="14"/>
      <c r="D318" s="14"/>
      <c r="O318" s="14"/>
      <c r="P318" s="14"/>
      <c r="Q318" s="14"/>
      <c r="R318" s="14"/>
    </row>
    <row r="319" ht="12.75" customHeight="1">
      <c r="A319" s="14"/>
      <c r="B319" s="14"/>
      <c r="C319" s="14"/>
      <c r="D319" s="14"/>
      <c r="O319" s="14"/>
      <c r="P319" s="14"/>
      <c r="Q319" s="14"/>
      <c r="R319" s="14"/>
    </row>
    <row r="320" ht="12.75" customHeight="1">
      <c r="A320" s="14"/>
      <c r="B320" s="14"/>
      <c r="C320" s="14"/>
      <c r="D320" s="14"/>
      <c r="O320" s="14"/>
      <c r="P320" s="14"/>
      <c r="Q320" s="14"/>
      <c r="R320" s="14"/>
    </row>
    <row r="321" ht="12.75" customHeight="1">
      <c r="A321" s="14"/>
      <c r="B321" s="14"/>
      <c r="C321" s="14"/>
      <c r="D321" s="14"/>
      <c r="O321" s="14"/>
      <c r="P321" s="14"/>
      <c r="Q321" s="14"/>
      <c r="R321" s="14"/>
    </row>
    <row r="322" ht="12.75" customHeight="1">
      <c r="A322" s="14"/>
      <c r="B322" s="14"/>
      <c r="C322" s="14"/>
      <c r="D322" s="14"/>
      <c r="O322" s="14"/>
      <c r="P322" s="14"/>
      <c r="Q322" s="14"/>
      <c r="R322" s="14"/>
    </row>
    <row r="323" ht="12.75" customHeight="1">
      <c r="A323" s="14"/>
      <c r="B323" s="14"/>
      <c r="C323" s="14"/>
      <c r="D323" s="14"/>
      <c r="O323" s="14"/>
      <c r="P323" s="14"/>
      <c r="Q323" s="14"/>
      <c r="R323" s="14"/>
    </row>
    <row r="324" ht="12.75" customHeight="1">
      <c r="A324" s="14"/>
      <c r="B324" s="14"/>
      <c r="C324" s="14"/>
      <c r="D324" s="14"/>
      <c r="O324" s="14"/>
      <c r="P324" s="14"/>
      <c r="Q324" s="14"/>
      <c r="R324" s="14"/>
    </row>
    <row r="325" ht="12.75" customHeight="1">
      <c r="A325" s="14"/>
      <c r="B325" s="14"/>
      <c r="C325" s="14"/>
      <c r="D325" s="14"/>
      <c r="O325" s="14"/>
      <c r="P325" s="14"/>
      <c r="Q325" s="14"/>
      <c r="R325" s="14"/>
    </row>
    <row r="326" ht="12.75" customHeight="1">
      <c r="A326" s="14"/>
      <c r="B326" s="14"/>
      <c r="C326" s="14"/>
      <c r="D326" s="14"/>
      <c r="O326" s="14"/>
      <c r="P326" s="14"/>
      <c r="Q326" s="14"/>
      <c r="R326" s="14"/>
    </row>
    <row r="327" ht="12.75" customHeight="1">
      <c r="A327" s="14"/>
      <c r="B327" s="14"/>
      <c r="C327" s="14"/>
      <c r="D327" s="14"/>
      <c r="O327" s="14"/>
      <c r="P327" s="14"/>
      <c r="Q327" s="14"/>
      <c r="R327" s="14"/>
    </row>
    <row r="328" ht="12.75" customHeight="1">
      <c r="A328" s="14"/>
      <c r="B328" s="14"/>
      <c r="C328" s="14"/>
      <c r="D328" s="14"/>
      <c r="O328" s="14"/>
      <c r="P328" s="14"/>
      <c r="Q328" s="14"/>
      <c r="R328" s="14"/>
    </row>
    <row r="329" ht="12.75" customHeight="1">
      <c r="A329" s="14"/>
      <c r="B329" s="14"/>
      <c r="C329" s="14"/>
      <c r="D329" s="14"/>
      <c r="O329" s="14"/>
      <c r="P329" s="14"/>
      <c r="Q329" s="14"/>
      <c r="R329" s="14"/>
    </row>
    <row r="330" ht="12.75" customHeight="1">
      <c r="A330" s="14"/>
      <c r="B330" s="14"/>
      <c r="C330" s="14"/>
      <c r="D330" s="14"/>
      <c r="O330" s="14"/>
      <c r="P330" s="14"/>
      <c r="Q330" s="14"/>
      <c r="R330" s="14"/>
    </row>
    <row r="331" ht="12.75" customHeight="1">
      <c r="A331" s="14"/>
      <c r="B331" s="14"/>
      <c r="C331" s="14"/>
      <c r="D331" s="14"/>
      <c r="O331" s="14"/>
      <c r="P331" s="14"/>
      <c r="Q331" s="14"/>
      <c r="R331" s="14"/>
    </row>
    <row r="332" ht="12.75" customHeight="1">
      <c r="A332" s="14"/>
      <c r="B332" s="14"/>
      <c r="C332" s="14"/>
      <c r="D332" s="14"/>
      <c r="O332" s="14"/>
      <c r="P332" s="14"/>
      <c r="Q332" s="14"/>
      <c r="R332" s="14"/>
    </row>
    <row r="333" ht="12.75" customHeight="1">
      <c r="A333" s="14"/>
      <c r="B333" s="14"/>
      <c r="C333" s="14"/>
      <c r="D333" s="14"/>
      <c r="O333" s="14"/>
      <c r="P333" s="14"/>
      <c r="Q333" s="14"/>
      <c r="R333" s="14"/>
    </row>
    <row r="334" ht="12.75" customHeight="1">
      <c r="A334" s="14"/>
      <c r="B334" s="14"/>
      <c r="C334" s="14"/>
      <c r="D334" s="14"/>
      <c r="O334" s="14"/>
      <c r="P334" s="14"/>
      <c r="Q334" s="14"/>
      <c r="R334" s="14"/>
    </row>
    <row r="335" ht="12.75" customHeight="1">
      <c r="A335" s="14"/>
      <c r="B335" s="14"/>
      <c r="C335" s="14"/>
      <c r="D335" s="14"/>
      <c r="O335" s="14"/>
      <c r="P335" s="14"/>
      <c r="Q335" s="14"/>
      <c r="R335" s="14"/>
    </row>
    <row r="336" ht="12.75" customHeight="1">
      <c r="A336" s="14"/>
      <c r="B336" s="14"/>
      <c r="C336" s="14"/>
      <c r="D336" s="14"/>
      <c r="O336" s="14"/>
      <c r="P336" s="14"/>
      <c r="Q336" s="14"/>
      <c r="R336" s="14"/>
    </row>
    <row r="337" ht="12.75" customHeight="1">
      <c r="A337" s="14"/>
      <c r="B337" s="14"/>
      <c r="C337" s="14"/>
      <c r="D337" s="14"/>
      <c r="O337" s="14"/>
      <c r="P337" s="14"/>
      <c r="Q337" s="14"/>
      <c r="R337" s="14"/>
    </row>
    <row r="338" ht="12.75" customHeight="1">
      <c r="A338" s="14"/>
      <c r="B338" s="14"/>
      <c r="C338" s="14"/>
      <c r="D338" s="14"/>
      <c r="O338" s="14"/>
      <c r="P338" s="14"/>
      <c r="Q338" s="14"/>
      <c r="R338" s="14"/>
    </row>
    <row r="339" ht="12.75" customHeight="1">
      <c r="A339" s="14"/>
      <c r="B339" s="14"/>
      <c r="C339" s="14"/>
      <c r="D339" s="14"/>
      <c r="O339" s="14"/>
      <c r="P339" s="14"/>
      <c r="Q339" s="14"/>
      <c r="R339" s="14"/>
    </row>
    <row r="340" ht="12.75" customHeight="1">
      <c r="A340" s="14"/>
      <c r="B340" s="14"/>
      <c r="C340" s="14"/>
      <c r="D340" s="14"/>
      <c r="O340" s="14"/>
      <c r="P340" s="14"/>
      <c r="Q340" s="14"/>
      <c r="R340" s="14"/>
    </row>
    <row r="341" ht="12.75" customHeight="1">
      <c r="A341" s="14"/>
      <c r="B341" s="14"/>
      <c r="C341" s="14"/>
      <c r="D341" s="14"/>
      <c r="O341" s="14"/>
      <c r="P341" s="14"/>
      <c r="Q341" s="14"/>
      <c r="R341" s="14"/>
    </row>
    <row r="342" ht="12.75" customHeight="1">
      <c r="A342" s="14"/>
      <c r="B342" s="14"/>
      <c r="C342" s="14"/>
      <c r="D342" s="14"/>
      <c r="O342" s="14"/>
      <c r="P342" s="14"/>
      <c r="Q342" s="14"/>
      <c r="R342" s="14"/>
    </row>
    <row r="343" ht="12.75" customHeight="1">
      <c r="A343" s="14"/>
      <c r="B343" s="14"/>
      <c r="C343" s="14"/>
      <c r="D343" s="14"/>
      <c r="O343" s="14"/>
      <c r="P343" s="14"/>
      <c r="Q343" s="14"/>
      <c r="R343" s="14"/>
    </row>
    <row r="344" ht="12.75" customHeight="1">
      <c r="A344" s="14"/>
      <c r="B344" s="14"/>
      <c r="C344" s="14"/>
      <c r="D344" s="14"/>
      <c r="O344" s="14"/>
      <c r="P344" s="14"/>
      <c r="Q344" s="14"/>
      <c r="R344" s="14"/>
    </row>
    <row r="345" ht="12.75" customHeight="1">
      <c r="A345" s="14"/>
      <c r="B345" s="14"/>
      <c r="C345" s="14"/>
      <c r="D345" s="14"/>
      <c r="O345" s="14"/>
      <c r="P345" s="14"/>
      <c r="Q345" s="14"/>
      <c r="R345" s="14"/>
    </row>
    <row r="346" ht="12.75" customHeight="1">
      <c r="A346" s="14"/>
      <c r="B346" s="14"/>
      <c r="C346" s="14"/>
      <c r="D346" s="14"/>
      <c r="O346" s="14"/>
      <c r="P346" s="14"/>
      <c r="Q346" s="14"/>
      <c r="R346" s="14"/>
    </row>
    <row r="347" ht="12.75" customHeight="1">
      <c r="A347" s="14"/>
      <c r="B347" s="14"/>
      <c r="C347" s="14"/>
      <c r="D347" s="14"/>
      <c r="O347" s="14"/>
      <c r="P347" s="14"/>
      <c r="Q347" s="14"/>
      <c r="R347" s="14"/>
    </row>
    <row r="348" ht="12.75" customHeight="1">
      <c r="A348" s="14"/>
      <c r="B348" s="14"/>
      <c r="C348" s="14"/>
      <c r="D348" s="14"/>
      <c r="O348" s="14"/>
      <c r="P348" s="14"/>
      <c r="Q348" s="14"/>
      <c r="R348" s="14"/>
    </row>
    <row r="349" ht="12.75" customHeight="1">
      <c r="A349" s="14"/>
      <c r="B349" s="14"/>
      <c r="C349" s="14"/>
      <c r="D349" s="14"/>
      <c r="O349" s="14"/>
      <c r="P349" s="14"/>
      <c r="Q349" s="14"/>
      <c r="R349" s="14"/>
    </row>
    <row r="350" ht="12.75" customHeight="1">
      <c r="A350" s="14"/>
      <c r="B350" s="14"/>
      <c r="C350" s="14"/>
      <c r="D350" s="14"/>
      <c r="O350" s="14"/>
      <c r="P350" s="14"/>
      <c r="Q350" s="14"/>
      <c r="R350" s="14"/>
    </row>
    <row r="351" ht="12.75" customHeight="1">
      <c r="A351" s="14"/>
      <c r="B351" s="14"/>
      <c r="C351" s="14"/>
      <c r="D351" s="14"/>
      <c r="O351" s="14"/>
      <c r="P351" s="14"/>
      <c r="Q351" s="14"/>
      <c r="R351" s="14"/>
    </row>
    <row r="352" ht="12.75" customHeight="1">
      <c r="A352" s="14"/>
      <c r="B352" s="14"/>
      <c r="C352" s="14"/>
      <c r="D352" s="14"/>
      <c r="O352" s="14"/>
      <c r="P352" s="14"/>
      <c r="Q352" s="14"/>
      <c r="R352" s="14"/>
    </row>
    <row r="353" ht="12.75" customHeight="1">
      <c r="A353" s="14"/>
      <c r="B353" s="14"/>
      <c r="C353" s="14"/>
      <c r="D353" s="14"/>
      <c r="O353" s="14"/>
      <c r="P353" s="14"/>
      <c r="Q353" s="14"/>
      <c r="R353" s="14"/>
    </row>
    <row r="354" ht="12.75" customHeight="1">
      <c r="A354" s="14"/>
      <c r="B354" s="14"/>
      <c r="C354" s="14"/>
      <c r="D354" s="14"/>
      <c r="O354" s="14"/>
      <c r="P354" s="14"/>
      <c r="Q354" s="14"/>
      <c r="R354" s="14"/>
    </row>
    <row r="355" ht="12.75" customHeight="1">
      <c r="A355" s="14"/>
      <c r="B355" s="14"/>
      <c r="C355" s="14"/>
      <c r="D355" s="14"/>
      <c r="O355" s="14"/>
      <c r="P355" s="14"/>
      <c r="Q355" s="14"/>
      <c r="R355" s="14"/>
    </row>
    <row r="356" ht="12.75" customHeight="1">
      <c r="A356" s="14"/>
      <c r="B356" s="14"/>
      <c r="C356" s="14"/>
      <c r="D356" s="14"/>
      <c r="O356" s="14"/>
      <c r="P356" s="14"/>
      <c r="Q356" s="14"/>
      <c r="R356" s="14"/>
    </row>
    <row r="357" ht="12.75" customHeight="1">
      <c r="A357" s="14"/>
      <c r="B357" s="14"/>
      <c r="C357" s="14"/>
      <c r="D357" s="14"/>
      <c r="O357" s="14"/>
      <c r="P357" s="14"/>
      <c r="Q357" s="14"/>
      <c r="R357" s="14"/>
    </row>
    <row r="358" ht="12.75" customHeight="1">
      <c r="A358" s="14"/>
      <c r="B358" s="14"/>
      <c r="C358" s="14"/>
      <c r="D358" s="14"/>
      <c r="O358" s="14"/>
      <c r="P358" s="14"/>
      <c r="Q358" s="14"/>
      <c r="R358" s="14"/>
    </row>
    <row r="359" ht="12.75" customHeight="1">
      <c r="A359" s="14"/>
      <c r="B359" s="14"/>
      <c r="C359" s="14"/>
      <c r="D359" s="14"/>
      <c r="O359" s="14"/>
      <c r="P359" s="14"/>
      <c r="Q359" s="14"/>
      <c r="R359" s="14"/>
    </row>
    <row r="360" ht="12.75" customHeight="1">
      <c r="A360" s="14"/>
      <c r="B360" s="14"/>
      <c r="C360" s="14"/>
      <c r="D360" s="14"/>
      <c r="O360" s="14"/>
      <c r="P360" s="14"/>
      <c r="Q360" s="14"/>
      <c r="R360" s="14"/>
    </row>
    <row r="361" ht="12.75" customHeight="1">
      <c r="A361" s="14"/>
      <c r="B361" s="14"/>
      <c r="C361" s="14"/>
      <c r="D361" s="14"/>
      <c r="O361" s="14"/>
      <c r="P361" s="14"/>
      <c r="Q361" s="14"/>
      <c r="R361" s="14"/>
    </row>
    <row r="362" ht="12.75" customHeight="1">
      <c r="A362" s="14"/>
      <c r="B362" s="14"/>
      <c r="C362" s="14"/>
      <c r="D362" s="14"/>
      <c r="O362" s="14"/>
      <c r="P362" s="14"/>
      <c r="Q362" s="14"/>
      <c r="R362" s="14"/>
    </row>
    <row r="363" ht="12.75" customHeight="1">
      <c r="A363" s="14"/>
      <c r="B363" s="14"/>
      <c r="C363" s="14"/>
      <c r="D363" s="14"/>
      <c r="O363" s="14"/>
      <c r="P363" s="14"/>
      <c r="Q363" s="14"/>
      <c r="R363" s="14"/>
    </row>
    <row r="364" ht="12.75" customHeight="1">
      <c r="A364" s="14"/>
      <c r="B364" s="14"/>
      <c r="C364" s="14"/>
      <c r="D364" s="14"/>
      <c r="O364" s="14"/>
      <c r="P364" s="14"/>
      <c r="Q364" s="14"/>
      <c r="R364" s="14"/>
    </row>
    <row r="365" ht="12.75" customHeight="1">
      <c r="A365" s="14"/>
      <c r="B365" s="14"/>
      <c r="C365" s="14"/>
      <c r="D365" s="14"/>
      <c r="O365" s="14"/>
      <c r="P365" s="14"/>
      <c r="Q365" s="14"/>
      <c r="R365" s="14"/>
    </row>
    <row r="366" ht="12.75" customHeight="1">
      <c r="A366" s="14"/>
      <c r="B366" s="14"/>
      <c r="C366" s="14"/>
      <c r="D366" s="14"/>
      <c r="O366" s="14"/>
      <c r="P366" s="14"/>
      <c r="Q366" s="14"/>
      <c r="R366" s="14"/>
    </row>
    <row r="367" ht="12.75" customHeight="1">
      <c r="A367" s="14"/>
      <c r="B367" s="14"/>
      <c r="C367" s="14"/>
      <c r="D367" s="14"/>
      <c r="O367" s="14"/>
      <c r="P367" s="14"/>
      <c r="Q367" s="14"/>
      <c r="R367" s="14"/>
    </row>
    <row r="368" ht="12.75" customHeight="1">
      <c r="A368" s="14"/>
      <c r="B368" s="14"/>
      <c r="C368" s="14"/>
      <c r="D368" s="14"/>
      <c r="O368" s="14"/>
      <c r="P368" s="14"/>
      <c r="Q368" s="14"/>
      <c r="R368" s="14"/>
    </row>
    <row r="369" ht="12.75" customHeight="1">
      <c r="A369" s="14"/>
      <c r="B369" s="14"/>
      <c r="C369" s="14"/>
      <c r="D369" s="14"/>
      <c r="O369" s="14"/>
      <c r="P369" s="14"/>
      <c r="Q369" s="14"/>
      <c r="R369" s="14"/>
    </row>
    <row r="370" ht="12.75" customHeight="1">
      <c r="A370" s="14"/>
      <c r="B370" s="14"/>
      <c r="C370" s="14"/>
      <c r="D370" s="14"/>
      <c r="O370" s="14"/>
      <c r="P370" s="14"/>
      <c r="Q370" s="14"/>
      <c r="R370" s="14"/>
    </row>
    <row r="371" ht="12.75" customHeight="1">
      <c r="A371" s="14"/>
      <c r="B371" s="14"/>
      <c r="C371" s="14"/>
      <c r="D371" s="14"/>
      <c r="O371" s="14"/>
      <c r="P371" s="14"/>
      <c r="Q371" s="14"/>
      <c r="R371" s="14"/>
    </row>
    <row r="372" ht="12.75" customHeight="1">
      <c r="A372" s="14"/>
      <c r="B372" s="14"/>
      <c r="C372" s="14"/>
      <c r="D372" s="14"/>
      <c r="O372" s="14"/>
      <c r="P372" s="14"/>
      <c r="Q372" s="14"/>
      <c r="R372" s="14"/>
    </row>
    <row r="373" ht="12.75" customHeight="1">
      <c r="A373" s="14"/>
      <c r="B373" s="14"/>
      <c r="C373" s="14"/>
      <c r="D373" s="14"/>
      <c r="O373" s="14"/>
      <c r="P373" s="14"/>
      <c r="Q373" s="14"/>
      <c r="R373" s="14"/>
    </row>
    <row r="374" ht="12.75" customHeight="1">
      <c r="A374" s="14"/>
      <c r="B374" s="14"/>
      <c r="C374" s="14"/>
      <c r="D374" s="14"/>
      <c r="O374" s="14"/>
      <c r="P374" s="14"/>
      <c r="Q374" s="14"/>
      <c r="R374" s="14"/>
    </row>
    <row r="375" ht="12.75" customHeight="1">
      <c r="A375" s="14"/>
      <c r="B375" s="14"/>
      <c r="C375" s="14"/>
      <c r="D375" s="14"/>
      <c r="O375" s="14"/>
      <c r="P375" s="14"/>
      <c r="Q375" s="14"/>
      <c r="R375" s="14"/>
    </row>
    <row r="376" ht="12.75" customHeight="1">
      <c r="A376" s="14"/>
      <c r="B376" s="14"/>
      <c r="C376" s="14"/>
      <c r="D376" s="14"/>
      <c r="O376" s="14"/>
      <c r="P376" s="14"/>
      <c r="Q376" s="14"/>
      <c r="R376" s="14"/>
    </row>
    <row r="377" ht="12.75" customHeight="1">
      <c r="A377" s="14"/>
      <c r="B377" s="14"/>
      <c r="C377" s="14"/>
      <c r="D377" s="14"/>
      <c r="O377" s="14"/>
      <c r="P377" s="14"/>
      <c r="Q377" s="14"/>
      <c r="R377" s="14"/>
    </row>
    <row r="378" ht="12.75" customHeight="1">
      <c r="A378" s="14"/>
      <c r="B378" s="14"/>
      <c r="C378" s="14"/>
      <c r="D378" s="14"/>
      <c r="O378" s="14"/>
      <c r="P378" s="14"/>
      <c r="Q378" s="14"/>
      <c r="R378" s="14"/>
    </row>
    <row r="379" ht="12.75" customHeight="1">
      <c r="A379" s="14"/>
      <c r="B379" s="14"/>
      <c r="C379" s="14"/>
      <c r="D379" s="14"/>
      <c r="O379" s="14"/>
      <c r="P379" s="14"/>
      <c r="Q379" s="14"/>
      <c r="R379" s="14"/>
    </row>
    <row r="380" ht="12.75" customHeight="1">
      <c r="A380" s="14"/>
      <c r="B380" s="14"/>
      <c r="C380" s="14"/>
      <c r="D380" s="14"/>
      <c r="O380" s="14"/>
      <c r="P380" s="14"/>
      <c r="Q380" s="14"/>
      <c r="R380" s="14"/>
    </row>
    <row r="381" ht="12.75" customHeight="1">
      <c r="A381" s="14"/>
      <c r="B381" s="14"/>
      <c r="C381" s="14"/>
      <c r="D381" s="14"/>
      <c r="O381" s="14"/>
      <c r="P381" s="14"/>
      <c r="Q381" s="14"/>
      <c r="R381" s="14"/>
    </row>
    <row r="382" ht="12.75" customHeight="1">
      <c r="A382" s="14"/>
      <c r="B382" s="14"/>
      <c r="C382" s="14"/>
      <c r="D382" s="14"/>
      <c r="O382" s="14"/>
      <c r="P382" s="14"/>
      <c r="Q382" s="14"/>
      <c r="R382" s="14"/>
    </row>
    <row r="383" ht="12.75" customHeight="1">
      <c r="A383" s="14"/>
      <c r="B383" s="14"/>
      <c r="C383" s="14"/>
      <c r="D383" s="14"/>
      <c r="O383" s="14"/>
      <c r="P383" s="14"/>
      <c r="Q383" s="14"/>
      <c r="R383" s="14"/>
    </row>
    <row r="384" ht="12.75" customHeight="1">
      <c r="A384" s="14"/>
      <c r="B384" s="14"/>
      <c r="C384" s="14"/>
      <c r="D384" s="14"/>
      <c r="O384" s="14"/>
      <c r="P384" s="14"/>
      <c r="Q384" s="14"/>
      <c r="R384" s="14"/>
    </row>
    <row r="385" ht="12.75" customHeight="1">
      <c r="A385" s="14"/>
      <c r="B385" s="14"/>
      <c r="C385" s="14"/>
      <c r="D385" s="14"/>
      <c r="O385" s="14"/>
      <c r="P385" s="14"/>
      <c r="Q385" s="14"/>
      <c r="R385" s="14"/>
    </row>
    <row r="386" ht="12.75" customHeight="1">
      <c r="A386" s="14"/>
      <c r="B386" s="14"/>
      <c r="C386" s="14"/>
      <c r="D386" s="14"/>
      <c r="O386" s="14"/>
      <c r="P386" s="14"/>
      <c r="Q386" s="14"/>
      <c r="R386" s="14"/>
    </row>
    <row r="387" ht="12.75" customHeight="1">
      <c r="A387" s="14"/>
      <c r="B387" s="14"/>
      <c r="C387" s="14"/>
      <c r="D387" s="14"/>
      <c r="O387" s="14"/>
      <c r="P387" s="14"/>
      <c r="Q387" s="14"/>
      <c r="R387" s="14"/>
    </row>
    <row r="388" ht="12.75" customHeight="1">
      <c r="A388" s="14"/>
      <c r="B388" s="14"/>
      <c r="C388" s="14"/>
      <c r="D388" s="14"/>
      <c r="O388" s="14"/>
      <c r="P388" s="14"/>
      <c r="Q388" s="14"/>
      <c r="R388" s="14"/>
    </row>
    <row r="389" ht="12.75" customHeight="1">
      <c r="A389" s="14"/>
      <c r="B389" s="14"/>
      <c r="C389" s="14"/>
      <c r="D389" s="14"/>
      <c r="O389" s="14"/>
      <c r="P389" s="14"/>
      <c r="Q389" s="14"/>
      <c r="R389" s="14"/>
    </row>
    <row r="390" ht="12.75" customHeight="1">
      <c r="A390" s="14"/>
      <c r="B390" s="14"/>
      <c r="C390" s="14"/>
      <c r="D390" s="14"/>
      <c r="O390" s="14"/>
      <c r="P390" s="14"/>
      <c r="Q390" s="14"/>
      <c r="R390" s="14"/>
    </row>
    <row r="391" ht="12.75" customHeight="1">
      <c r="A391" s="14"/>
      <c r="B391" s="14"/>
      <c r="C391" s="14"/>
      <c r="D391" s="14"/>
      <c r="O391" s="14"/>
      <c r="P391" s="14"/>
      <c r="Q391" s="14"/>
      <c r="R391" s="14"/>
    </row>
    <row r="392" ht="12.75" customHeight="1">
      <c r="A392" s="14"/>
      <c r="B392" s="14"/>
      <c r="C392" s="14"/>
      <c r="D392" s="14"/>
      <c r="O392" s="14"/>
      <c r="P392" s="14"/>
      <c r="Q392" s="14"/>
      <c r="R392" s="14"/>
    </row>
    <row r="393" ht="12.75" customHeight="1">
      <c r="A393" s="14"/>
      <c r="B393" s="14"/>
      <c r="C393" s="14"/>
      <c r="D393" s="14"/>
      <c r="O393" s="14"/>
      <c r="P393" s="14"/>
      <c r="Q393" s="14"/>
      <c r="R393" s="14"/>
    </row>
    <row r="394" ht="12.75" customHeight="1">
      <c r="A394" s="14"/>
      <c r="B394" s="14"/>
      <c r="C394" s="14"/>
      <c r="D394" s="14"/>
      <c r="O394" s="14"/>
      <c r="P394" s="14"/>
      <c r="Q394" s="14"/>
      <c r="R394" s="14"/>
    </row>
    <row r="395" ht="12.75" customHeight="1">
      <c r="A395" s="14"/>
      <c r="B395" s="14"/>
      <c r="C395" s="14"/>
      <c r="D395" s="14"/>
      <c r="O395" s="14"/>
      <c r="P395" s="14"/>
      <c r="Q395" s="14"/>
      <c r="R395" s="14"/>
    </row>
    <row r="396" ht="12.75" customHeight="1">
      <c r="A396" s="14"/>
      <c r="B396" s="14"/>
      <c r="C396" s="14"/>
      <c r="D396" s="14"/>
      <c r="O396" s="14"/>
      <c r="P396" s="14"/>
      <c r="Q396" s="14"/>
      <c r="R396" s="14"/>
    </row>
    <row r="397" ht="12.75" customHeight="1">
      <c r="A397" s="14"/>
      <c r="B397" s="14"/>
      <c r="C397" s="14"/>
      <c r="D397" s="14"/>
      <c r="O397" s="14"/>
      <c r="P397" s="14"/>
      <c r="Q397" s="14"/>
      <c r="R397" s="14"/>
    </row>
    <row r="398" ht="12.75" customHeight="1">
      <c r="A398" s="14"/>
      <c r="B398" s="14"/>
      <c r="C398" s="14"/>
      <c r="D398" s="14"/>
      <c r="O398" s="14"/>
      <c r="P398" s="14"/>
      <c r="Q398" s="14"/>
      <c r="R398" s="14"/>
    </row>
    <row r="399" ht="12.75" customHeight="1">
      <c r="A399" s="14"/>
      <c r="B399" s="14"/>
      <c r="C399" s="14"/>
      <c r="D399" s="14"/>
      <c r="O399" s="14"/>
      <c r="P399" s="14"/>
      <c r="Q399" s="14"/>
      <c r="R399" s="14"/>
    </row>
    <row r="400" ht="12.75" customHeight="1">
      <c r="A400" s="14"/>
      <c r="B400" s="14"/>
      <c r="C400" s="14"/>
      <c r="D400" s="14"/>
      <c r="O400" s="14"/>
      <c r="P400" s="14"/>
      <c r="Q400" s="14"/>
      <c r="R400" s="14"/>
    </row>
    <row r="401" ht="12.75" customHeight="1">
      <c r="A401" s="14"/>
      <c r="B401" s="14"/>
      <c r="C401" s="14"/>
      <c r="D401" s="14"/>
      <c r="O401" s="14"/>
      <c r="P401" s="14"/>
      <c r="Q401" s="14"/>
      <c r="R401" s="14"/>
    </row>
    <row r="402" ht="12.75" customHeight="1">
      <c r="A402" s="14"/>
      <c r="B402" s="14"/>
      <c r="C402" s="14"/>
      <c r="D402" s="14"/>
      <c r="O402" s="14"/>
      <c r="P402" s="14"/>
      <c r="Q402" s="14"/>
      <c r="R402" s="14"/>
    </row>
    <row r="403" ht="12.75" customHeight="1">
      <c r="A403" s="14"/>
      <c r="B403" s="14"/>
      <c r="C403" s="14"/>
      <c r="D403" s="14"/>
      <c r="O403" s="14"/>
      <c r="P403" s="14"/>
      <c r="Q403" s="14"/>
      <c r="R403" s="14"/>
    </row>
    <row r="404" ht="12.75" customHeight="1">
      <c r="A404" s="14"/>
      <c r="B404" s="14"/>
      <c r="C404" s="14"/>
      <c r="D404" s="14"/>
      <c r="O404" s="14"/>
      <c r="P404" s="14"/>
      <c r="Q404" s="14"/>
      <c r="R404" s="14"/>
    </row>
    <row r="405" ht="12.75" customHeight="1">
      <c r="A405" s="14"/>
      <c r="B405" s="14"/>
      <c r="C405" s="14"/>
      <c r="D405" s="14"/>
      <c r="O405" s="14"/>
      <c r="P405" s="14"/>
      <c r="Q405" s="14"/>
      <c r="R405" s="14"/>
    </row>
    <row r="406" ht="12.75" customHeight="1">
      <c r="A406" s="14"/>
      <c r="B406" s="14"/>
      <c r="C406" s="14"/>
      <c r="D406" s="14"/>
      <c r="O406" s="14"/>
      <c r="P406" s="14"/>
      <c r="Q406" s="14"/>
      <c r="R406" s="14"/>
    </row>
    <row r="407" ht="12.75" customHeight="1">
      <c r="A407" s="14"/>
      <c r="B407" s="14"/>
      <c r="C407" s="14"/>
      <c r="D407" s="14"/>
      <c r="O407" s="14"/>
      <c r="P407" s="14"/>
      <c r="Q407" s="14"/>
      <c r="R407" s="14"/>
    </row>
    <row r="408" ht="12.75" customHeight="1">
      <c r="A408" s="14"/>
      <c r="B408" s="14"/>
      <c r="C408" s="14"/>
      <c r="D408" s="14"/>
      <c r="O408" s="14"/>
      <c r="P408" s="14"/>
      <c r="Q408" s="14"/>
      <c r="R408" s="14"/>
    </row>
    <row r="409" ht="12.75" customHeight="1">
      <c r="A409" s="14"/>
      <c r="B409" s="14"/>
      <c r="C409" s="14"/>
      <c r="D409" s="14"/>
      <c r="O409" s="14"/>
      <c r="P409" s="14"/>
      <c r="Q409" s="14"/>
      <c r="R409" s="14"/>
    </row>
    <row r="410" ht="12.75" customHeight="1">
      <c r="A410" s="14"/>
      <c r="B410" s="14"/>
      <c r="C410" s="14"/>
      <c r="D410" s="14"/>
      <c r="O410" s="14"/>
      <c r="P410" s="14"/>
      <c r="Q410" s="14"/>
      <c r="R410" s="14"/>
    </row>
    <row r="411" ht="12.75" customHeight="1">
      <c r="A411" s="14"/>
      <c r="B411" s="14"/>
      <c r="C411" s="14"/>
      <c r="D411" s="14"/>
      <c r="O411" s="14"/>
      <c r="P411" s="14"/>
      <c r="Q411" s="14"/>
      <c r="R411" s="14"/>
    </row>
    <row r="412" ht="12.75" customHeight="1">
      <c r="A412" s="14"/>
      <c r="B412" s="14"/>
      <c r="C412" s="14"/>
      <c r="D412" s="14"/>
      <c r="O412" s="14"/>
      <c r="P412" s="14"/>
      <c r="Q412" s="14"/>
      <c r="R412" s="14"/>
    </row>
    <row r="413" ht="12.75" customHeight="1">
      <c r="A413" s="14"/>
      <c r="B413" s="14"/>
      <c r="C413" s="14"/>
      <c r="D413" s="14"/>
      <c r="O413" s="14"/>
      <c r="P413" s="14"/>
      <c r="Q413" s="14"/>
      <c r="R413" s="14"/>
    </row>
    <row r="414" ht="12.75" customHeight="1">
      <c r="A414" s="14"/>
      <c r="B414" s="14"/>
      <c r="C414" s="14"/>
      <c r="D414" s="14"/>
      <c r="O414" s="14"/>
      <c r="P414" s="14"/>
      <c r="Q414" s="14"/>
      <c r="R414" s="14"/>
    </row>
    <row r="415" ht="12.75" customHeight="1">
      <c r="A415" s="14"/>
      <c r="B415" s="14"/>
      <c r="C415" s="14"/>
      <c r="D415" s="14"/>
      <c r="O415" s="14"/>
      <c r="P415" s="14"/>
      <c r="Q415" s="14"/>
      <c r="R415" s="14"/>
    </row>
    <row r="416" ht="12.75" customHeight="1">
      <c r="A416" s="14"/>
      <c r="B416" s="14"/>
      <c r="C416" s="14"/>
      <c r="D416" s="14"/>
      <c r="O416" s="14"/>
      <c r="P416" s="14"/>
      <c r="Q416" s="14"/>
      <c r="R416" s="14"/>
    </row>
    <row r="417" ht="12.75" customHeight="1">
      <c r="A417" s="14"/>
      <c r="B417" s="14"/>
      <c r="C417" s="14"/>
      <c r="D417" s="14"/>
      <c r="O417" s="14"/>
      <c r="P417" s="14"/>
      <c r="Q417" s="14"/>
      <c r="R417" s="14"/>
    </row>
    <row r="418" ht="12.75" customHeight="1">
      <c r="A418" s="14"/>
      <c r="B418" s="14"/>
      <c r="C418" s="14"/>
      <c r="D418" s="14"/>
      <c r="O418" s="14"/>
      <c r="P418" s="14"/>
      <c r="Q418" s="14"/>
      <c r="R418" s="14"/>
    </row>
    <row r="419" ht="12.75" customHeight="1">
      <c r="A419" s="14"/>
      <c r="B419" s="14"/>
      <c r="C419" s="14"/>
      <c r="D419" s="14"/>
      <c r="O419" s="14"/>
      <c r="P419" s="14"/>
      <c r="Q419" s="14"/>
      <c r="R419" s="14"/>
    </row>
    <row r="420" ht="12.75" customHeight="1">
      <c r="A420" s="14"/>
      <c r="B420" s="14"/>
      <c r="C420" s="14"/>
      <c r="D420" s="14"/>
      <c r="O420" s="14"/>
      <c r="P420" s="14"/>
      <c r="Q420" s="14"/>
      <c r="R420" s="14"/>
    </row>
    <row r="421" ht="12.75" customHeight="1">
      <c r="A421" s="14"/>
      <c r="B421" s="14"/>
      <c r="C421" s="14"/>
      <c r="D421" s="14"/>
      <c r="O421" s="14"/>
      <c r="P421" s="14"/>
      <c r="Q421" s="14"/>
      <c r="R421" s="14"/>
    </row>
    <row r="422" ht="12.75" customHeight="1">
      <c r="A422" s="14"/>
      <c r="B422" s="14"/>
      <c r="C422" s="14"/>
      <c r="D422" s="14"/>
      <c r="O422" s="14"/>
      <c r="P422" s="14"/>
      <c r="Q422" s="14"/>
      <c r="R422" s="14"/>
    </row>
    <row r="423" ht="12.75" customHeight="1">
      <c r="A423" s="14"/>
      <c r="B423" s="14"/>
      <c r="C423" s="14"/>
      <c r="D423" s="14"/>
      <c r="O423" s="14"/>
      <c r="P423" s="14"/>
      <c r="Q423" s="14"/>
      <c r="R423" s="14"/>
    </row>
    <row r="424" ht="12.75" customHeight="1">
      <c r="A424" s="14"/>
      <c r="B424" s="14"/>
      <c r="C424" s="14"/>
      <c r="D424" s="14"/>
      <c r="O424" s="14"/>
      <c r="P424" s="14"/>
      <c r="Q424" s="14"/>
      <c r="R424" s="14"/>
    </row>
    <row r="425" ht="12.75" customHeight="1">
      <c r="A425" s="14"/>
      <c r="B425" s="14"/>
      <c r="C425" s="14"/>
      <c r="D425" s="14"/>
      <c r="O425" s="14"/>
      <c r="P425" s="14"/>
      <c r="Q425" s="14"/>
      <c r="R425" s="14"/>
    </row>
    <row r="426" ht="12.75" customHeight="1">
      <c r="A426" s="14"/>
      <c r="B426" s="14"/>
      <c r="C426" s="14"/>
      <c r="D426" s="14"/>
      <c r="O426" s="14"/>
      <c r="P426" s="14"/>
      <c r="Q426" s="14"/>
      <c r="R426" s="14"/>
    </row>
    <row r="427" ht="12.75" customHeight="1">
      <c r="A427" s="14"/>
      <c r="B427" s="14"/>
      <c r="C427" s="14"/>
      <c r="D427" s="14"/>
      <c r="O427" s="14"/>
      <c r="P427" s="14"/>
      <c r="Q427" s="14"/>
      <c r="R427" s="14"/>
    </row>
    <row r="428" ht="12.75" customHeight="1">
      <c r="A428" s="14"/>
      <c r="B428" s="14"/>
      <c r="C428" s="14"/>
      <c r="D428" s="14"/>
      <c r="O428" s="14"/>
      <c r="P428" s="14"/>
      <c r="Q428" s="14"/>
      <c r="R428" s="14"/>
    </row>
    <row r="429" ht="12.75" customHeight="1">
      <c r="A429" s="14"/>
      <c r="B429" s="14"/>
      <c r="C429" s="14"/>
      <c r="D429" s="14"/>
      <c r="O429" s="14"/>
      <c r="P429" s="14"/>
      <c r="Q429" s="14"/>
      <c r="R429" s="14"/>
    </row>
    <row r="430" ht="12.75" customHeight="1">
      <c r="A430" s="14"/>
      <c r="B430" s="14"/>
      <c r="C430" s="14"/>
      <c r="D430" s="14"/>
      <c r="O430" s="14"/>
      <c r="P430" s="14"/>
      <c r="Q430" s="14"/>
      <c r="R430" s="14"/>
    </row>
    <row r="431" ht="12.75" customHeight="1">
      <c r="A431" s="14"/>
      <c r="B431" s="14"/>
      <c r="C431" s="14"/>
      <c r="D431" s="14"/>
      <c r="O431" s="14"/>
      <c r="P431" s="14"/>
      <c r="Q431" s="14"/>
      <c r="R431" s="14"/>
    </row>
    <row r="432" ht="12.75" customHeight="1">
      <c r="A432" s="14"/>
      <c r="B432" s="14"/>
      <c r="C432" s="14"/>
      <c r="D432" s="14"/>
      <c r="O432" s="14"/>
      <c r="P432" s="14"/>
      <c r="Q432" s="14"/>
      <c r="R432" s="14"/>
    </row>
    <row r="433" ht="12.75" customHeight="1">
      <c r="A433" s="14"/>
      <c r="B433" s="14"/>
      <c r="C433" s="14"/>
      <c r="D433" s="14"/>
      <c r="O433" s="14"/>
      <c r="P433" s="14"/>
      <c r="Q433" s="14"/>
      <c r="R433" s="14"/>
    </row>
    <row r="434" ht="12.75" customHeight="1">
      <c r="A434" s="14"/>
      <c r="B434" s="14"/>
      <c r="C434" s="14"/>
      <c r="D434" s="14"/>
      <c r="O434" s="14"/>
      <c r="P434" s="14"/>
      <c r="Q434" s="14"/>
      <c r="R434" s="14"/>
    </row>
    <row r="435" ht="12.75" customHeight="1">
      <c r="A435" s="14"/>
      <c r="B435" s="14"/>
      <c r="C435" s="14"/>
      <c r="D435" s="14"/>
      <c r="O435" s="14"/>
      <c r="P435" s="14"/>
      <c r="Q435" s="14"/>
      <c r="R435" s="14"/>
    </row>
    <row r="436" ht="12.75" customHeight="1">
      <c r="A436" s="14"/>
      <c r="B436" s="14"/>
      <c r="C436" s="14"/>
      <c r="D436" s="14"/>
      <c r="O436" s="14"/>
      <c r="P436" s="14"/>
      <c r="Q436" s="14"/>
      <c r="R436" s="14"/>
    </row>
    <row r="437" ht="12.75" customHeight="1">
      <c r="A437" s="14"/>
      <c r="B437" s="14"/>
      <c r="C437" s="14"/>
      <c r="D437" s="14"/>
      <c r="O437" s="14"/>
      <c r="P437" s="14"/>
      <c r="Q437" s="14"/>
      <c r="R437" s="14"/>
    </row>
    <row r="438" ht="12.75" customHeight="1">
      <c r="A438" s="14"/>
      <c r="B438" s="14"/>
      <c r="C438" s="14"/>
      <c r="D438" s="14"/>
      <c r="O438" s="14"/>
      <c r="P438" s="14"/>
      <c r="Q438" s="14"/>
      <c r="R438" s="14"/>
    </row>
    <row r="439" ht="12.75" customHeight="1">
      <c r="A439" s="14"/>
      <c r="B439" s="14"/>
      <c r="C439" s="14"/>
      <c r="D439" s="14"/>
      <c r="O439" s="14"/>
      <c r="P439" s="14"/>
      <c r="Q439" s="14"/>
      <c r="R439" s="14"/>
    </row>
    <row r="440" ht="12.75" customHeight="1">
      <c r="A440" s="14"/>
      <c r="B440" s="14"/>
      <c r="C440" s="14"/>
      <c r="D440" s="14"/>
      <c r="O440" s="14"/>
      <c r="P440" s="14"/>
      <c r="Q440" s="14"/>
      <c r="R440" s="14"/>
    </row>
    <row r="441" ht="12.75" customHeight="1">
      <c r="A441" s="14"/>
      <c r="B441" s="14"/>
      <c r="C441" s="14"/>
      <c r="D441" s="14"/>
      <c r="O441" s="14"/>
      <c r="P441" s="14"/>
      <c r="Q441" s="14"/>
      <c r="R441" s="14"/>
    </row>
    <row r="442" ht="12.75" customHeight="1">
      <c r="A442" s="14"/>
      <c r="B442" s="14"/>
      <c r="C442" s="14"/>
      <c r="D442" s="14"/>
      <c r="O442" s="14"/>
      <c r="P442" s="14"/>
      <c r="Q442" s="14"/>
      <c r="R442" s="14"/>
    </row>
    <row r="443" ht="12.75" customHeight="1">
      <c r="A443" s="14"/>
      <c r="B443" s="14"/>
      <c r="C443" s="14"/>
      <c r="D443" s="14"/>
      <c r="O443" s="14"/>
      <c r="P443" s="14"/>
      <c r="Q443" s="14"/>
      <c r="R443" s="14"/>
    </row>
    <row r="444" ht="12.75" customHeight="1">
      <c r="A444" s="14"/>
      <c r="B444" s="14"/>
      <c r="C444" s="14"/>
      <c r="D444" s="14"/>
      <c r="O444" s="14"/>
      <c r="P444" s="14"/>
      <c r="Q444" s="14"/>
      <c r="R444" s="14"/>
    </row>
    <row r="445" ht="12.75" customHeight="1">
      <c r="A445" s="14"/>
      <c r="B445" s="14"/>
      <c r="C445" s="14"/>
      <c r="D445" s="14"/>
      <c r="O445" s="14"/>
      <c r="P445" s="14"/>
      <c r="Q445" s="14"/>
      <c r="R445" s="14"/>
    </row>
    <row r="446" ht="12.75" customHeight="1">
      <c r="A446" s="14"/>
      <c r="B446" s="14"/>
      <c r="C446" s="14"/>
      <c r="D446" s="14"/>
      <c r="O446" s="14"/>
      <c r="P446" s="14"/>
      <c r="Q446" s="14"/>
      <c r="R446" s="14"/>
    </row>
    <row r="447" ht="12.75" customHeight="1">
      <c r="A447" s="14"/>
      <c r="B447" s="14"/>
      <c r="C447" s="14"/>
      <c r="D447" s="14"/>
      <c r="O447" s="14"/>
      <c r="P447" s="14"/>
      <c r="Q447" s="14"/>
      <c r="R447" s="14"/>
    </row>
    <row r="448" ht="12.75" customHeight="1">
      <c r="A448" s="14"/>
      <c r="B448" s="14"/>
      <c r="C448" s="14"/>
      <c r="D448" s="14"/>
      <c r="O448" s="14"/>
      <c r="P448" s="14"/>
      <c r="Q448" s="14"/>
      <c r="R448" s="14"/>
    </row>
    <row r="449" ht="12.75" customHeight="1">
      <c r="A449" s="14"/>
      <c r="B449" s="14"/>
      <c r="C449" s="14"/>
      <c r="D449" s="14"/>
      <c r="O449" s="14"/>
      <c r="P449" s="14"/>
      <c r="Q449" s="14"/>
      <c r="R449" s="14"/>
    </row>
    <row r="450" ht="12.75" customHeight="1">
      <c r="A450" s="14"/>
      <c r="B450" s="14"/>
      <c r="C450" s="14"/>
      <c r="D450" s="14"/>
      <c r="O450" s="14"/>
      <c r="P450" s="14"/>
      <c r="Q450" s="14"/>
      <c r="R450" s="14"/>
    </row>
    <row r="451" ht="12.75" customHeight="1">
      <c r="A451" s="14"/>
      <c r="B451" s="14"/>
      <c r="C451" s="14"/>
      <c r="D451" s="14"/>
      <c r="O451" s="14"/>
      <c r="P451" s="14"/>
      <c r="Q451" s="14"/>
      <c r="R451" s="14"/>
    </row>
    <row r="452" ht="12.75" customHeight="1">
      <c r="A452" s="14"/>
      <c r="B452" s="14"/>
      <c r="C452" s="14"/>
      <c r="D452" s="14"/>
      <c r="O452" s="14"/>
      <c r="P452" s="14"/>
      <c r="Q452" s="14"/>
      <c r="R452" s="14"/>
    </row>
    <row r="453" ht="12.75" customHeight="1">
      <c r="A453" s="14"/>
      <c r="B453" s="14"/>
      <c r="C453" s="14"/>
      <c r="D453" s="14"/>
      <c r="O453" s="14"/>
      <c r="P453" s="14"/>
      <c r="Q453" s="14"/>
      <c r="R453" s="14"/>
    </row>
    <row r="454" ht="12.75" customHeight="1">
      <c r="A454" s="14"/>
      <c r="B454" s="14"/>
      <c r="C454" s="14"/>
      <c r="D454" s="14"/>
      <c r="O454" s="14"/>
      <c r="P454" s="14"/>
      <c r="Q454" s="14"/>
      <c r="R454" s="14"/>
    </row>
    <row r="455" ht="12.75" customHeight="1">
      <c r="A455" s="14"/>
      <c r="B455" s="14"/>
      <c r="C455" s="14"/>
      <c r="D455" s="14"/>
      <c r="O455" s="14"/>
      <c r="P455" s="14"/>
      <c r="Q455" s="14"/>
      <c r="R455" s="14"/>
    </row>
    <row r="456" ht="12.75" customHeight="1">
      <c r="A456" s="14"/>
      <c r="B456" s="14"/>
      <c r="C456" s="14"/>
      <c r="D456" s="14"/>
      <c r="O456" s="14"/>
      <c r="P456" s="14"/>
      <c r="Q456" s="14"/>
      <c r="R456" s="14"/>
    </row>
    <row r="457" ht="12.75" customHeight="1">
      <c r="A457" s="14"/>
      <c r="B457" s="14"/>
      <c r="C457" s="14"/>
      <c r="D457" s="14"/>
      <c r="O457" s="14"/>
      <c r="P457" s="14"/>
      <c r="Q457" s="14"/>
      <c r="R457" s="14"/>
    </row>
    <row r="458" ht="12.75" customHeight="1">
      <c r="A458" s="14"/>
      <c r="B458" s="14"/>
      <c r="C458" s="14"/>
      <c r="D458" s="14"/>
      <c r="O458" s="14"/>
      <c r="P458" s="14"/>
      <c r="Q458" s="14"/>
      <c r="R458" s="14"/>
    </row>
    <row r="459" ht="12.75" customHeight="1">
      <c r="A459" s="14"/>
      <c r="B459" s="14"/>
      <c r="C459" s="14"/>
      <c r="D459" s="14"/>
      <c r="O459" s="14"/>
      <c r="P459" s="14"/>
      <c r="Q459" s="14"/>
      <c r="R459" s="14"/>
    </row>
    <row r="460" ht="12.75" customHeight="1">
      <c r="A460" s="14"/>
      <c r="B460" s="14"/>
      <c r="C460" s="14"/>
      <c r="D460" s="14"/>
      <c r="O460" s="14"/>
      <c r="P460" s="14"/>
      <c r="Q460" s="14"/>
      <c r="R460" s="14"/>
    </row>
    <row r="461" ht="12.75" customHeight="1">
      <c r="A461" s="14"/>
      <c r="B461" s="14"/>
      <c r="C461" s="14"/>
      <c r="D461" s="14"/>
      <c r="O461" s="14"/>
      <c r="P461" s="14"/>
      <c r="Q461" s="14"/>
      <c r="R461" s="14"/>
    </row>
    <row r="462" ht="12.75" customHeight="1">
      <c r="A462" s="14"/>
      <c r="B462" s="14"/>
      <c r="C462" s="14"/>
      <c r="D462" s="14"/>
      <c r="O462" s="14"/>
      <c r="P462" s="14"/>
      <c r="Q462" s="14"/>
      <c r="R462" s="14"/>
    </row>
    <row r="463" ht="12.75" customHeight="1">
      <c r="A463" s="14"/>
      <c r="B463" s="14"/>
      <c r="C463" s="14"/>
      <c r="D463" s="14"/>
      <c r="O463" s="14"/>
      <c r="P463" s="14"/>
      <c r="Q463" s="14"/>
      <c r="R463" s="14"/>
    </row>
    <row r="464" ht="12.75" customHeight="1">
      <c r="A464" s="14"/>
      <c r="B464" s="14"/>
      <c r="C464" s="14"/>
      <c r="D464" s="14"/>
      <c r="O464" s="14"/>
      <c r="P464" s="14"/>
      <c r="Q464" s="14"/>
      <c r="R464" s="14"/>
    </row>
    <row r="465" ht="12.75" customHeight="1">
      <c r="A465" s="14"/>
      <c r="B465" s="14"/>
      <c r="C465" s="14"/>
      <c r="D465" s="14"/>
      <c r="O465" s="14"/>
      <c r="P465" s="14"/>
      <c r="Q465" s="14"/>
      <c r="R465" s="14"/>
    </row>
    <row r="466" ht="12.75" customHeight="1">
      <c r="A466" s="14"/>
      <c r="B466" s="14"/>
      <c r="C466" s="14"/>
      <c r="D466" s="14"/>
      <c r="O466" s="14"/>
      <c r="P466" s="14"/>
      <c r="Q466" s="14"/>
      <c r="R466" s="14"/>
    </row>
    <row r="467" ht="12.75" customHeight="1">
      <c r="A467" s="14"/>
      <c r="B467" s="14"/>
      <c r="C467" s="14"/>
      <c r="D467" s="14"/>
      <c r="O467" s="14"/>
      <c r="P467" s="14"/>
      <c r="Q467" s="14"/>
      <c r="R467" s="14"/>
    </row>
    <row r="468" ht="12.75" customHeight="1">
      <c r="A468" s="14"/>
      <c r="B468" s="14"/>
      <c r="C468" s="14"/>
      <c r="D468" s="14"/>
      <c r="O468" s="14"/>
      <c r="P468" s="14"/>
      <c r="Q468" s="14"/>
      <c r="R468" s="14"/>
    </row>
    <row r="469" ht="12.75" customHeight="1">
      <c r="A469" s="14"/>
      <c r="B469" s="14"/>
      <c r="C469" s="14"/>
      <c r="D469" s="14"/>
      <c r="O469" s="14"/>
      <c r="P469" s="14"/>
      <c r="Q469" s="14"/>
      <c r="R469" s="14"/>
    </row>
    <row r="470" ht="12.75" customHeight="1">
      <c r="A470" s="14"/>
      <c r="B470" s="14"/>
      <c r="C470" s="14"/>
      <c r="D470" s="14"/>
      <c r="O470" s="14"/>
      <c r="P470" s="14"/>
      <c r="Q470" s="14"/>
      <c r="R470" s="14"/>
    </row>
    <row r="471" ht="12.75" customHeight="1">
      <c r="A471" s="14"/>
      <c r="B471" s="14"/>
      <c r="C471" s="14"/>
      <c r="D471" s="14"/>
      <c r="O471" s="14"/>
      <c r="P471" s="14"/>
      <c r="Q471" s="14"/>
      <c r="R471" s="14"/>
    </row>
    <row r="472" ht="12.75" customHeight="1">
      <c r="A472" s="14"/>
      <c r="B472" s="14"/>
      <c r="C472" s="14"/>
      <c r="D472" s="14"/>
      <c r="O472" s="14"/>
      <c r="P472" s="14"/>
      <c r="Q472" s="14"/>
      <c r="R472" s="14"/>
    </row>
    <row r="473" ht="12.75" customHeight="1">
      <c r="A473" s="14"/>
      <c r="B473" s="14"/>
      <c r="C473" s="14"/>
      <c r="D473" s="14"/>
      <c r="O473" s="14"/>
      <c r="P473" s="14"/>
      <c r="Q473" s="14"/>
      <c r="R473" s="14"/>
    </row>
    <row r="474" ht="12.75" customHeight="1">
      <c r="A474" s="14"/>
      <c r="B474" s="14"/>
      <c r="C474" s="14"/>
      <c r="D474" s="14"/>
      <c r="O474" s="14"/>
      <c r="P474" s="14"/>
      <c r="Q474" s="14"/>
      <c r="R474" s="14"/>
    </row>
    <row r="475" ht="12.75" customHeight="1">
      <c r="A475" s="14"/>
      <c r="B475" s="14"/>
      <c r="C475" s="14"/>
      <c r="D475" s="14"/>
      <c r="O475" s="14"/>
      <c r="P475" s="14"/>
      <c r="Q475" s="14"/>
      <c r="R475" s="14"/>
    </row>
    <row r="476" ht="12.75" customHeight="1">
      <c r="A476" s="14"/>
      <c r="B476" s="14"/>
      <c r="C476" s="14"/>
      <c r="D476" s="14"/>
      <c r="O476" s="14"/>
      <c r="P476" s="14"/>
      <c r="Q476" s="14"/>
      <c r="R476" s="14"/>
    </row>
    <row r="477" ht="12.75" customHeight="1">
      <c r="A477" s="14"/>
      <c r="B477" s="14"/>
      <c r="C477" s="14"/>
      <c r="D477" s="14"/>
      <c r="O477" s="14"/>
      <c r="P477" s="14"/>
      <c r="Q477" s="14"/>
      <c r="R477" s="14"/>
    </row>
    <row r="478" ht="12.75" customHeight="1">
      <c r="A478" s="14"/>
      <c r="B478" s="14"/>
      <c r="C478" s="14"/>
      <c r="D478" s="14"/>
      <c r="O478" s="14"/>
      <c r="P478" s="14"/>
      <c r="Q478" s="14"/>
      <c r="R478" s="14"/>
    </row>
    <row r="479" ht="12.75" customHeight="1">
      <c r="A479" s="14"/>
      <c r="B479" s="14"/>
      <c r="C479" s="14"/>
      <c r="D479" s="14"/>
      <c r="O479" s="14"/>
      <c r="P479" s="14"/>
      <c r="Q479" s="14"/>
      <c r="R479" s="14"/>
    </row>
    <row r="480" ht="12.75" customHeight="1">
      <c r="A480" s="14"/>
      <c r="B480" s="14"/>
      <c r="C480" s="14"/>
      <c r="D480" s="14"/>
      <c r="O480" s="14"/>
      <c r="P480" s="14"/>
      <c r="Q480" s="14"/>
      <c r="R480" s="14"/>
    </row>
    <row r="481" ht="12.75" customHeight="1">
      <c r="A481" s="14"/>
      <c r="B481" s="14"/>
      <c r="C481" s="14"/>
      <c r="D481" s="14"/>
      <c r="O481" s="14"/>
      <c r="P481" s="14"/>
      <c r="Q481" s="14"/>
      <c r="R481" s="14"/>
    </row>
    <row r="482" ht="12.75" customHeight="1">
      <c r="A482" s="14"/>
      <c r="B482" s="14"/>
      <c r="C482" s="14"/>
      <c r="D482" s="14"/>
      <c r="O482" s="14"/>
      <c r="P482" s="14"/>
      <c r="Q482" s="14"/>
      <c r="R482" s="14"/>
    </row>
    <row r="483" ht="12.75" customHeight="1">
      <c r="A483" s="14"/>
      <c r="B483" s="14"/>
      <c r="C483" s="14"/>
      <c r="D483" s="14"/>
      <c r="O483" s="14"/>
      <c r="P483" s="14"/>
      <c r="Q483" s="14"/>
      <c r="R483" s="14"/>
    </row>
    <row r="484" ht="12.75" customHeight="1">
      <c r="A484" s="14"/>
      <c r="B484" s="14"/>
      <c r="C484" s="14"/>
      <c r="D484" s="14"/>
      <c r="O484" s="14"/>
      <c r="P484" s="14"/>
      <c r="Q484" s="14"/>
      <c r="R484" s="14"/>
    </row>
    <row r="485" ht="12.75" customHeight="1">
      <c r="A485" s="14"/>
      <c r="B485" s="14"/>
      <c r="C485" s="14"/>
      <c r="D485" s="14"/>
      <c r="O485" s="14"/>
      <c r="P485" s="14"/>
      <c r="Q485" s="14"/>
      <c r="R485" s="14"/>
    </row>
    <row r="486" ht="12.75" customHeight="1">
      <c r="A486" s="14"/>
      <c r="B486" s="14"/>
      <c r="C486" s="14"/>
      <c r="D486" s="14"/>
      <c r="O486" s="14"/>
      <c r="P486" s="14"/>
      <c r="Q486" s="14"/>
      <c r="R486" s="14"/>
    </row>
    <row r="487" ht="12.75" customHeight="1">
      <c r="A487" s="14"/>
      <c r="B487" s="14"/>
      <c r="C487" s="14"/>
      <c r="D487" s="14"/>
      <c r="O487" s="14"/>
      <c r="P487" s="14"/>
      <c r="Q487" s="14"/>
      <c r="R487" s="14"/>
    </row>
    <row r="488" ht="12.75" customHeight="1">
      <c r="A488" s="14"/>
      <c r="B488" s="14"/>
      <c r="C488" s="14"/>
      <c r="D488" s="14"/>
      <c r="O488" s="14"/>
      <c r="P488" s="14"/>
      <c r="Q488" s="14"/>
      <c r="R488" s="14"/>
    </row>
    <row r="489" ht="12.75" customHeight="1">
      <c r="A489" s="14"/>
      <c r="B489" s="14"/>
      <c r="C489" s="14"/>
      <c r="D489" s="14"/>
      <c r="O489" s="14"/>
      <c r="P489" s="14"/>
      <c r="Q489" s="14"/>
      <c r="R489" s="14"/>
    </row>
    <row r="490" ht="12.75" customHeight="1">
      <c r="A490" s="14"/>
      <c r="B490" s="14"/>
      <c r="C490" s="14"/>
      <c r="D490" s="14"/>
      <c r="O490" s="14"/>
      <c r="P490" s="14"/>
      <c r="Q490" s="14"/>
      <c r="R490" s="14"/>
    </row>
    <row r="491" ht="12.75" customHeight="1">
      <c r="A491" s="14"/>
      <c r="B491" s="14"/>
      <c r="C491" s="14"/>
      <c r="D491" s="14"/>
      <c r="O491" s="14"/>
      <c r="P491" s="14"/>
      <c r="Q491" s="14"/>
      <c r="R491" s="14"/>
    </row>
    <row r="492" ht="12.75" customHeight="1">
      <c r="A492" s="14"/>
      <c r="B492" s="14"/>
      <c r="C492" s="14"/>
      <c r="D492" s="14"/>
      <c r="O492" s="14"/>
      <c r="P492" s="14"/>
      <c r="Q492" s="14"/>
      <c r="R492" s="14"/>
    </row>
    <row r="493" ht="12.75" customHeight="1">
      <c r="A493" s="14"/>
      <c r="B493" s="14"/>
      <c r="C493" s="14"/>
      <c r="D493" s="14"/>
      <c r="O493" s="14"/>
      <c r="P493" s="14"/>
      <c r="Q493" s="14"/>
      <c r="R493" s="14"/>
    </row>
    <row r="494" ht="12.75" customHeight="1">
      <c r="A494" s="14"/>
      <c r="B494" s="14"/>
      <c r="C494" s="14"/>
      <c r="D494" s="14"/>
      <c r="O494" s="14"/>
      <c r="P494" s="14"/>
      <c r="Q494" s="14"/>
      <c r="R494" s="14"/>
    </row>
    <row r="495" ht="12.75" customHeight="1">
      <c r="A495" s="14"/>
      <c r="B495" s="14"/>
      <c r="C495" s="14"/>
      <c r="D495" s="14"/>
      <c r="O495" s="14"/>
      <c r="P495" s="14"/>
      <c r="Q495" s="14"/>
      <c r="R495" s="14"/>
    </row>
    <row r="496" ht="12.75" customHeight="1">
      <c r="A496" s="14"/>
      <c r="B496" s="14"/>
      <c r="C496" s="14"/>
      <c r="D496" s="14"/>
      <c r="O496" s="14"/>
      <c r="P496" s="14"/>
      <c r="Q496" s="14"/>
      <c r="R496" s="14"/>
    </row>
    <row r="497" ht="12.75" customHeight="1">
      <c r="A497" s="14"/>
      <c r="B497" s="14"/>
      <c r="C497" s="14"/>
      <c r="D497" s="14"/>
      <c r="O497" s="14"/>
      <c r="P497" s="14"/>
      <c r="Q497" s="14"/>
      <c r="R497" s="14"/>
    </row>
    <row r="498" ht="12.75" customHeight="1">
      <c r="A498" s="14"/>
      <c r="B498" s="14"/>
      <c r="C498" s="14"/>
      <c r="D498" s="14"/>
      <c r="O498" s="14"/>
      <c r="P498" s="14"/>
      <c r="Q498" s="14"/>
      <c r="R498" s="14"/>
    </row>
    <row r="499" ht="12.75" customHeight="1">
      <c r="A499" s="14"/>
      <c r="B499" s="14"/>
      <c r="C499" s="14"/>
      <c r="D499" s="14"/>
      <c r="O499" s="14"/>
      <c r="P499" s="14"/>
      <c r="Q499" s="14"/>
      <c r="R499" s="14"/>
    </row>
    <row r="500" ht="12.75" customHeight="1">
      <c r="A500" s="14"/>
      <c r="B500" s="14"/>
      <c r="C500" s="14"/>
      <c r="D500" s="14"/>
      <c r="O500" s="14"/>
      <c r="P500" s="14"/>
      <c r="Q500" s="14"/>
      <c r="R500" s="14"/>
    </row>
    <row r="501" ht="12.75" customHeight="1">
      <c r="A501" s="14"/>
      <c r="B501" s="14"/>
      <c r="C501" s="14"/>
      <c r="D501" s="14"/>
      <c r="O501" s="14"/>
      <c r="P501" s="14"/>
      <c r="Q501" s="14"/>
      <c r="R501" s="14"/>
    </row>
    <row r="502" ht="12.75" customHeight="1">
      <c r="A502" s="14"/>
      <c r="B502" s="14"/>
      <c r="C502" s="14"/>
      <c r="D502" s="14"/>
      <c r="O502" s="14"/>
      <c r="P502" s="14"/>
      <c r="Q502" s="14"/>
      <c r="R502" s="14"/>
    </row>
    <row r="503" ht="12.75" customHeight="1">
      <c r="A503" s="14"/>
      <c r="B503" s="14"/>
      <c r="C503" s="14"/>
      <c r="D503" s="14"/>
      <c r="O503" s="14"/>
      <c r="P503" s="14"/>
      <c r="Q503" s="14"/>
      <c r="R503" s="14"/>
    </row>
    <row r="504" ht="12.75" customHeight="1">
      <c r="A504" s="14"/>
      <c r="B504" s="14"/>
      <c r="C504" s="14"/>
      <c r="D504" s="14"/>
      <c r="O504" s="14"/>
      <c r="P504" s="14"/>
      <c r="Q504" s="14"/>
      <c r="R504" s="14"/>
    </row>
    <row r="505" ht="12.75" customHeight="1">
      <c r="A505" s="14"/>
      <c r="B505" s="14"/>
      <c r="C505" s="14"/>
      <c r="D505" s="14"/>
      <c r="O505" s="14"/>
      <c r="P505" s="14"/>
      <c r="Q505" s="14"/>
      <c r="R505" s="14"/>
    </row>
    <row r="506" ht="12.75" customHeight="1">
      <c r="A506" s="14"/>
      <c r="B506" s="14"/>
      <c r="C506" s="14"/>
      <c r="D506" s="14"/>
      <c r="O506" s="14"/>
      <c r="P506" s="14"/>
      <c r="Q506" s="14"/>
      <c r="R506" s="14"/>
    </row>
    <row r="507" ht="12.75" customHeight="1">
      <c r="A507" s="14"/>
      <c r="B507" s="14"/>
      <c r="C507" s="14"/>
      <c r="D507" s="14"/>
      <c r="O507" s="14"/>
      <c r="P507" s="14"/>
      <c r="Q507" s="14"/>
      <c r="R507" s="14"/>
    </row>
    <row r="508" ht="12.75" customHeight="1">
      <c r="A508" s="14"/>
      <c r="B508" s="14"/>
      <c r="C508" s="14"/>
      <c r="D508" s="14"/>
      <c r="O508" s="14"/>
      <c r="P508" s="14"/>
      <c r="Q508" s="14"/>
      <c r="R508" s="14"/>
    </row>
    <row r="509" ht="12.75" customHeight="1">
      <c r="A509" s="14"/>
      <c r="B509" s="14"/>
      <c r="C509" s="14"/>
      <c r="D509" s="14"/>
      <c r="O509" s="14"/>
      <c r="P509" s="14"/>
      <c r="Q509" s="14"/>
      <c r="R509" s="14"/>
    </row>
    <row r="510" ht="12.75" customHeight="1">
      <c r="A510" s="14"/>
      <c r="B510" s="14"/>
      <c r="C510" s="14"/>
      <c r="D510" s="14"/>
      <c r="O510" s="14"/>
      <c r="P510" s="14"/>
      <c r="Q510" s="14"/>
      <c r="R510" s="14"/>
    </row>
    <row r="511" ht="12.75" customHeight="1">
      <c r="A511" s="14"/>
      <c r="B511" s="14"/>
      <c r="C511" s="14"/>
      <c r="D511" s="14"/>
      <c r="O511" s="14"/>
      <c r="P511" s="14"/>
      <c r="Q511" s="14"/>
      <c r="R511" s="14"/>
    </row>
    <row r="512" ht="12.75" customHeight="1">
      <c r="A512" s="14"/>
      <c r="B512" s="14"/>
      <c r="C512" s="14"/>
      <c r="D512" s="14"/>
      <c r="O512" s="14"/>
      <c r="P512" s="14"/>
      <c r="Q512" s="14"/>
      <c r="R512" s="14"/>
    </row>
    <row r="513" ht="12.75" customHeight="1">
      <c r="A513" s="14"/>
      <c r="B513" s="14"/>
      <c r="C513" s="14"/>
      <c r="D513" s="14"/>
      <c r="O513" s="14"/>
      <c r="P513" s="14"/>
      <c r="Q513" s="14"/>
      <c r="R513" s="14"/>
    </row>
    <row r="514" ht="12.75" customHeight="1">
      <c r="A514" s="14"/>
      <c r="B514" s="14"/>
      <c r="C514" s="14"/>
      <c r="D514" s="14"/>
      <c r="O514" s="14"/>
      <c r="P514" s="14"/>
      <c r="Q514" s="14"/>
      <c r="R514" s="14"/>
    </row>
    <row r="515" ht="12.75" customHeight="1">
      <c r="A515" s="14"/>
      <c r="B515" s="14"/>
      <c r="C515" s="14"/>
      <c r="D515" s="14"/>
      <c r="O515" s="14"/>
      <c r="P515" s="14"/>
      <c r="Q515" s="14"/>
      <c r="R515" s="14"/>
    </row>
    <row r="516" ht="12.75" customHeight="1">
      <c r="A516" s="14"/>
      <c r="B516" s="14"/>
      <c r="C516" s="14"/>
      <c r="D516" s="14"/>
      <c r="O516" s="14"/>
      <c r="P516" s="14"/>
      <c r="Q516" s="14"/>
      <c r="R516" s="14"/>
    </row>
    <row r="517" ht="12.75" customHeight="1">
      <c r="A517" s="14"/>
      <c r="B517" s="14"/>
      <c r="C517" s="14"/>
      <c r="D517" s="14"/>
      <c r="O517" s="14"/>
      <c r="P517" s="14"/>
      <c r="Q517" s="14"/>
      <c r="R517" s="14"/>
    </row>
    <row r="518" ht="12.75" customHeight="1">
      <c r="A518" s="14"/>
      <c r="B518" s="14"/>
      <c r="C518" s="14"/>
      <c r="D518" s="14"/>
      <c r="O518" s="14"/>
      <c r="P518" s="14"/>
      <c r="Q518" s="14"/>
      <c r="R518" s="14"/>
    </row>
    <row r="519" ht="12.75" customHeight="1">
      <c r="A519" s="14"/>
      <c r="B519" s="14"/>
      <c r="C519" s="14"/>
      <c r="D519" s="14"/>
      <c r="O519" s="14"/>
      <c r="P519" s="14"/>
      <c r="Q519" s="14"/>
      <c r="R519" s="14"/>
    </row>
    <row r="520" ht="12.75" customHeight="1">
      <c r="A520" s="14"/>
      <c r="B520" s="14"/>
      <c r="C520" s="14"/>
      <c r="D520" s="14"/>
      <c r="O520" s="14"/>
      <c r="P520" s="14"/>
      <c r="Q520" s="14"/>
      <c r="R520" s="14"/>
    </row>
    <row r="521" ht="12.75" customHeight="1">
      <c r="A521" s="14"/>
      <c r="B521" s="14"/>
      <c r="C521" s="14"/>
      <c r="D521" s="14"/>
      <c r="O521" s="14"/>
      <c r="P521" s="14"/>
      <c r="Q521" s="14"/>
      <c r="R521" s="14"/>
    </row>
    <row r="522" ht="12.75" customHeight="1">
      <c r="A522" s="14"/>
      <c r="B522" s="14"/>
      <c r="C522" s="14"/>
      <c r="D522" s="14"/>
      <c r="O522" s="14"/>
      <c r="P522" s="14"/>
      <c r="Q522" s="14"/>
      <c r="R522" s="14"/>
    </row>
    <row r="523" ht="12.75" customHeight="1">
      <c r="A523" s="14"/>
      <c r="B523" s="14"/>
      <c r="C523" s="14"/>
      <c r="D523" s="14"/>
      <c r="O523" s="14"/>
      <c r="P523" s="14"/>
      <c r="Q523" s="14"/>
      <c r="R523" s="14"/>
    </row>
    <row r="524" ht="12.75" customHeight="1">
      <c r="A524" s="14"/>
      <c r="B524" s="14"/>
      <c r="C524" s="14"/>
      <c r="D524" s="14"/>
      <c r="O524" s="14"/>
      <c r="P524" s="14"/>
      <c r="Q524" s="14"/>
      <c r="R524" s="14"/>
    </row>
    <row r="525" ht="12.75" customHeight="1">
      <c r="A525" s="14"/>
      <c r="B525" s="14"/>
      <c r="C525" s="14"/>
      <c r="D525" s="14"/>
      <c r="O525" s="14"/>
      <c r="P525" s="14"/>
      <c r="Q525" s="14"/>
      <c r="R525" s="14"/>
    </row>
    <row r="526" ht="12.75" customHeight="1">
      <c r="A526" s="14"/>
      <c r="B526" s="14"/>
      <c r="C526" s="14"/>
      <c r="D526" s="14"/>
      <c r="O526" s="14"/>
      <c r="P526" s="14"/>
      <c r="Q526" s="14"/>
      <c r="R526" s="14"/>
    </row>
    <row r="527" ht="12.75" customHeight="1">
      <c r="A527" s="14"/>
      <c r="B527" s="14"/>
      <c r="C527" s="14"/>
      <c r="D527" s="14"/>
      <c r="O527" s="14"/>
      <c r="P527" s="14"/>
      <c r="Q527" s="14"/>
      <c r="R527" s="14"/>
    </row>
    <row r="528" ht="12.75" customHeight="1">
      <c r="A528" s="14"/>
      <c r="B528" s="14"/>
      <c r="C528" s="14"/>
      <c r="D528" s="14"/>
      <c r="O528" s="14"/>
      <c r="P528" s="14"/>
      <c r="Q528" s="14"/>
      <c r="R528" s="14"/>
    </row>
    <row r="529" ht="12.75" customHeight="1">
      <c r="A529" s="14"/>
      <c r="B529" s="14"/>
      <c r="C529" s="14"/>
      <c r="D529" s="14"/>
      <c r="O529" s="14"/>
      <c r="P529" s="14"/>
      <c r="Q529" s="14"/>
      <c r="R529" s="14"/>
    </row>
    <row r="530" ht="12.75" customHeight="1">
      <c r="A530" s="14"/>
      <c r="B530" s="14"/>
      <c r="C530" s="14"/>
      <c r="D530" s="14"/>
      <c r="O530" s="14"/>
      <c r="P530" s="14"/>
      <c r="Q530" s="14"/>
      <c r="R530" s="14"/>
    </row>
    <row r="531" ht="12.75" customHeight="1">
      <c r="A531" s="14"/>
      <c r="B531" s="14"/>
      <c r="C531" s="14"/>
      <c r="D531" s="14"/>
      <c r="O531" s="14"/>
      <c r="P531" s="14"/>
      <c r="Q531" s="14"/>
      <c r="R531" s="14"/>
    </row>
    <row r="532" ht="12.75" customHeight="1">
      <c r="A532" s="14"/>
      <c r="B532" s="14"/>
      <c r="C532" s="14"/>
      <c r="D532" s="14"/>
      <c r="O532" s="14"/>
      <c r="P532" s="14"/>
      <c r="Q532" s="14"/>
      <c r="R532" s="14"/>
    </row>
    <row r="533" ht="12.75" customHeight="1">
      <c r="A533" s="14"/>
      <c r="B533" s="14"/>
      <c r="C533" s="14"/>
      <c r="D533" s="14"/>
      <c r="O533" s="14"/>
      <c r="P533" s="14"/>
      <c r="Q533" s="14"/>
      <c r="R533" s="14"/>
    </row>
    <row r="534" ht="12.75" customHeight="1">
      <c r="A534" s="14"/>
      <c r="B534" s="14"/>
      <c r="C534" s="14"/>
      <c r="D534" s="14"/>
      <c r="O534" s="14"/>
      <c r="P534" s="14"/>
      <c r="Q534" s="14"/>
      <c r="R534" s="14"/>
    </row>
    <row r="535" ht="12.75" customHeight="1">
      <c r="A535" s="14"/>
      <c r="B535" s="14"/>
      <c r="C535" s="14"/>
      <c r="D535" s="14"/>
      <c r="O535" s="14"/>
      <c r="P535" s="14"/>
      <c r="Q535" s="14"/>
      <c r="R535" s="14"/>
    </row>
    <row r="536" ht="12.75" customHeight="1">
      <c r="A536" s="14"/>
      <c r="B536" s="14"/>
      <c r="C536" s="14"/>
      <c r="D536" s="14"/>
      <c r="O536" s="14"/>
      <c r="P536" s="14"/>
      <c r="Q536" s="14"/>
      <c r="R536" s="14"/>
    </row>
    <row r="537" ht="12.75" customHeight="1">
      <c r="A537" s="14"/>
      <c r="B537" s="14"/>
      <c r="C537" s="14"/>
      <c r="D537" s="14"/>
      <c r="O537" s="14"/>
      <c r="P537" s="14"/>
      <c r="Q537" s="14"/>
      <c r="R537" s="14"/>
    </row>
    <row r="538" ht="12.75" customHeight="1">
      <c r="A538" s="14"/>
      <c r="B538" s="14"/>
      <c r="C538" s="14"/>
      <c r="D538" s="14"/>
      <c r="O538" s="14"/>
      <c r="P538" s="14"/>
      <c r="Q538" s="14"/>
      <c r="R538" s="14"/>
    </row>
    <row r="539" ht="12.75" customHeight="1">
      <c r="A539" s="14"/>
      <c r="B539" s="14"/>
      <c r="C539" s="14"/>
      <c r="D539" s="14"/>
      <c r="O539" s="14"/>
      <c r="P539" s="14"/>
      <c r="Q539" s="14"/>
      <c r="R539" s="14"/>
    </row>
    <row r="540" ht="12.75" customHeight="1">
      <c r="A540" s="14"/>
      <c r="B540" s="14"/>
      <c r="C540" s="14"/>
      <c r="D540" s="14"/>
      <c r="O540" s="14"/>
      <c r="P540" s="14"/>
      <c r="Q540" s="14"/>
      <c r="R540" s="14"/>
    </row>
    <row r="541" ht="12.75" customHeight="1">
      <c r="A541" s="14"/>
      <c r="B541" s="14"/>
      <c r="C541" s="14"/>
      <c r="D541" s="14"/>
      <c r="O541" s="14"/>
      <c r="P541" s="14"/>
      <c r="Q541" s="14"/>
      <c r="R541" s="14"/>
    </row>
    <row r="542" ht="12.75" customHeight="1">
      <c r="A542" s="14"/>
      <c r="B542" s="14"/>
      <c r="C542" s="14"/>
      <c r="D542" s="14"/>
      <c r="O542" s="14"/>
      <c r="P542" s="14"/>
      <c r="Q542" s="14"/>
      <c r="R542" s="14"/>
    </row>
    <row r="543" ht="12.75" customHeight="1">
      <c r="A543" s="14"/>
      <c r="B543" s="14"/>
      <c r="C543" s="14"/>
      <c r="D543" s="14"/>
      <c r="O543" s="14"/>
      <c r="P543" s="14"/>
      <c r="Q543" s="14"/>
      <c r="R543" s="14"/>
    </row>
    <row r="544" ht="12.75" customHeight="1">
      <c r="A544" s="14"/>
      <c r="B544" s="14"/>
      <c r="C544" s="14"/>
      <c r="D544" s="14"/>
      <c r="O544" s="14"/>
      <c r="P544" s="14"/>
      <c r="Q544" s="14"/>
      <c r="R544" s="14"/>
    </row>
    <row r="545" ht="12.75" customHeight="1">
      <c r="A545" s="14"/>
      <c r="B545" s="14"/>
      <c r="C545" s="14"/>
      <c r="D545" s="14"/>
      <c r="O545" s="14"/>
      <c r="P545" s="14"/>
      <c r="Q545" s="14"/>
      <c r="R545" s="14"/>
    </row>
    <row r="546" ht="12.75" customHeight="1">
      <c r="A546" s="14"/>
      <c r="B546" s="14"/>
      <c r="C546" s="14"/>
      <c r="D546" s="14"/>
      <c r="O546" s="14"/>
      <c r="P546" s="14"/>
      <c r="Q546" s="14"/>
      <c r="R546" s="14"/>
    </row>
    <row r="547" ht="12.75" customHeight="1">
      <c r="A547" s="14"/>
      <c r="B547" s="14"/>
      <c r="C547" s="14"/>
      <c r="D547" s="14"/>
      <c r="O547" s="14"/>
      <c r="P547" s="14"/>
      <c r="Q547" s="14"/>
      <c r="R547" s="14"/>
    </row>
    <row r="548" ht="12.75" customHeight="1">
      <c r="A548" s="14"/>
      <c r="B548" s="14"/>
      <c r="C548" s="14"/>
      <c r="D548" s="14"/>
      <c r="O548" s="14"/>
      <c r="P548" s="14"/>
      <c r="Q548" s="14"/>
      <c r="R548" s="14"/>
    </row>
    <row r="549" ht="12.75" customHeight="1">
      <c r="A549" s="14"/>
      <c r="B549" s="14"/>
      <c r="C549" s="14"/>
      <c r="D549" s="14"/>
      <c r="O549" s="14"/>
      <c r="P549" s="14"/>
      <c r="Q549" s="14"/>
      <c r="R549" s="14"/>
    </row>
    <row r="550" ht="12.75" customHeight="1">
      <c r="A550" s="14"/>
      <c r="B550" s="14"/>
      <c r="C550" s="14"/>
      <c r="D550" s="14"/>
      <c r="O550" s="14"/>
      <c r="P550" s="14"/>
      <c r="Q550" s="14"/>
      <c r="R550" s="14"/>
    </row>
    <row r="551" ht="12.75" customHeight="1">
      <c r="A551" s="14"/>
      <c r="B551" s="14"/>
      <c r="C551" s="14"/>
      <c r="D551" s="14"/>
      <c r="O551" s="14"/>
      <c r="P551" s="14"/>
      <c r="Q551" s="14"/>
      <c r="R551" s="14"/>
    </row>
    <row r="552" ht="12.75" customHeight="1">
      <c r="A552" s="14"/>
      <c r="B552" s="14"/>
      <c r="C552" s="14"/>
      <c r="D552" s="14"/>
      <c r="O552" s="14"/>
      <c r="P552" s="14"/>
      <c r="Q552" s="14"/>
      <c r="R552" s="14"/>
    </row>
    <row r="553" ht="12.75" customHeight="1">
      <c r="A553" s="14"/>
      <c r="B553" s="14"/>
      <c r="C553" s="14"/>
      <c r="D553" s="14"/>
      <c r="O553" s="14"/>
      <c r="P553" s="14"/>
      <c r="Q553" s="14"/>
      <c r="R553" s="14"/>
    </row>
    <row r="554" ht="12.75" customHeight="1">
      <c r="A554" s="14"/>
      <c r="B554" s="14"/>
      <c r="C554" s="14"/>
      <c r="D554" s="14"/>
      <c r="O554" s="14"/>
      <c r="P554" s="14"/>
      <c r="Q554" s="14"/>
      <c r="R554" s="14"/>
    </row>
    <row r="555" ht="12.75" customHeight="1">
      <c r="A555" s="14"/>
      <c r="B555" s="14"/>
      <c r="C555" s="14"/>
      <c r="D555" s="14"/>
      <c r="O555" s="14"/>
      <c r="P555" s="14"/>
      <c r="Q555" s="14"/>
      <c r="R555" s="14"/>
    </row>
    <row r="556" ht="12.75" customHeight="1">
      <c r="A556" s="14"/>
      <c r="B556" s="14"/>
      <c r="C556" s="14"/>
      <c r="D556" s="14"/>
      <c r="O556" s="14"/>
      <c r="P556" s="14"/>
      <c r="Q556" s="14"/>
      <c r="R556" s="14"/>
    </row>
    <row r="557" ht="12.75" customHeight="1">
      <c r="A557" s="14"/>
      <c r="B557" s="14"/>
      <c r="C557" s="14"/>
      <c r="D557" s="14"/>
      <c r="O557" s="14"/>
      <c r="P557" s="14"/>
      <c r="Q557" s="14"/>
      <c r="R557" s="14"/>
    </row>
    <row r="558" ht="12.75" customHeight="1">
      <c r="A558" s="14"/>
      <c r="B558" s="14"/>
      <c r="C558" s="14"/>
      <c r="D558" s="14"/>
      <c r="O558" s="14"/>
      <c r="P558" s="14"/>
      <c r="Q558" s="14"/>
      <c r="R558" s="14"/>
    </row>
    <row r="559" ht="12.75" customHeight="1">
      <c r="A559" s="14"/>
      <c r="B559" s="14"/>
      <c r="C559" s="14"/>
      <c r="D559" s="14"/>
      <c r="O559" s="14"/>
      <c r="P559" s="14"/>
      <c r="Q559" s="14"/>
      <c r="R559" s="14"/>
    </row>
    <row r="560" ht="12.75" customHeight="1">
      <c r="A560" s="14"/>
      <c r="B560" s="14"/>
      <c r="C560" s="14"/>
      <c r="D560" s="14"/>
      <c r="O560" s="14"/>
      <c r="P560" s="14"/>
      <c r="Q560" s="14"/>
      <c r="R560" s="14"/>
    </row>
    <row r="561" ht="12.75" customHeight="1">
      <c r="A561" s="14"/>
      <c r="B561" s="14"/>
      <c r="C561" s="14"/>
      <c r="D561" s="14"/>
      <c r="O561" s="14"/>
      <c r="P561" s="14"/>
      <c r="Q561" s="14"/>
      <c r="R561" s="14"/>
    </row>
    <row r="562" ht="12.75" customHeight="1">
      <c r="A562" s="14"/>
      <c r="B562" s="14"/>
      <c r="C562" s="14"/>
      <c r="D562" s="14"/>
      <c r="O562" s="14"/>
      <c r="P562" s="14"/>
      <c r="Q562" s="14"/>
      <c r="R562" s="14"/>
    </row>
    <row r="563" ht="12.75" customHeight="1">
      <c r="A563" s="14"/>
      <c r="B563" s="14"/>
      <c r="C563" s="14"/>
      <c r="D563" s="14"/>
      <c r="O563" s="14"/>
      <c r="P563" s="14"/>
      <c r="Q563" s="14"/>
      <c r="R563" s="14"/>
    </row>
    <row r="564" ht="12.75" customHeight="1">
      <c r="A564" s="14"/>
      <c r="B564" s="14"/>
      <c r="C564" s="14"/>
      <c r="D564" s="14"/>
      <c r="O564" s="14"/>
      <c r="P564" s="14"/>
      <c r="Q564" s="14"/>
      <c r="R564" s="14"/>
    </row>
    <row r="565" ht="12.75" customHeight="1">
      <c r="A565" s="14"/>
      <c r="B565" s="14"/>
      <c r="C565" s="14"/>
      <c r="D565" s="14"/>
      <c r="O565" s="14"/>
      <c r="P565" s="14"/>
      <c r="Q565" s="14"/>
      <c r="R565" s="14"/>
    </row>
    <row r="566" ht="12.75" customHeight="1">
      <c r="A566" s="14"/>
      <c r="B566" s="14"/>
      <c r="C566" s="14"/>
      <c r="D566" s="14"/>
      <c r="O566" s="14"/>
      <c r="P566" s="14"/>
      <c r="Q566" s="14"/>
      <c r="R566" s="14"/>
    </row>
    <row r="567" ht="12.75" customHeight="1">
      <c r="A567" s="14"/>
      <c r="B567" s="14"/>
      <c r="C567" s="14"/>
      <c r="D567" s="14"/>
      <c r="O567" s="14"/>
      <c r="P567" s="14"/>
      <c r="Q567" s="14"/>
      <c r="R567" s="14"/>
    </row>
    <row r="568" ht="12.75" customHeight="1">
      <c r="A568" s="14"/>
      <c r="B568" s="14"/>
      <c r="C568" s="14"/>
      <c r="D568" s="14"/>
      <c r="O568" s="14"/>
      <c r="P568" s="14"/>
      <c r="Q568" s="14"/>
      <c r="R568" s="14"/>
    </row>
    <row r="569" ht="12.75" customHeight="1">
      <c r="A569" s="14"/>
      <c r="B569" s="14"/>
      <c r="C569" s="14"/>
      <c r="D569" s="14"/>
      <c r="O569" s="14"/>
      <c r="P569" s="14"/>
      <c r="Q569" s="14"/>
      <c r="R569" s="14"/>
    </row>
    <row r="570" ht="12.75" customHeight="1">
      <c r="A570" s="14"/>
      <c r="B570" s="14"/>
      <c r="C570" s="14"/>
      <c r="D570" s="14"/>
      <c r="O570" s="14"/>
      <c r="P570" s="14"/>
      <c r="Q570" s="14"/>
      <c r="R570" s="14"/>
    </row>
    <row r="571" ht="12.75" customHeight="1">
      <c r="A571" s="14"/>
      <c r="B571" s="14"/>
      <c r="C571" s="14"/>
      <c r="D571" s="14"/>
      <c r="O571" s="14"/>
      <c r="P571" s="14"/>
      <c r="Q571" s="14"/>
      <c r="R571" s="14"/>
    </row>
    <row r="572" ht="12.75" customHeight="1">
      <c r="A572" s="14"/>
      <c r="B572" s="14"/>
      <c r="C572" s="14"/>
      <c r="D572" s="14"/>
      <c r="O572" s="14"/>
      <c r="P572" s="14"/>
      <c r="Q572" s="14"/>
      <c r="R572" s="14"/>
    </row>
    <row r="573" ht="12.75" customHeight="1">
      <c r="A573" s="14"/>
      <c r="B573" s="14"/>
      <c r="C573" s="14"/>
      <c r="D573" s="14"/>
      <c r="O573" s="14"/>
      <c r="P573" s="14"/>
      <c r="Q573" s="14"/>
      <c r="R573" s="14"/>
    </row>
    <row r="574" ht="12.75" customHeight="1">
      <c r="A574" s="14"/>
      <c r="B574" s="14"/>
      <c r="C574" s="14"/>
      <c r="D574" s="14"/>
      <c r="O574" s="14"/>
      <c r="P574" s="14"/>
      <c r="Q574" s="14"/>
      <c r="R574" s="14"/>
    </row>
    <row r="575" ht="12.75" customHeight="1">
      <c r="A575" s="14"/>
      <c r="B575" s="14"/>
      <c r="C575" s="14"/>
      <c r="D575" s="14"/>
      <c r="O575" s="14"/>
      <c r="P575" s="14"/>
      <c r="Q575" s="14"/>
      <c r="R575" s="14"/>
    </row>
    <row r="576" ht="12.75" customHeight="1">
      <c r="A576" s="14"/>
      <c r="B576" s="14"/>
      <c r="C576" s="14"/>
      <c r="D576" s="14"/>
      <c r="O576" s="14"/>
      <c r="P576" s="14"/>
      <c r="Q576" s="14"/>
      <c r="R576" s="14"/>
    </row>
    <row r="577" ht="12.75" customHeight="1">
      <c r="A577" s="14"/>
      <c r="B577" s="14"/>
      <c r="C577" s="14"/>
      <c r="D577" s="14"/>
      <c r="O577" s="14"/>
      <c r="P577" s="14"/>
      <c r="Q577" s="14"/>
      <c r="R577" s="14"/>
    </row>
    <row r="578" ht="12.75" customHeight="1">
      <c r="A578" s="14"/>
      <c r="B578" s="14"/>
      <c r="C578" s="14"/>
      <c r="D578" s="14"/>
      <c r="O578" s="14"/>
      <c r="P578" s="14"/>
      <c r="Q578" s="14"/>
      <c r="R578" s="14"/>
    </row>
    <row r="579" ht="12.75" customHeight="1">
      <c r="A579" s="14"/>
      <c r="B579" s="14"/>
      <c r="C579" s="14"/>
      <c r="D579" s="14"/>
      <c r="O579" s="14"/>
      <c r="P579" s="14"/>
      <c r="Q579" s="14"/>
      <c r="R579" s="14"/>
    </row>
    <row r="580" ht="12.75" customHeight="1">
      <c r="A580" s="14"/>
      <c r="B580" s="14"/>
      <c r="C580" s="14"/>
      <c r="D580" s="14"/>
      <c r="O580" s="14"/>
      <c r="P580" s="14"/>
      <c r="Q580" s="14"/>
      <c r="R580" s="14"/>
    </row>
    <row r="581" ht="12.75" customHeight="1">
      <c r="A581" s="14"/>
      <c r="B581" s="14"/>
      <c r="C581" s="14"/>
      <c r="D581" s="14"/>
      <c r="O581" s="14"/>
      <c r="P581" s="14"/>
      <c r="Q581" s="14"/>
      <c r="R581" s="14"/>
    </row>
    <row r="582" ht="12.75" customHeight="1">
      <c r="A582" s="14"/>
      <c r="B582" s="14"/>
      <c r="C582" s="14"/>
      <c r="D582" s="14"/>
      <c r="O582" s="14"/>
      <c r="P582" s="14"/>
      <c r="Q582" s="14"/>
      <c r="R582" s="14"/>
    </row>
    <row r="583" ht="12.75" customHeight="1">
      <c r="A583" s="14"/>
      <c r="B583" s="14"/>
      <c r="C583" s="14"/>
      <c r="D583" s="14"/>
      <c r="O583" s="14"/>
      <c r="P583" s="14"/>
      <c r="Q583" s="14"/>
      <c r="R583" s="14"/>
    </row>
    <row r="584" ht="12.75" customHeight="1">
      <c r="A584" s="14"/>
      <c r="B584" s="14"/>
      <c r="C584" s="14"/>
      <c r="D584" s="14"/>
      <c r="O584" s="14"/>
      <c r="P584" s="14"/>
      <c r="Q584" s="14"/>
      <c r="R584" s="14"/>
    </row>
    <row r="585" ht="12.75" customHeight="1">
      <c r="A585" s="14"/>
      <c r="B585" s="14"/>
      <c r="C585" s="14"/>
      <c r="D585" s="14"/>
      <c r="O585" s="14"/>
      <c r="P585" s="14"/>
      <c r="Q585" s="14"/>
      <c r="R585" s="14"/>
    </row>
    <row r="586" ht="12.75" customHeight="1">
      <c r="A586" s="14"/>
      <c r="B586" s="14"/>
      <c r="C586" s="14"/>
      <c r="D586" s="14"/>
      <c r="O586" s="14"/>
      <c r="P586" s="14"/>
      <c r="Q586" s="14"/>
      <c r="R586" s="14"/>
    </row>
    <row r="587" ht="12.75" customHeight="1">
      <c r="A587" s="14"/>
      <c r="B587" s="14"/>
      <c r="C587" s="14"/>
      <c r="D587" s="14"/>
      <c r="O587" s="14"/>
      <c r="P587" s="14"/>
      <c r="Q587" s="14"/>
      <c r="R587" s="14"/>
    </row>
    <row r="588" ht="12.75" customHeight="1">
      <c r="A588" s="14"/>
      <c r="B588" s="14"/>
      <c r="C588" s="14"/>
      <c r="D588" s="14"/>
      <c r="O588" s="14"/>
      <c r="P588" s="14"/>
      <c r="Q588" s="14"/>
      <c r="R588" s="14"/>
    </row>
    <row r="589" ht="12.75" customHeight="1">
      <c r="A589" s="14"/>
      <c r="B589" s="14"/>
      <c r="C589" s="14"/>
      <c r="D589" s="14"/>
      <c r="O589" s="14"/>
      <c r="P589" s="14"/>
      <c r="Q589" s="14"/>
      <c r="R589" s="14"/>
    </row>
    <row r="590" ht="12.75" customHeight="1">
      <c r="A590" s="14"/>
      <c r="B590" s="14"/>
      <c r="C590" s="14"/>
      <c r="D590" s="14"/>
      <c r="O590" s="14"/>
      <c r="P590" s="14"/>
      <c r="Q590" s="14"/>
      <c r="R590" s="14"/>
    </row>
    <row r="591" ht="12.75" customHeight="1">
      <c r="A591" s="14"/>
      <c r="B591" s="14"/>
      <c r="C591" s="14"/>
      <c r="D591" s="14"/>
      <c r="O591" s="14"/>
      <c r="P591" s="14"/>
      <c r="Q591" s="14"/>
      <c r="R591" s="14"/>
    </row>
    <row r="592" ht="12.75" customHeight="1">
      <c r="A592" s="14"/>
      <c r="B592" s="14"/>
      <c r="C592" s="14"/>
      <c r="D592" s="14"/>
      <c r="O592" s="14"/>
      <c r="P592" s="14"/>
      <c r="Q592" s="14"/>
      <c r="R592" s="14"/>
    </row>
    <row r="593" ht="12.75" customHeight="1">
      <c r="A593" s="14"/>
      <c r="B593" s="14"/>
      <c r="C593" s="14"/>
      <c r="D593" s="14"/>
      <c r="O593" s="14"/>
      <c r="P593" s="14"/>
      <c r="Q593" s="14"/>
      <c r="R593" s="14"/>
    </row>
    <row r="594" ht="12.75" customHeight="1">
      <c r="A594" s="14"/>
      <c r="B594" s="14"/>
      <c r="C594" s="14"/>
      <c r="D594" s="14"/>
      <c r="O594" s="14"/>
      <c r="P594" s="14"/>
      <c r="Q594" s="14"/>
      <c r="R594" s="14"/>
    </row>
    <row r="595" ht="12.75" customHeight="1">
      <c r="A595" s="14"/>
      <c r="B595" s="14"/>
      <c r="C595" s="14"/>
      <c r="D595" s="14"/>
      <c r="O595" s="14"/>
      <c r="P595" s="14"/>
      <c r="Q595" s="14"/>
      <c r="R595" s="14"/>
    </row>
    <row r="596" ht="12.75" customHeight="1">
      <c r="A596" s="14"/>
      <c r="B596" s="14"/>
      <c r="C596" s="14"/>
      <c r="D596" s="14"/>
      <c r="O596" s="14"/>
      <c r="P596" s="14"/>
      <c r="Q596" s="14"/>
      <c r="R596" s="14"/>
    </row>
    <row r="597" ht="12.75" customHeight="1">
      <c r="A597" s="14"/>
      <c r="B597" s="14"/>
      <c r="C597" s="14"/>
      <c r="D597" s="14"/>
      <c r="O597" s="14"/>
      <c r="P597" s="14"/>
      <c r="Q597" s="14"/>
      <c r="R597" s="14"/>
    </row>
    <row r="598" ht="12.75" customHeight="1">
      <c r="A598" s="14"/>
      <c r="B598" s="14"/>
      <c r="C598" s="14"/>
      <c r="D598" s="14"/>
      <c r="O598" s="14"/>
      <c r="P598" s="14"/>
      <c r="Q598" s="14"/>
      <c r="R598" s="14"/>
    </row>
    <row r="599" ht="12.75" customHeight="1">
      <c r="A599" s="14"/>
      <c r="B599" s="14"/>
      <c r="C599" s="14"/>
      <c r="D599" s="14"/>
      <c r="O599" s="14"/>
      <c r="P599" s="14"/>
      <c r="Q599" s="14"/>
      <c r="R599" s="14"/>
    </row>
    <row r="600" ht="12.75" customHeight="1">
      <c r="A600" s="14"/>
      <c r="B600" s="14"/>
      <c r="C600" s="14"/>
      <c r="D600" s="14"/>
      <c r="O600" s="14"/>
      <c r="P600" s="14"/>
      <c r="Q600" s="14"/>
      <c r="R600" s="14"/>
    </row>
    <row r="601" ht="12.75" customHeight="1">
      <c r="A601" s="14"/>
      <c r="B601" s="14"/>
      <c r="C601" s="14"/>
      <c r="D601" s="14"/>
      <c r="O601" s="14"/>
      <c r="P601" s="14"/>
      <c r="Q601" s="14"/>
      <c r="R601" s="14"/>
    </row>
    <row r="602" ht="12.75" customHeight="1">
      <c r="A602" s="14"/>
      <c r="B602" s="14"/>
      <c r="C602" s="14"/>
      <c r="D602" s="14"/>
      <c r="O602" s="14"/>
      <c r="P602" s="14"/>
      <c r="Q602" s="14"/>
      <c r="R602" s="14"/>
    </row>
    <row r="603" ht="12.75" customHeight="1">
      <c r="A603" s="14"/>
      <c r="B603" s="14"/>
      <c r="C603" s="14"/>
      <c r="D603" s="14"/>
      <c r="O603" s="14"/>
      <c r="P603" s="14"/>
      <c r="Q603" s="14"/>
      <c r="R603" s="14"/>
    </row>
    <row r="604" ht="12.75" customHeight="1">
      <c r="A604" s="14"/>
      <c r="B604" s="14"/>
      <c r="C604" s="14"/>
      <c r="D604" s="14"/>
      <c r="O604" s="14"/>
      <c r="P604" s="14"/>
      <c r="Q604" s="14"/>
      <c r="R604" s="14"/>
    </row>
    <row r="605" ht="12.75" customHeight="1">
      <c r="A605" s="14"/>
      <c r="B605" s="14"/>
      <c r="C605" s="14"/>
      <c r="D605" s="14"/>
      <c r="O605" s="14"/>
      <c r="P605" s="14"/>
      <c r="Q605" s="14"/>
      <c r="R605" s="14"/>
    </row>
    <row r="606" ht="12.75" customHeight="1">
      <c r="A606" s="14"/>
      <c r="B606" s="14"/>
      <c r="C606" s="14"/>
      <c r="D606" s="14"/>
      <c r="O606" s="14"/>
      <c r="P606" s="14"/>
      <c r="Q606" s="14"/>
      <c r="R606" s="14"/>
    </row>
    <row r="607" ht="12.75" customHeight="1">
      <c r="A607" s="14"/>
      <c r="B607" s="14"/>
      <c r="C607" s="14"/>
      <c r="D607" s="14"/>
      <c r="O607" s="14"/>
      <c r="P607" s="14"/>
      <c r="Q607" s="14"/>
      <c r="R607" s="14"/>
    </row>
    <row r="608" ht="12.75" customHeight="1">
      <c r="A608" s="14"/>
      <c r="B608" s="14"/>
      <c r="C608" s="14"/>
      <c r="D608" s="14"/>
      <c r="O608" s="14"/>
      <c r="P608" s="14"/>
      <c r="Q608" s="14"/>
      <c r="R608" s="14"/>
    </row>
    <row r="609" ht="12.75" customHeight="1">
      <c r="A609" s="14"/>
      <c r="B609" s="14"/>
      <c r="C609" s="14"/>
      <c r="D609" s="14"/>
      <c r="O609" s="14"/>
      <c r="P609" s="14"/>
      <c r="Q609" s="14"/>
      <c r="R609" s="14"/>
    </row>
    <row r="610" ht="12.75" customHeight="1">
      <c r="A610" s="14"/>
      <c r="B610" s="14"/>
      <c r="C610" s="14"/>
      <c r="D610" s="14"/>
      <c r="O610" s="14"/>
      <c r="P610" s="14"/>
      <c r="Q610" s="14"/>
      <c r="R610" s="14"/>
    </row>
    <row r="611" ht="12.75" customHeight="1">
      <c r="A611" s="14"/>
      <c r="B611" s="14"/>
      <c r="C611" s="14"/>
      <c r="D611" s="14"/>
      <c r="O611" s="14"/>
      <c r="P611" s="14"/>
      <c r="Q611" s="14"/>
      <c r="R611" s="14"/>
    </row>
    <row r="612" ht="12.75" customHeight="1">
      <c r="A612" s="14"/>
      <c r="B612" s="14"/>
      <c r="C612" s="14"/>
      <c r="D612" s="14"/>
      <c r="O612" s="14"/>
      <c r="P612" s="14"/>
      <c r="Q612" s="14"/>
      <c r="R612" s="14"/>
    </row>
    <row r="613" ht="12.75" customHeight="1">
      <c r="A613" s="14"/>
      <c r="B613" s="14"/>
      <c r="C613" s="14"/>
      <c r="D613" s="14"/>
      <c r="O613" s="14"/>
      <c r="P613" s="14"/>
      <c r="Q613" s="14"/>
      <c r="R613" s="14"/>
    </row>
    <row r="614" ht="12.75" customHeight="1">
      <c r="A614" s="14"/>
      <c r="B614" s="14"/>
      <c r="C614" s="14"/>
      <c r="D614" s="14"/>
      <c r="O614" s="14"/>
      <c r="P614" s="14"/>
      <c r="Q614" s="14"/>
      <c r="R614" s="14"/>
    </row>
    <row r="615" ht="12.75" customHeight="1">
      <c r="A615" s="14"/>
      <c r="B615" s="14"/>
      <c r="C615" s="14"/>
      <c r="D615" s="14"/>
      <c r="O615" s="14"/>
      <c r="P615" s="14"/>
      <c r="Q615" s="14"/>
      <c r="R615" s="14"/>
    </row>
    <row r="616" ht="12.75" customHeight="1">
      <c r="A616" s="14"/>
      <c r="B616" s="14"/>
      <c r="C616" s="14"/>
      <c r="D616" s="14"/>
      <c r="O616" s="14"/>
      <c r="P616" s="14"/>
      <c r="Q616" s="14"/>
      <c r="R616" s="14"/>
    </row>
    <row r="617" ht="12.75" customHeight="1">
      <c r="A617" s="14"/>
      <c r="B617" s="14"/>
      <c r="C617" s="14"/>
      <c r="D617" s="14"/>
      <c r="O617" s="14"/>
      <c r="P617" s="14"/>
      <c r="Q617" s="14"/>
      <c r="R617" s="14"/>
    </row>
    <row r="618" ht="12.75" customHeight="1">
      <c r="A618" s="14"/>
      <c r="B618" s="14"/>
      <c r="C618" s="14"/>
      <c r="D618" s="14"/>
      <c r="O618" s="14"/>
      <c r="P618" s="14"/>
      <c r="Q618" s="14"/>
      <c r="R618" s="14"/>
    </row>
    <row r="619" ht="12.75" customHeight="1">
      <c r="A619" s="14"/>
      <c r="B619" s="14"/>
      <c r="C619" s="14"/>
      <c r="D619" s="14"/>
      <c r="O619" s="14"/>
      <c r="P619" s="14"/>
      <c r="Q619" s="14"/>
      <c r="R619" s="14"/>
    </row>
    <row r="620" ht="12.75" customHeight="1">
      <c r="A620" s="14"/>
      <c r="B620" s="14"/>
      <c r="C620" s="14"/>
      <c r="D620" s="14"/>
      <c r="O620" s="14"/>
      <c r="P620" s="14"/>
      <c r="Q620" s="14"/>
      <c r="R620" s="14"/>
    </row>
    <row r="621" ht="12.75" customHeight="1">
      <c r="A621" s="14"/>
      <c r="B621" s="14"/>
      <c r="C621" s="14"/>
      <c r="D621" s="14"/>
      <c r="O621" s="14"/>
      <c r="P621" s="14"/>
      <c r="Q621" s="14"/>
      <c r="R621" s="14"/>
    </row>
    <row r="622" ht="12.75" customHeight="1">
      <c r="A622" s="14"/>
      <c r="B622" s="14"/>
      <c r="C622" s="14"/>
      <c r="D622" s="14"/>
      <c r="O622" s="14"/>
      <c r="P622" s="14"/>
      <c r="Q622" s="14"/>
      <c r="R622" s="14"/>
    </row>
    <row r="623" ht="12.75" customHeight="1">
      <c r="A623" s="14"/>
      <c r="B623" s="14"/>
      <c r="C623" s="14"/>
      <c r="D623" s="14"/>
      <c r="O623" s="14"/>
      <c r="P623" s="14"/>
      <c r="Q623" s="14"/>
      <c r="R623" s="14"/>
    </row>
    <row r="624" ht="12.75" customHeight="1">
      <c r="A624" s="14"/>
      <c r="B624" s="14"/>
      <c r="C624" s="14"/>
      <c r="D624" s="14"/>
      <c r="O624" s="14"/>
      <c r="P624" s="14"/>
      <c r="Q624" s="14"/>
      <c r="R624" s="14"/>
    </row>
    <row r="625" ht="12.75" customHeight="1">
      <c r="A625" s="14"/>
      <c r="B625" s="14"/>
      <c r="C625" s="14"/>
      <c r="D625" s="14"/>
      <c r="O625" s="14"/>
      <c r="P625" s="14"/>
      <c r="Q625" s="14"/>
      <c r="R625" s="14"/>
    </row>
    <row r="626" ht="12.75" customHeight="1">
      <c r="A626" s="14"/>
      <c r="B626" s="14"/>
      <c r="C626" s="14"/>
      <c r="D626" s="14"/>
      <c r="O626" s="14"/>
      <c r="P626" s="14"/>
      <c r="Q626" s="14"/>
      <c r="R626" s="14"/>
    </row>
    <row r="627" ht="12.75" customHeight="1">
      <c r="A627" s="14"/>
      <c r="B627" s="14"/>
      <c r="C627" s="14"/>
      <c r="D627" s="14"/>
      <c r="O627" s="14"/>
      <c r="P627" s="14"/>
      <c r="Q627" s="14"/>
      <c r="R627" s="14"/>
    </row>
    <row r="628" ht="12.75" customHeight="1">
      <c r="A628" s="14"/>
      <c r="B628" s="14"/>
      <c r="C628" s="14"/>
      <c r="D628" s="14"/>
      <c r="O628" s="14"/>
      <c r="P628" s="14"/>
      <c r="Q628" s="14"/>
      <c r="R628" s="14"/>
    </row>
    <row r="629" ht="12.75" customHeight="1">
      <c r="A629" s="14"/>
      <c r="B629" s="14"/>
      <c r="C629" s="14"/>
      <c r="D629" s="14"/>
      <c r="O629" s="14"/>
      <c r="P629" s="14"/>
      <c r="Q629" s="14"/>
      <c r="R629" s="14"/>
    </row>
    <row r="630" ht="12.75" customHeight="1">
      <c r="A630" s="14"/>
      <c r="B630" s="14"/>
      <c r="C630" s="14"/>
      <c r="D630" s="14"/>
      <c r="O630" s="14"/>
      <c r="P630" s="14"/>
      <c r="Q630" s="14"/>
      <c r="R630" s="14"/>
    </row>
    <row r="631" ht="12.75" customHeight="1">
      <c r="A631" s="14"/>
      <c r="B631" s="14"/>
      <c r="C631" s="14"/>
      <c r="D631" s="14"/>
      <c r="O631" s="14"/>
      <c r="P631" s="14"/>
      <c r="Q631" s="14"/>
      <c r="R631" s="14"/>
    </row>
    <row r="632" ht="12.75" customHeight="1">
      <c r="A632" s="14"/>
      <c r="B632" s="14"/>
      <c r="C632" s="14"/>
      <c r="D632" s="14"/>
      <c r="O632" s="14"/>
      <c r="P632" s="14"/>
      <c r="Q632" s="14"/>
      <c r="R632" s="14"/>
    </row>
    <row r="633" ht="12.75" customHeight="1">
      <c r="A633" s="14"/>
      <c r="B633" s="14"/>
      <c r="C633" s="14"/>
      <c r="D633" s="14"/>
      <c r="O633" s="14"/>
      <c r="P633" s="14"/>
      <c r="Q633" s="14"/>
      <c r="R633" s="14"/>
    </row>
    <row r="634" ht="12.75" customHeight="1">
      <c r="A634" s="14"/>
      <c r="B634" s="14"/>
      <c r="C634" s="14"/>
      <c r="D634" s="14"/>
      <c r="O634" s="14"/>
      <c r="P634" s="14"/>
      <c r="Q634" s="14"/>
      <c r="R634" s="14"/>
    </row>
    <row r="635" ht="12.75" customHeight="1">
      <c r="A635" s="14"/>
      <c r="B635" s="14"/>
      <c r="C635" s="14"/>
      <c r="D635" s="14"/>
      <c r="O635" s="14"/>
      <c r="P635" s="14"/>
      <c r="Q635" s="14"/>
      <c r="R635" s="14"/>
    </row>
    <row r="636" ht="12.75" customHeight="1">
      <c r="A636" s="14"/>
      <c r="B636" s="14"/>
      <c r="C636" s="14"/>
      <c r="D636" s="14"/>
      <c r="O636" s="14"/>
      <c r="P636" s="14"/>
      <c r="Q636" s="14"/>
      <c r="R636" s="14"/>
    </row>
    <row r="637" ht="12.75" customHeight="1">
      <c r="A637" s="14"/>
      <c r="B637" s="14"/>
      <c r="C637" s="14"/>
      <c r="D637" s="14"/>
      <c r="O637" s="14"/>
      <c r="P637" s="14"/>
      <c r="Q637" s="14"/>
      <c r="R637" s="14"/>
    </row>
    <row r="638" ht="12.75" customHeight="1">
      <c r="A638" s="14"/>
      <c r="B638" s="14"/>
      <c r="C638" s="14"/>
      <c r="D638" s="14"/>
      <c r="O638" s="14"/>
      <c r="P638" s="14"/>
      <c r="Q638" s="14"/>
      <c r="R638" s="14"/>
    </row>
    <row r="639" ht="12.75" customHeight="1">
      <c r="A639" s="14"/>
      <c r="B639" s="14"/>
      <c r="C639" s="14"/>
      <c r="D639" s="14"/>
      <c r="O639" s="14"/>
      <c r="P639" s="14"/>
      <c r="Q639" s="14"/>
      <c r="R639" s="14"/>
    </row>
    <row r="640" ht="12.75" customHeight="1">
      <c r="A640" s="14"/>
      <c r="B640" s="14"/>
      <c r="C640" s="14"/>
      <c r="D640" s="14"/>
      <c r="O640" s="14"/>
      <c r="P640" s="14"/>
      <c r="Q640" s="14"/>
      <c r="R640" s="14"/>
    </row>
    <row r="641" ht="12.75" customHeight="1">
      <c r="A641" s="14"/>
      <c r="B641" s="14"/>
      <c r="C641" s="14"/>
      <c r="D641" s="14"/>
      <c r="O641" s="14"/>
      <c r="P641" s="14"/>
      <c r="Q641" s="14"/>
      <c r="R641" s="14"/>
    </row>
    <row r="642" ht="12.75" customHeight="1">
      <c r="A642" s="14"/>
      <c r="B642" s="14"/>
      <c r="C642" s="14"/>
      <c r="D642" s="14"/>
      <c r="O642" s="14"/>
      <c r="P642" s="14"/>
      <c r="Q642" s="14"/>
      <c r="R642" s="14"/>
    </row>
    <row r="643" ht="12.75" customHeight="1">
      <c r="A643" s="14"/>
      <c r="B643" s="14"/>
      <c r="C643" s="14"/>
      <c r="D643" s="14"/>
      <c r="O643" s="14"/>
      <c r="P643" s="14"/>
      <c r="Q643" s="14"/>
      <c r="R643" s="14"/>
    </row>
    <row r="644" ht="12.75" customHeight="1">
      <c r="A644" s="14"/>
      <c r="B644" s="14"/>
      <c r="C644" s="14"/>
      <c r="D644" s="14"/>
      <c r="O644" s="14"/>
      <c r="P644" s="14"/>
      <c r="Q644" s="14"/>
      <c r="R644" s="14"/>
    </row>
    <row r="645" ht="12.75" customHeight="1">
      <c r="A645" s="14"/>
      <c r="B645" s="14"/>
      <c r="C645" s="14"/>
      <c r="D645" s="14"/>
      <c r="O645" s="14"/>
      <c r="P645" s="14"/>
      <c r="Q645" s="14"/>
      <c r="R645" s="14"/>
    </row>
    <row r="646" ht="12.75" customHeight="1">
      <c r="A646" s="14"/>
      <c r="B646" s="14"/>
      <c r="C646" s="14"/>
      <c r="D646" s="14"/>
      <c r="O646" s="14"/>
      <c r="P646" s="14"/>
      <c r="Q646" s="14"/>
      <c r="R646" s="14"/>
    </row>
    <row r="647" ht="12.75" customHeight="1">
      <c r="A647" s="14"/>
      <c r="B647" s="14"/>
      <c r="C647" s="14"/>
      <c r="D647" s="14"/>
      <c r="O647" s="14"/>
      <c r="P647" s="14"/>
      <c r="Q647" s="14"/>
      <c r="R647" s="14"/>
    </row>
    <row r="648" ht="12.75" customHeight="1">
      <c r="A648" s="14"/>
      <c r="B648" s="14"/>
      <c r="C648" s="14"/>
      <c r="D648" s="14"/>
      <c r="O648" s="14"/>
      <c r="P648" s="14"/>
      <c r="Q648" s="14"/>
      <c r="R648" s="14"/>
    </row>
    <row r="649" ht="12.75" customHeight="1">
      <c r="A649" s="14"/>
      <c r="B649" s="14"/>
      <c r="C649" s="14"/>
      <c r="D649" s="14"/>
      <c r="O649" s="14"/>
      <c r="P649" s="14"/>
      <c r="Q649" s="14"/>
      <c r="R649" s="14"/>
    </row>
    <row r="650" ht="12.75" customHeight="1">
      <c r="A650" s="14"/>
      <c r="B650" s="14"/>
      <c r="C650" s="14"/>
      <c r="D650" s="14"/>
      <c r="O650" s="14"/>
      <c r="P650" s="14"/>
      <c r="Q650" s="14"/>
      <c r="R650" s="14"/>
    </row>
    <row r="651" ht="12.75" customHeight="1">
      <c r="A651" s="14"/>
      <c r="B651" s="14"/>
      <c r="C651" s="14"/>
      <c r="D651" s="14"/>
      <c r="O651" s="14"/>
      <c r="P651" s="14"/>
      <c r="Q651" s="14"/>
      <c r="R651" s="14"/>
    </row>
    <row r="652" ht="12.75" customHeight="1">
      <c r="A652" s="14"/>
      <c r="B652" s="14"/>
      <c r="C652" s="14"/>
      <c r="D652" s="14"/>
      <c r="O652" s="14"/>
      <c r="P652" s="14"/>
      <c r="Q652" s="14"/>
      <c r="R652" s="14"/>
    </row>
    <row r="653" ht="12.75" customHeight="1">
      <c r="A653" s="14"/>
      <c r="B653" s="14"/>
      <c r="C653" s="14"/>
      <c r="D653" s="14"/>
      <c r="O653" s="14"/>
      <c r="P653" s="14"/>
      <c r="Q653" s="14"/>
      <c r="R653" s="14"/>
    </row>
    <row r="654" ht="12.75" customHeight="1">
      <c r="A654" s="14"/>
      <c r="B654" s="14"/>
      <c r="C654" s="14"/>
      <c r="D654" s="14"/>
      <c r="O654" s="14"/>
      <c r="P654" s="14"/>
      <c r="Q654" s="14"/>
      <c r="R654" s="14"/>
    </row>
    <row r="655" ht="12.75" customHeight="1">
      <c r="A655" s="14"/>
      <c r="B655" s="14"/>
      <c r="C655" s="14"/>
      <c r="D655" s="14"/>
      <c r="O655" s="14"/>
      <c r="P655" s="14"/>
      <c r="Q655" s="14"/>
      <c r="R655" s="14"/>
    </row>
    <row r="656" ht="12.75" customHeight="1">
      <c r="A656" s="14"/>
      <c r="B656" s="14"/>
      <c r="C656" s="14"/>
      <c r="D656" s="14"/>
      <c r="O656" s="14"/>
      <c r="P656" s="14"/>
      <c r="Q656" s="14"/>
      <c r="R656" s="14"/>
    </row>
    <row r="657" ht="12.75" customHeight="1">
      <c r="A657" s="14"/>
      <c r="B657" s="14"/>
      <c r="C657" s="14"/>
      <c r="D657" s="14"/>
      <c r="O657" s="14"/>
      <c r="P657" s="14"/>
      <c r="Q657" s="14"/>
      <c r="R657" s="14"/>
    </row>
    <row r="658" ht="12.75" customHeight="1">
      <c r="A658" s="14"/>
      <c r="B658" s="14"/>
      <c r="C658" s="14"/>
      <c r="D658" s="14"/>
      <c r="O658" s="14"/>
      <c r="P658" s="14"/>
      <c r="Q658" s="14"/>
      <c r="R658" s="14"/>
    </row>
    <row r="659" ht="12.75" customHeight="1">
      <c r="A659" s="14"/>
      <c r="B659" s="14"/>
      <c r="C659" s="14"/>
      <c r="D659" s="14"/>
      <c r="O659" s="14"/>
      <c r="P659" s="14"/>
      <c r="Q659" s="14"/>
      <c r="R659" s="14"/>
    </row>
    <row r="660" ht="12.75" customHeight="1">
      <c r="A660" s="14"/>
      <c r="B660" s="14"/>
      <c r="C660" s="14"/>
      <c r="D660" s="14"/>
      <c r="O660" s="14"/>
      <c r="P660" s="14"/>
      <c r="Q660" s="14"/>
      <c r="R660" s="14"/>
    </row>
    <row r="661" ht="12.75" customHeight="1">
      <c r="A661" s="14"/>
      <c r="B661" s="14"/>
      <c r="C661" s="14"/>
      <c r="D661" s="14"/>
      <c r="O661" s="14"/>
      <c r="P661" s="14"/>
      <c r="Q661" s="14"/>
      <c r="R661" s="14"/>
    </row>
    <row r="662" ht="12.75" customHeight="1">
      <c r="A662" s="14"/>
      <c r="B662" s="14"/>
      <c r="C662" s="14"/>
      <c r="D662" s="14"/>
      <c r="O662" s="14"/>
      <c r="P662" s="14"/>
      <c r="Q662" s="14"/>
      <c r="R662" s="14"/>
    </row>
    <row r="663" ht="12.75" customHeight="1">
      <c r="A663" s="14"/>
      <c r="B663" s="14"/>
      <c r="C663" s="14"/>
      <c r="D663" s="14"/>
      <c r="O663" s="14"/>
      <c r="P663" s="14"/>
      <c r="Q663" s="14"/>
      <c r="R663" s="14"/>
    </row>
    <row r="664" ht="12.75" customHeight="1">
      <c r="A664" s="14"/>
      <c r="B664" s="14"/>
      <c r="C664" s="14"/>
      <c r="D664" s="14"/>
      <c r="O664" s="14"/>
      <c r="P664" s="14"/>
      <c r="Q664" s="14"/>
      <c r="R664" s="14"/>
    </row>
    <row r="665" ht="12.75" customHeight="1">
      <c r="A665" s="14"/>
      <c r="B665" s="14"/>
      <c r="C665" s="14"/>
      <c r="D665" s="14"/>
      <c r="O665" s="14"/>
      <c r="P665" s="14"/>
      <c r="Q665" s="14"/>
      <c r="R665" s="14"/>
    </row>
    <row r="666" ht="12.75" customHeight="1">
      <c r="A666" s="14"/>
      <c r="B666" s="14"/>
      <c r="C666" s="14"/>
      <c r="D666" s="14"/>
      <c r="O666" s="14"/>
      <c r="P666" s="14"/>
      <c r="Q666" s="14"/>
      <c r="R666" s="14"/>
    </row>
    <row r="667" ht="12.75" customHeight="1">
      <c r="A667" s="14"/>
      <c r="B667" s="14"/>
      <c r="C667" s="14"/>
      <c r="D667" s="14"/>
      <c r="O667" s="14"/>
      <c r="P667" s="14"/>
      <c r="Q667" s="14"/>
      <c r="R667" s="14"/>
    </row>
    <row r="668" ht="12.75" customHeight="1">
      <c r="A668" s="14"/>
      <c r="B668" s="14"/>
      <c r="C668" s="14"/>
      <c r="D668" s="14"/>
      <c r="O668" s="14"/>
      <c r="P668" s="14"/>
      <c r="Q668" s="14"/>
      <c r="R668" s="14"/>
    </row>
    <row r="669" ht="12.75" customHeight="1">
      <c r="A669" s="14"/>
      <c r="B669" s="14"/>
      <c r="C669" s="14"/>
      <c r="D669" s="14"/>
      <c r="O669" s="14"/>
      <c r="P669" s="14"/>
      <c r="Q669" s="14"/>
      <c r="R669" s="14"/>
    </row>
    <row r="670" ht="12.75" customHeight="1">
      <c r="A670" s="14"/>
      <c r="B670" s="14"/>
      <c r="C670" s="14"/>
      <c r="D670" s="14"/>
      <c r="O670" s="14"/>
      <c r="P670" s="14"/>
      <c r="Q670" s="14"/>
      <c r="R670" s="14"/>
    </row>
    <row r="671" ht="12.75" customHeight="1">
      <c r="A671" s="14"/>
      <c r="B671" s="14"/>
      <c r="C671" s="14"/>
      <c r="D671" s="14"/>
      <c r="O671" s="14"/>
      <c r="P671" s="14"/>
      <c r="Q671" s="14"/>
      <c r="R671" s="14"/>
    </row>
    <row r="672" ht="12.75" customHeight="1">
      <c r="A672" s="14"/>
      <c r="B672" s="14"/>
      <c r="C672" s="14"/>
      <c r="D672" s="14"/>
      <c r="O672" s="14"/>
      <c r="P672" s="14"/>
      <c r="Q672" s="14"/>
      <c r="R672" s="14"/>
    </row>
    <row r="673" ht="12.75" customHeight="1">
      <c r="A673" s="14"/>
      <c r="B673" s="14"/>
      <c r="C673" s="14"/>
      <c r="D673" s="14"/>
      <c r="O673" s="14"/>
      <c r="P673" s="14"/>
      <c r="Q673" s="14"/>
      <c r="R673" s="14"/>
    </row>
    <row r="674" ht="12.75" customHeight="1">
      <c r="A674" s="14"/>
      <c r="B674" s="14"/>
      <c r="C674" s="14"/>
      <c r="D674" s="14"/>
      <c r="O674" s="14"/>
      <c r="P674" s="14"/>
      <c r="Q674" s="14"/>
      <c r="R674" s="14"/>
    </row>
    <row r="675" ht="12.75" customHeight="1">
      <c r="A675" s="14"/>
      <c r="B675" s="14"/>
      <c r="C675" s="14"/>
      <c r="D675" s="14"/>
      <c r="O675" s="14"/>
      <c r="P675" s="14"/>
      <c r="Q675" s="14"/>
      <c r="R675" s="14"/>
    </row>
    <row r="676" ht="12.75" customHeight="1">
      <c r="A676" s="14"/>
      <c r="B676" s="14"/>
      <c r="C676" s="14"/>
      <c r="D676" s="14"/>
      <c r="O676" s="14"/>
      <c r="P676" s="14"/>
      <c r="Q676" s="14"/>
      <c r="R676" s="14"/>
    </row>
    <row r="677" ht="12.75" customHeight="1">
      <c r="A677" s="14"/>
      <c r="B677" s="14"/>
      <c r="C677" s="14"/>
      <c r="D677" s="14"/>
      <c r="O677" s="14"/>
      <c r="P677" s="14"/>
      <c r="Q677" s="14"/>
      <c r="R677" s="14"/>
    </row>
    <row r="678" ht="12.75" customHeight="1">
      <c r="A678" s="14"/>
      <c r="B678" s="14"/>
      <c r="C678" s="14"/>
      <c r="D678" s="14"/>
      <c r="O678" s="14"/>
      <c r="P678" s="14"/>
      <c r="Q678" s="14"/>
      <c r="R678" s="14"/>
    </row>
    <row r="679" ht="12.75" customHeight="1">
      <c r="A679" s="14"/>
      <c r="B679" s="14"/>
      <c r="C679" s="14"/>
      <c r="D679" s="14"/>
      <c r="O679" s="14"/>
      <c r="P679" s="14"/>
      <c r="Q679" s="14"/>
      <c r="R679" s="14"/>
    </row>
    <row r="680" ht="12.75" customHeight="1">
      <c r="A680" s="14"/>
      <c r="B680" s="14"/>
      <c r="C680" s="14"/>
      <c r="D680" s="14"/>
      <c r="O680" s="14"/>
      <c r="P680" s="14"/>
      <c r="Q680" s="14"/>
      <c r="R680" s="14"/>
    </row>
    <row r="681" ht="12.75" customHeight="1">
      <c r="A681" s="14"/>
      <c r="B681" s="14"/>
      <c r="C681" s="14"/>
      <c r="D681" s="14"/>
      <c r="O681" s="14"/>
      <c r="P681" s="14"/>
      <c r="Q681" s="14"/>
      <c r="R681" s="14"/>
    </row>
    <row r="682" ht="12.75" customHeight="1">
      <c r="A682" s="14"/>
      <c r="B682" s="14"/>
      <c r="C682" s="14"/>
      <c r="D682" s="14"/>
      <c r="O682" s="14"/>
      <c r="P682" s="14"/>
      <c r="Q682" s="14"/>
      <c r="R682" s="14"/>
    </row>
    <row r="683" ht="12.75" customHeight="1">
      <c r="A683" s="14"/>
      <c r="B683" s="14"/>
      <c r="C683" s="14"/>
      <c r="D683" s="14"/>
      <c r="O683" s="14"/>
      <c r="P683" s="14"/>
      <c r="Q683" s="14"/>
      <c r="R683" s="14"/>
    </row>
    <row r="684" ht="12.75" customHeight="1">
      <c r="A684" s="14"/>
      <c r="B684" s="14"/>
      <c r="C684" s="14"/>
      <c r="D684" s="14"/>
      <c r="O684" s="14"/>
      <c r="P684" s="14"/>
      <c r="Q684" s="14"/>
      <c r="R684" s="14"/>
    </row>
    <row r="685" ht="12.75" customHeight="1">
      <c r="A685" s="14"/>
      <c r="B685" s="14"/>
      <c r="C685" s="14"/>
      <c r="D685" s="14"/>
      <c r="O685" s="14"/>
      <c r="P685" s="14"/>
      <c r="Q685" s="14"/>
      <c r="R685" s="14"/>
    </row>
    <row r="686" ht="12.75" customHeight="1">
      <c r="A686" s="14"/>
      <c r="B686" s="14"/>
      <c r="C686" s="14"/>
      <c r="D686" s="14"/>
      <c r="O686" s="14"/>
      <c r="P686" s="14"/>
      <c r="Q686" s="14"/>
      <c r="R686" s="14"/>
    </row>
    <row r="687" ht="12.75" customHeight="1">
      <c r="A687" s="14"/>
      <c r="B687" s="14"/>
      <c r="C687" s="14"/>
      <c r="D687" s="14"/>
      <c r="O687" s="14"/>
      <c r="P687" s="14"/>
      <c r="Q687" s="14"/>
      <c r="R687" s="14"/>
    </row>
    <row r="688" ht="12.75" customHeight="1">
      <c r="A688" s="14"/>
      <c r="B688" s="14"/>
      <c r="C688" s="14"/>
      <c r="D688" s="14"/>
      <c r="O688" s="14"/>
      <c r="P688" s="14"/>
      <c r="Q688" s="14"/>
      <c r="R688" s="14"/>
    </row>
    <row r="689" ht="12.75" customHeight="1">
      <c r="A689" s="14"/>
      <c r="B689" s="14"/>
      <c r="C689" s="14"/>
      <c r="D689" s="14"/>
      <c r="O689" s="14"/>
      <c r="P689" s="14"/>
      <c r="Q689" s="14"/>
      <c r="R689" s="14"/>
    </row>
    <row r="690" ht="12.75" customHeight="1">
      <c r="A690" s="14"/>
      <c r="B690" s="14"/>
      <c r="C690" s="14"/>
      <c r="D690" s="14"/>
      <c r="O690" s="14"/>
      <c r="P690" s="14"/>
      <c r="Q690" s="14"/>
      <c r="R690" s="14"/>
    </row>
    <row r="691" ht="12.75" customHeight="1">
      <c r="A691" s="14"/>
      <c r="B691" s="14"/>
      <c r="C691" s="14"/>
      <c r="D691" s="14"/>
      <c r="O691" s="14"/>
      <c r="P691" s="14"/>
      <c r="Q691" s="14"/>
      <c r="R691" s="14"/>
    </row>
    <row r="692" ht="12.75" customHeight="1">
      <c r="A692" s="14"/>
      <c r="B692" s="14"/>
      <c r="C692" s="14"/>
      <c r="D692" s="14"/>
      <c r="O692" s="14"/>
      <c r="P692" s="14"/>
      <c r="Q692" s="14"/>
      <c r="R692" s="14"/>
    </row>
    <row r="693" ht="12.75" customHeight="1">
      <c r="A693" s="14"/>
      <c r="B693" s="14"/>
      <c r="C693" s="14"/>
      <c r="D693" s="14"/>
      <c r="O693" s="14"/>
      <c r="P693" s="14"/>
      <c r="Q693" s="14"/>
      <c r="R693" s="14"/>
    </row>
    <row r="694" ht="12.75" customHeight="1">
      <c r="A694" s="14"/>
      <c r="B694" s="14"/>
      <c r="C694" s="14"/>
      <c r="D694" s="14"/>
      <c r="O694" s="14"/>
      <c r="P694" s="14"/>
      <c r="Q694" s="14"/>
      <c r="R694" s="14"/>
    </row>
    <row r="695" ht="12.75" customHeight="1">
      <c r="A695" s="14"/>
      <c r="B695" s="14"/>
      <c r="C695" s="14"/>
      <c r="D695" s="14"/>
      <c r="O695" s="14"/>
      <c r="P695" s="14"/>
      <c r="Q695" s="14"/>
      <c r="R695" s="14"/>
    </row>
    <row r="696" ht="12.75" customHeight="1">
      <c r="A696" s="14"/>
      <c r="B696" s="14"/>
      <c r="C696" s="14"/>
      <c r="D696" s="14"/>
      <c r="O696" s="14"/>
      <c r="P696" s="14"/>
      <c r="Q696" s="14"/>
      <c r="R696" s="14"/>
    </row>
    <row r="697" ht="12.75" customHeight="1">
      <c r="A697" s="14"/>
      <c r="B697" s="14"/>
      <c r="C697" s="14"/>
      <c r="D697" s="14"/>
      <c r="O697" s="14"/>
      <c r="P697" s="14"/>
      <c r="Q697" s="14"/>
      <c r="R697" s="14"/>
    </row>
    <row r="698" ht="12.75" customHeight="1">
      <c r="A698" s="14"/>
      <c r="B698" s="14"/>
      <c r="C698" s="14"/>
      <c r="D698" s="14"/>
      <c r="O698" s="14"/>
      <c r="P698" s="14"/>
      <c r="Q698" s="14"/>
      <c r="R698" s="14"/>
    </row>
    <row r="699" ht="12.75" customHeight="1">
      <c r="A699" s="14"/>
      <c r="B699" s="14"/>
      <c r="C699" s="14"/>
      <c r="D699" s="14"/>
      <c r="O699" s="14"/>
      <c r="P699" s="14"/>
      <c r="Q699" s="14"/>
      <c r="R699" s="14"/>
    </row>
    <row r="700" ht="12.75" customHeight="1">
      <c r="A700" s="14"/>
      <c r="B700" s="14"/>
      <c r="C700" s="14"/>
      <c r="D700" s="14"/>
      <c r="O700" s="14"/>
      <c r="P700" s="14"/>
      <c r="Q700" s="14"/>
      <c r="R700" s="14"/>
    </row>
    <row r="701" ht="12.75" customHeight="1">
      <c r="A701" s="14"/>
      <c r="B701" s="14"/>
      <c r="C701" s="14"/>
      <c r="D701" s="14"/>
      <c r="O701" s="14"/>
      <c r="P701" s="14"/>
      <c r="Q701" s="14"/>
      <c r="R701" s="14"/>
    </row>
    <row r="702" ht="12.75" customHeight="1">
      <c r="A702" s="14"/>
      <c r="B702" s="14"/>
      <c r="C702" s="14"/>
      <c r="D702" s="14"/>
      <c r="O702" s="14"/>
      <c r="P702" s="14"/>
      <c r="Q702" s="14"/>
      <c r="R702" s="14"/>
    </row>
    <row r="703" ht="12.75" customHeight="1">
      <c r="A703" s="14"/>
      <c r="B703" s="14"/>
      <c r="C703" s="14"/>
      <c r="D703" s="14"/>
      <c r="O703" s="14"/>
      <c r="P703" s="14"/>
      <c r="Q703" s="14"/>
      <c r="R703" s="14"/>
    </row>
    <row r="704" ht="12.75" customHeight="1">
      <c r="A704" s="14"/>
      <c r="B704" s="14"/>
      <c r="C704" s="14"/>
      <c r="D704" s="14"/>
      <c r="O704" s="14"/>
      <c r="P704" s="14"/>
      <c r="Q704" s="14"/>
      <c r="R704" s="14"/>
    </row>
    <row r="705" ht="12.75" customHeight="1">
      <c r="A705" s="14"/>
      <c r="B705" s="14"/>
      <c r="C705" s="14"/>
      <c r="D705" s="14"/>
      <c r="O705" s="14"/>
      <c r="P705" s="14"/>
      <c r="Q705" s="14"/>
      <c r="R705" s="14"/>
    </row>
    <row r="706" ht="12.75" customHeight="1">
      <c r="A706" s="14"/>
      <c r="B706" s="14"/>
      <c r="C706" s="14"/>
      <c r="D706" s="14"/>
      <c r="O706" s="14"/>
      <c r="P706" s="14"/>
      <c r="Q706" s="14"/>
      <c r="R706" s="14"/>
    </row>
    <row r="707" ht="12.75" customHeight="1">
      <c r="A707" s="14"/>
      <c r="B707" s="14"/>
      <c r="C707" s="14"/>
      <c r="D707" s="14"/>
      <c r="O707" s="14"/>
      <c r="P707" s="14"/>
      <c r="Q707" s="14"/>
      <c r="R707" s="14"/>
    </row>
    <row r="708" ht="12.75" customHeight="1">
      <c r="A708" s="14"/>
      <c r="B708" s="14"/>
      <c r="C708" s="14"/>
      <c r="D708" s="14"/>
      <c r="O708" s="14"/>
      <c r="P708" s="14"/>
      <c r="Q708" s="14"/>
      <c r="R708" s="14"/>
    </row>
    <row r="709" ht="12.75" customHeight="1">
      <c r="A709" s="14"/>
      <c r="B709" s="14"/>
      <c r="C709" s="14"/>
      <c r="D709" s="14"/>
      <c r="O709" s="14"/>
      <c r="P709" s="14"/>
      <c r="Q709" s="14"/>
      <c r="R709" s="14"/>
    </row>
    <row r="710" ht="12.75" customHeight="1">
      <c r="A710" s="14"/>
      <c r="B710" s="14"/>
      <c r="C710" s="14"/>
      <c r="D710" s="14"/>
      <c r="O710" s="14"/>
      <c r="P710" s="14"/>
      <c r="Q710" s="14"/>
      <c r="R710" s="14"/>
    </row>
    <row r="711" ht="12.75" customHeight="1">
      <c r="A711" s="14"/>
      <c r="B711" s="14"/>
      <c r="C711" s="14"/>
      <c r="D711" s="14"/>
      <c r="O711" s="14"/>
      <c r="P711" s="14"/>
      <c r="Q711" s="14"/>
      <c r="R711" s="14"/>
    </row>
    <row r="712" ht="12.75" customHeight="1">
      <c r="A712" s="14"/>
      <c r="B712" s="14"/>
      <c r="C712" s="14"/>
      <c r="D712" s="14"/>
      <c r="O712" s="14"/>
      <c r="P712" s="14"/>
      <c r="Q712" s="14"/>
      <c r="R712" s="14"/>
    </row>
    <row r="713" ht="12.75" customHeight="1">
      <c r="A713" s="14"/>
      <c r="B713" s="14"/>
      <c r="C713" s="14"/>
      <c r="D713" s="14"/>
      <c r="O713" s="14"/>
      <c r="P713" s="14"/>
      <c r="Q713" s="14"/>
      <c r="R713" s="14"/>
    </row>
    <row r="714" ht="12.75" customHeight="1">
      <c r="A714" s="14"/>
      <c r="B714" s="14"/>
      <c r="C714" s="14"/>
      <c r="D714" s="14"/>
      <c r="O714" s="14"/>
      <c r="P714" s="14"/>
      <c r="Q714" s="14"/>
      <c r="R714" s="14"/>
    </row>
    <row r="715" ht="12.75" customHeight="1">
      <c r="A715" s="14"/>
      <c r="B715" s="14"/>
      <c r="C715" s="14"/>
      <c r="D715" s="14"/>
      <c r="O715" s="14"/>
      <c r="P715" s="14"/>
      <c r="Q715" s="14"/>
      <c r="R715" s="14"/>
    </row>
    <row r="716" ht="12.75" customHeight="1">
      <c r="A716" s="14"/>
      <c r="B716" s="14"/>
      <c r="C716" s="14"/>
      <c r="D716" s="14"/>
      <c r="O716" s="14"/>
      <c r="P716" s="14"/>
      <c r="Q716" s="14"/>
      <c r="R716" s="14"/>
    </row>
    <row r="717" ht="12.75" customHeight="1">
      <c r="A717" s="14"/>
      <c r="B717" s="14"/>
      <c r="C717" s="14"/>
      <c r="D717" s="14"/>
      <c r="O717" s="14"/>
      <c r="P717" s="14"/>
      <c r="Q717" s="14"/>
      <c r="R717" s="14"/>
    </row>
    <row r="718" ht="12.75" customHeight="1">
      <c r="A718" s="14"/>
      <c r="B718" s="14"/>
      <c r="C718" s="14"/>
      <c r="D718" s="14"/>
      <c r="O718" s="14"/>
      <c r="P718" s="14"/>
      <c r="Q718" s="14"/>
      <c r="R718" s="14"/>
    </row>
    <row r="719" ht="12.75" customHeight="1">
      <c r="A719" s="14"/>
      <c r="B719" s="14"/>
      <c r="C719" s="14"/>
      <c r="D719" s="14"/>
      <c r="O719" s="14"/>
      <c r="P719" s="14"/>
      <c r="Q719" s="14"/>
      <c r="R719" s="14"/>
    </row>
    <row r="720" ht="12.75" customHeight="1">
      <c r="A720" s="14"/>
      <c r="B720" s="14"/>
      <c r="C720" s="14"/>
      <c r="D720" s="14"/>
      <c r="O720" s="14"/>
      <c r="P720" s="14"/>
      <c r="Q720" s="14"/>
      <c r="R720" s="14"/>
    </row>
    <row r="721" ht="12.75" customHeight="1">
      <c r="A721" s="14"/>
      <c r="B721" s="14"/>
      <c r="C721" s="14"/>
      <c r="D721" s="14"/>
      <c r="O721" s="14"/>
      <c r="P721" s="14"/>
      <c r="Q721" s="14"/>
      <c r="R721" s="14"/>
    </row>
    <row r="722" ht="12.75" customHeight="1">
      <c r="A722" s="14"/>
      <c r="B722" s="14"/>
      <c r="C722" s="14"/>
      <c r="D722" s="14"/>
      <c r="O722" s="14"/>
      <c r="P722" s="14"/>
      <c r="Q722" s="14"/>
      <c r="R722" s="14"/>
    </row>
    <row r="723" ht="12.75" customHeight="1">
      <c r="A723" s="14"/>
      <c r="B723" s="14"/>
      <c r="C723" s="14"/>
      <c r="D723" s="14"/>
      <c r="O723" s="14"/>
      <c r="P723" s="14"/>
      <c r="Q723" s="14"/>
      <c r="R723" s="14"/>
    </row>
    <row r="724" ht="12.75" customHeight="1">
      <c r="A724" s="14"/>
      <c r="B724" s="14"/>
      <c r="C724" s="14"/>
      <c r="D724" s="14"/>
      <c r="O724" s="14"/>
      <c r="P724" s="14"/>
      <c r="Q724" s="14"/>
      <c r="R724" s="14"/>
    </row>
    <row r="725" ht="12.75" customHeight="1">
      <c r="A725" s="14"/>
      <c r="B725" s="14"/>
      <c r="C725" s="14"/>
      <c r="D725" s="14"/>
      <c r="O725" s="14"/>
      <c r="P725" s="14"/>
      <c r="Q725" s="14"/>
      <c r="R725" s="14"/>
    </row>
    <row r="726" ht="12.75" customHeight="1">
      <c r="A726" s="14"/>
      <c r="B726" s="14"/>
      <c r="C726" s="14"/>
      <c r="D726" s="14"/>
      <c r="O726" s="14"/>
      <c r="P726" s="14"/>
      <c r="Q726" s="14"/>
      <c r="R726" s="14"/>
    </row>
    <row r="727" ht="12.75" customHeight="1">
      <c r="A727" s="14"/>
      <c r="B727" s="14"/>
      <c r="C727" s="14"/>
      <c r="D727" s="14"/>
      <c r="O727" s="14"/>
      <c r="P727" s="14"/>
      <c r="Q727" s="14"/>
      <c r="R727" s="14"/>
    </row>
    <row r="728" ht="12.75" customHeight="1">
      <c r="A728" s="14"/>
      <c r="B728" s="14"/>
      <c r="C728" s="14"/>
      <c r="D728" s="14"/>
      <c r="O728" s="14"/>
      <c r="P728" s="14"/>
      <c r="Q728" s="14"/>
      <c r="R728" s="14"/>
    </row>
    <row r="729" ht="12.75" customHeight="1">
      <c r="A729" s="14"/>
      <c r="B729" s="14"/>
      <c r="C729" s="14"/>
      <c r="D729" s="14"/>
      <c r="O729" s="14"/>
      <c r="P729" s="14"/>
      <c r="Q729" s="14"/>
      <c r="R729" s="14"/>
    </row>
    <row r="730" ht="12.75" customHeight="1">
      <c r="A730" s="14"/>
      <c r="B730" s="14"/>
      <c r="C730" s="14"/>
      <c r="D730" s="14"/>
      <c r="O730" s="14"/>
      <c r="P730" s="14"/>
      <c r="Q730" s="14"/>
      <c r="R730" s="14"/>
    </row>
    <row r="731" ht="12.75" customHeight="1">
      <c r="A731" s="14"/>
      <c r="B731" s="14"/>
      <c r="C731" s="14"/>
      <c r="D731" s="14"/>
      <c r="O731" s="14"/>
      <c r="P731" s="14"/>
      <c r="Q731" s="14"/>
      <c r="R731" s="14"/>
    </row>
    <row r="732" ht="12.75" customHeight="1">
      <c r="A732" s="14"/>
      <c r="B732" s="14"/>
      <c r="C732" s="14"/>
      <c r="D732" s="14"/>
      <c r="O732" s="14"/>
      <c r="P732" s="14"/>
      <c r="Q732" s="14"/>
      <c r="R732" s="14"/>
    </row>
    <row r="733" ht="12.75" customHeight="1">
      <c r="A733" s="14"/>
      <c r="B733" s="14"/>
      <c r="C733" s="14"/>
      <c r="D733" s="14"/>
      <c r="O733" s="14"/>
      <c r="P733" s="14"/>
      <c r="Q733" s="14"/>
      <c r="R733" s="14"/>
    </row>
    <row r="734" ht="12.75" customHeight="1">
      <c r="A734" s="14"/>
      <c r="B734" s="14"/>
      <c r="C734" s="14"/>
      <c r="D734" s="14"/>
      <c r="O734" s="14"/>
      <c r="P734" s="14"/>
      <c r="Q734" s="14"/>
      <c r="R734" s="14"/>
    </row>
    <row r="735" ht="12.75" customHeight="1">
      <c r="A735" s="14"/>
      <c r="B735" s="14"/>
      <c r="C735" s="14"/>
      <c r="D735" s="14"/>
      <c r="O735" s="14"/>
      <c r="P735" s="14"/>
      <c r="Q735" s="14"/>
      <c r="R735" s="14"/>
    </row>
    <row r="736" ht="12.75" customHeight="1">
      <c r="A736" s="14"/>
      <c r="B736" s="14"/>
      <c r="C736" s="14"/>
      <c r="D736" s="14"/>
      <c r="O736" s="14"/>
      <c r="P736" s="14"/>
      <c r="Q736" s="14"/>
      <c r="R736" s="14"/>
    </row>
    <row r="737" ht="12.75" customHeight="1">
      <c r="A737" s="14"/>
      <c r="B737" s="14"/>
      <c r="C737" s="14"/>
      <c r="D737" s="14"/>
      <c r="O737" s="14"/>
      <c r="P737" s="14"/>
      <c r="Q737" s="14"/>
      <c r="R737" s="14"/>
    </row>
    <row r="738" ht="12.75" customHeight="1">
      <c r="A738" s="14"/>
      <c r="B738" s="14"/>
      <c r="C738" s="14"/>
      <c r="D738" s="14"/>
      <c r="O738" s="14"/>
      <c r="P738" s="14"/>
      <c r="Q738" s="14"/>
      <c r="R738" s="14"/>
    </row>
    <row r="739" ht="12.75" customHeight="1">
      <c r="A739" s="14"/>
      <c r="B739" s="14"/>
      <c r="C739" s="14"/>
      <c r="D739" s="14"/>
      <c r="O739" s="14"/>
      <c r="P739" s="14"/>
      <c r="Q739" s="14"/>
      <c r="R739" s="14"/>
    </row>
    <row r="740" ht="12.75" customHeight="1">
      <c r="A740" s="14"/>
      <c r="B740" s="14"/>
      <c r="C740" s="14"/>
      <c r="D740" s="14"/>
      <c r="O740" s="14"/>
      <c r="P740" s="14"/>
      <c r="Q740" s="14"/>
      <c r="R740" s="14"/>
    </row>
    <row r="741" ht="12.75" customHeight="1">
      <c r="A741" s="14"/>
      <c r="B741" s="14"/>
      <c r="C741" s="14"/>
      <c r="D741" s="14"/>
      <c r="O741" s="14"/>
      <c r="P741" s="14"/>
      <c r="Q741" s="14"/>
      <c r="R741" s="14"/>
    </row>
    <row r="742" ht="12.75" customHeight="1">
      <c r="A742" s="14"/>
      <c r="B742" s="14"/>
      <c r="C742" s="14"/>
      <c r="D742" s="14"/>
      <c r="O742" s="14"/>
      <c r="P742" s="14"/>
      <c r="Q742" s="14"/>
      <c r="R742" s="14"/>
    </row>
    <row r="743" ht="12.75" customHeight="1">
      <c r="A743" s="14"/>
      <c r="B743" s="14"/>
      <c r="C743" s="14"/>
      <c r="D743" s="14"/>
      <c r="O743" s="14"/>
      <c r="P743" s="14"/>
      <c r="Q743" s="14"/>
      <c r="R743" s="14"/>
    </row>
    <row r="744" ht="12.75" customHeight="1">
      <c r="A744" s="14"/>
      <c r="B744" s="14"/>
      <c r="C744" s="14"/>
      <c r="D744" s="14"/>
      <c r="O744" s="14"/>
      <c r="P744" s="14"/>
      <c r="Q744" s="14"/>
      <c r="R744" s="14"/>
    </row>
    <row r="745" ht="12.75" customHeight="1">
      <c r="A745" s="14"/>
      <c r="B745" s="14"/>
      <c r="C745" s="14"/>
      <c r="D745" s="14"/>
      <c r="O745" s="14"/>
      <c r="P745" s="14"/>
      <c r="Q745" s="14"/>
      <c r="R745" s="14"/>
    </row>
    <row r="746" ht="12.75" customHeight="1">
      <c r="A746" s="14"/>
      <c r="B746" s="14"/>
      <c r="C746" s="14"/>
      <c r="D746" s="14"/>
      <c r="O746" s="14"/>
      <c r="P746" s="14"/>
      <c r="Q746" s="14"/>
      <c r="R746" s="14"/>
    </row>
    <row r="747" ht="12.75" customHeight="1">
      <c r="A747" s="14"/>
      <c r="B747" s="14"/>
      <c r="C747" s="14"/>
      <c r="D747" s="14"/>
      <c r="O747" s="14"/>
      <c r="P747" s="14"/>
      <c r="Q747" s="14"/>
      <c r="R747" s="14"/>
    </row>
    <row r="748" ht="12.75" customHeight="1">
      <c r="A748" s="14"/>
      <c r="B748" s="14"/>
      <c r="C748" s="14"/>
      <c r="D748" s="14"/>
      <c r="O748" s="14"/>
      <c r="P748" s="14"/>
      <c r="Q748" s="14"/>
      <c r="R748" s="14"/>
    </row>
    <row r="749" ht="12.75" customHeight="1">
      <c r="A749" s="14"/>
      <c r="B749" s="14"/>
      <c r="C749" s="14"/>
      <c r="D749" s="14"/>
      <c r="O749" s="14"/>
      <c r="P749" s="14"/>
      <c r="Q749" s="14"/>
      <c r="R749" s="14"/>
    </row>
    <row r="750" ht="12.75" customHeight="1">
      <c r="A750" s="14"/>
      <c r="B750" s="14"/>
      <c r="C750" s="14"/>
      <c r="D750" s="14"/>
      <c r="O750" s="14"/>
      <c r="P750" s="14"/>
      <c r="Q750" s="14"/>
      <c r="R750" s="14"/>
    </row>
    <row r="751" ht="12.75" customHeight="1">
      <c r="A751" s="14"/>
      <c r="B751" s="14"/>
      <c r="C751" s="14"/>
      <c r="D751" s="14"/>
      <c r="O751" s="14"/>
      <c r="P751" s="14"/>
      <c r="Q751" s="14"/>
      <c r="R751" s="14"/>
    </row>
    <row r="752" ht="12.75" customHeight="1">
      <c r="A752" s="14"/>
      <c r="B752" s="14"/>
      <c r="C752" s="14"/>
      <c r="D752" s="14"/>
      <c r="O752" s="14"/>
      <c r="P752" s="14"/>
      <c r="Q752" s="14"/>
      <c r="R752" s="14"/>
    </row>
    <row r="753" ht="12.75" customHeight="1">
      <c r="A753" s="14"/>
      <c r="B753" s="14"/>
      <c r="C753" s="14"/>
      <c r="D753" s="14"/>
      <c r="O753" s="14"/>
      <c r="P753" s="14"/>
      <c r="Q753" s="14"/>
      <c r="R753" s="14"/>
    </row>
    <row r="754" ht="12.75" customHeight="1">
      <c r="A754" s="14"/>
      <c r="B754" s="14"/>
      <c r="C754" s="14"/>
      <c r="D754" s="14"/>
      <c r="O754" s="14"/>
      <c r="P754" s="14"/>
      <c r="Q754" s="14"/>
      <c r="R754" s="14"/>
    </row>
    <row r="755" ht="12.75" customHeight="1">
      <c r="A755" s="14"/>
      <c r="B755" s="14"/>
      <c r="C755" s="14"/>
      <c r="D755" s="14"/>
      <c r="O755" s="14"/>
      <c r="P755" s="14"/>
      <c r="Q755" s="14"/>
      <c r="R755" s="14"/>
    </row>
    <row r="756" ht="12.75" customHeight="1">
      <c r="A756" s="14"/>
      <c r="B756" s="14"/>
      <c r="C756" s="14"/>
      <c r="D756" s="14"/>
      <c r="O756" s="14"/>
      <c r="P756" s="14"/>
      <c r="Q756" s="14"/>
      <c r="R756" s="14"/>
    </row>
    <row r="757" ht="12.75" customHeight="1">
      <c r="A757" s="14"/>
      <c r="B757" s="14"/>
      <c r="C757" s="14"/>
      <c r="D757" s="14"/>
      <c r="O757" s="14"/>
      <c r="P757" s="14"/>
      <c r="Q757" s="14"/>
      <c r="R757" s="14"/>
    </row>
    <row r="758" ht="12.75" customHeight="1">
      <c r="A758" s="14"/>
      <c r="B758" s="14"/>
      <c r="C758" s="14"/>
      <c r="D758" s="14"/>
      <c r="O758" s="14"/>
      <c r="P758" s="14"/>
      <c r="Q758" s="14"/>
      <c r="R758" s="14"/>
    </row>
    <row r="759" ht="12.75" customHeight="1">
      <c r="A759" s="14"/>
      <c r="B759" s="14"/>
      <c r="C759" s="14"/>
      <c r="D759" s="14"/>
      <c r="O759" s="14"/>
      <c r="P759" s="14"/>
      <c r="Q759" s="14"/>
      <c r="R759" s="14"/>
    </row>
    <row r="760" ht="12.75" customHeight="1">
      <c r="A760" s="14"/>
      <c r="B760" s="14"/>
      <c r="C760" s="14"/>
      <c r="D760" s="14"/>
      <c r="O760" s="14"/>
      <c r="P760" s="14"/>
      <c r="Q760" s="14"/>
      <c r="R760" s="14"/>
    </row>
    <row r="761" ht="12.75" customHeight="1">
      <c r="A761" s="14"/>
      <c r="B761" s="14"/>
      <c r="C761" s="14"/>
      <c r="D761" s="14"/>
      <c r="O761" s="14"/>
      <c r="P761" s="14"/>
      <c r="Q761" s="14"/>
      <c r="R761" s="14"/>
    </row>
    <row r="762" ht="12.75" customHeight="1">
      <c r="A762" s="14"/>
      <c r="B762" s="14"/>
      <c r="C762" s="14"/>
      <c r="D762" s="14"/>
      <c r="O762" s="14"/>
      <c r="P762" s="14"/>
      <c r="Q762" s="14"/>
      <c r="R762" s="14"/>
    </row>
    <row r="763" ht="12.75" customHeight="1">
      <c r="A763" s="14"/>
      <c r="B763" s="14"/>
      <c r="C763" s="14"/>
      <c r="D763" s="14"/>
      <c r="O763" s="14"/>
      <c r="P763" s="14"/>
      <c r="Q763" s="14"/>
      <c r="R763" s="14"/>
    </row>
    <row r="764" ht="12.75" customHeight="1">
      <c r="A764" s="14"/>
      <c r="B764" s="14"/>
      <c r="C764" s="14"/>
      <c r="D764" s="14"/>
      <c r="O764" s="14"/>
      <c r="P764" s="14"/>
      <c r="Q764" s="14"/>
      <c r="R764" s="14"/>
    </row>
    <row r="765" ht="12.75" customHeight="1">
      <c r="A765" s="14"/>
      <c r="B765" s="14"/>
      <c r="C765" s="14"/>
      <c r="D765" s="14"/>
      <c r="O765" s="14"/>
      <c r="P765" s="14"/>
      <c r="Q765" s="14"/>
      <c r="R765" s="14"/>
    </row>
    <row r="766" ht="12.75" customHeight="1">
      <c r="A766" s="14"/>
      <c r="B766" s="14"/>
      <c r="C766" s="14"/>
      <c r="D766" s="14"/>
      <c r="O766" s="14"/>
      <c r="P766" s="14"/>
      <c r="Q766" s="14"/>
      <c r="R766" s="14"/>
    </row>
    <row r="767" ht="12.75" customHeight="1">
      <c r="A767" s="14"/>
      <c r="B767" s="14"/>
      <c r="C767" s="14"/>
      <c r="D767" s="14"/>
      <c r="O767" s="14"/>
      <c r="P767" s="14"/>
      <c r="Q767" s="14"/>
      <c r="R767" s="14"/>
    </row>
    <row r="768" ht="12.75" customHeight="1">
      <c r="A768" s="14"/>
      <c r="B768" s="14"/>
      <c r="C768" s="14"/>
      <c r="D768" s="14"/>
      <c r="O768" s="14"/>
      <c r="P768" s="14"/>
      <c r="Q768" s="14"/>
      <c r="R768" s="14"/>
    </row>
    <row r="769" ht="12.75" customHeight="1">
      <c r="A769" s="14"/>
      <c r="B769" s="14"/>
      <c r="C769" s="14"/>
      <c r="D769" s="14"/>
      <c r="O769" s="14"/>
      <c r="P769" s="14"/>
      <c r="Q769" s="14"/>
      <c r="R769" s="14"/>
    </row>
    <row r="770" ht="12.75" customHeight="1">
      <c r="A770" s="14"/>
      <c r="B770" s="14"/>
      <c r="C770" s="14"/>
      <c r="D770" s="14"/>
      <c r="O770" s="14"/>
      <c r="P770" s="14"/>
      <c r="Q770" s="14"/>
      <c r="R770" s="14"/>
    </row>
    <row r="771" ht="12.75" customHeight="1">
      <c r="A771" s="14"/>
      <c r="B771" s="14"/>
      <c r="C771" s="14"/>
      <c r="D771" s="14"/>
      <c r="O771" s="14"/>
      <c r="P771" s="14"/>
      <c r="Q771" s="14"/>
      <c r="R771" s="14"/>
    </row>
    <row r="772" ht="12.75" customHeight="1">
      <c r="A772" s="14"/>
      <c r="B772" s="14"/>
      <c r="C772" s="14"/>
      <c r="D772" s="14"/>
      <c r="O772" s="14"/>
      <c r="P772" s="14"/>
      <c r="Q772" s="14"/>
      <c r="R772" s="14"/>
    </row>
    <row r="773" ht="12.75" customHeight="1">
      <c r="A773" s="14"/>
      <c r="B773" s="14"/>
      <c r="C773" s="14"/>
      <c r="D773" s="14"/>
      <c r="O773" s="14"/>
      <c r="P773" s="14"/>
      <c r="Q773" s="14"/>
      <c r="R773" s="14"/>
    </row>
    <row r="774" ht="12.75" customHeight="1">
      <c r="A774" s="14"/>
      <c r="B774" s="14"/>
      <c r="C774" s="14"/>
      <c r="D774" s="14"/>
      <c r="O774" s="14"/>
      <c r="P774" s="14"/>
      <c r="Q774" s="14"/>
      <c r="R774" s="14"/>
    </row>
    <row r="775" ht="12.75" customHeight="1">
      <c r="A775" s="14"/>
      <c r="B775" s="14"/>
      <c r="C775" s="14"/>
      <c r="D775" s="14"/>
      <c r="O775" s="14"/>
      <c r="P775" s="14"/>
      <c r="Q775" s="14"/>
      <c r="R775" s="14"/>
    </row>
    <row r="776" ht="12.75" customHeight="1">
      <c r="A776" s="14"/>
      <c r="B776" s="14"/>
      <c r="C776" s="14"/>
      <c r="D776" s="14"/>
      <c r="O776" s="14"/>
      <c r="P776" s="14"/>
      <c r="Q776" s="14"/>
      <c r="R776" s="14"/>
    </row>
    <row r="777" ht="12.75" customHeight="1">
      <c r="A777" s="14"/>
      <c r="B777" s="14"/>
      <c r="C777" s="14"/>
      <c r="D777" s="14"/>
      <c r="O777" s="14"/>
      <c r="P777" s="14"/>
      <c r="Q777" s="14"/>
      <c r="R777" s="14"/>
    </row>
    <row r="778" ht="12.75" customHeight="1">
      <c r="A778" s="14"/>
      <c r="B778" s="14"/>
      <c r="C778" s="14"/>
      <c r="D778" s="14"/>
      <c r="O778" s="14"/>
      <c r="P778" s="14"/>
      <c r="Q778" s="14"/>
      <c r="R778" s="14"/>
    </row>
    <row r="779" ht="12.75" customHeight="1">
      <c r="A779" s="14"/>
      <c r="B779" s="14"/>
      <c r="C779" s="14"/>
      <c r="D779" s="14"/>
      <c r="O779" s="14"/>
      <c r="P779" s="14"/>
      <c r="Q779" s="14"/>
      <c r="R779" s="14"/>
    </row>
    <row r="780" ht="12.75" customHeight="1">
      <c r="A780" s="14"/>
      <c r="B780" s="14"/>
      <c r="C780" s="14"/>
      <c r="D780" s="14"/>
      <c r="O780" s="14"/>
      <c r="P780" s="14"/>
      <c r="Q780" s="14"/>
      <c r="R780" s="14"/>
    </row>
    <row r="781" ht="12.75" customHeight="1">
      <c r="A781" s="14"/>
      <c r="B781" s="14"/>
      <c r="C781" s="14"/>
      <c r="D781" s="14"/>
      <c r="O781" s="14"/>
      <c r="P781" s="14"/>
      <c r="Q781" s="14"/>
      <c r="R781" s="14"/>
    </row>
    <row r="782" ht="12.75" customHeight="1">
      <c r="A782" s="14"/>
      <c r="B782" s="14"/>
      <c r="C782" s="14"/>
      <c r="D782" s="14"/>
      <c r="O782" s="14"/>
      <c r="P782" s="14"/>
      <c r="Q782" s="14"/>
      <c r="R782" s="14"/>
    </row>
    <row r="783" ht="12.75" customHeight="1">
      <c r="A783" s="14"/>
      <c r="B783" s="14"/>
      <c r="C783" s="14"/>
      <c r="D783" s="14"/>
      <c r="O783" s="14"/>
      <c r="P783" s="14"/>
      <c r="Q783" s="14"/>
      <c r="R783" s="14"/>
    </row>
    <row r="784" ht="12.75" customHeight="1">
      <c r="A784" s="14"/>
      <c r="B784" s="14"/>
      <c r="C784" s="14"/>
      <c r="D784" s="14"/>
      <c r="O784" s="14"/>
      <c r="P784" s="14"/>
      <c r="Q784" s="14"/>
      <c r="R784" s="14"/>
    </row>
    <row r="785" ht="12.75" customHeight="1">
      <c r="A785" s="14"/>
      <c r="B785" s="14"/>
      <c r="C785" s="14"/>
      <c r="D785" s="14"/>
      <c r="O785" s="14"/>
      <c r="P785" s="14"/>
      <c r="Q785" s="14"/>
      <c r="R785" s="14"/>
    </row>
    <row r="786" ht="12.75" customHeight="1">
      <c r="A786" s="14"/>
      <c r="B786" s="14"/>
      <c r="C786" s="14"/>
      <c r="D786" s="14"/>
      <c r="O786" s="14"/>
      <c r="P786" s="14"/>
      <c r="Q786" s="14"/>
      <c r="R786" s="14"/>
    </row>
    <row r="787" ht="12.75" customHeight="1">
      <c r="A787" s="14"/>
      <c r="B787" s="14"/>
      <c r="C787" s="14"/>
      <c r="D787" s="14"/>
      <c r="O787" s="14"/>
      <c r="P787" s="14"/>
      <c r="Q787" s="14"/>
      <c r="R787" s="14"/>
    </row>
    <row r="788" ht="12.75" customHeight="1">
      <c r="A788" s="14"/>
      <c r="B788" s="14"/>
      <c r="C788" s="14"/>
      <c r="D788" s="14"/>
      <c r="O788" s="14"/>
      <c r="P788" s="14"/>
      <c r="Q788" s="14"/>
      <c r="R788" s="14"/>
    </row>
    <row r="789" ht="12.75" customHeight="1">
      <c r="A789" s="14"/>
      <c r="B789" s="14"/>
      <c r="C789" s="14"/>
      <c r="D789" s="14"/>
      <c r="O789" s="14"/>
      <c r="P789" s="14"/>
      <c r="Q789" s="14"/>
      <c r="R789" s="14"/>
    </row>
    <row r="790" ht="12.75" customHeight="1">
      <c r="A790" s="14"/>
      <c r="B790" s="14"/>
      <c r="C790" s="14"/>
      <c r="D790" s="14"/>
      <c r="O790" s="14"/>
      <c r="P790" s="14"/>
      <c r="Q790" s="14"/>
      <c r="R790" s="14"/>
    </row>
    <row r="791" ht="12.75" customHeight="1">
      <c r="A791" s="14"/>
      <c r="B791" s="14"/>
      <c r="C791" s="14"/>
      <c r="D791" s="14"/>
      <c r="O791" s="14"/>
      <c r="P791" s="14"/>
      <c r="Q791" s="14"/>
      <c r="R791" s="14"/>
    </row>
    <row r="792" ht="12.75" customHeight="1">
      <c r="A792" s="14"/>
      <c r="B792" s="14"/>
      <c r="C792" s="14"/>
      <c r="D792" s="14"/>
      <c r="O792" s="14"/>
      <c r="P792" s="14"/>
      <c r="Q792" s="14"/>
      <c r="R792" s="14"/>
    </row>
    <row r="793" ht="12.75" customHeight="1">
      <c r="A793" s="14"/>
      <c r="B793" s="14"/>
      <c r="C793" s="14"/>
      <c r="D793" s="14"/>
      <c r="O793" s="14"/>
      <c r="P793" s="14"/>
      <c r="Q793" s="14"/>
      <c r="R793" s="14"/>
    </row>
    <row r="794" ht="12.75" customHeight="1">
      <c r="A794" s="14"/>
      <c r="B794" s="14"/>
      <c r="C794" s="14"/>
      <c r="D794" s="14"/>
      <c r="O794" s="14"/>
      <c r="P794" s="14"/>
      <c r="Q794" s="14"/>
      <c r="R794" s="14"/>
    </row>
    <row r="795" ht="12.75" customHeight="1">
      <c r="A795" s="14"/>
      <c r="B795" s="14"/>
      <c r="C795" s="14"/>
      <c r="D795" s="14"/>
      <c r="O795" s="14"/>
      <c r="P795" s="14"/>
      <c r="Q795" s="14"/>
      <c r="R795" s="14"/>
    </row>
    <row r="796" ht="12.75" customHeight="1">
      <c r="A796" s="14"/>
      <c r="B796" s="14"/>
      <c r="C796" s="14"/>
      <c r="D796" s="14"/>
      <c r="O796" s="14"/>
      <c r="P796" s="14"/>
      <c r="Q796" s="14"/>
      <c r="R796" s="14"/>
    </row>
    <row r="797" ht="12.75" customHeight="1">
      <c r="A797" s="14"/>
      <c r="B797" s="14"/>
      <c r="C797" s="14"/>
      <c r="D797" s="14"/>
      <c r="O797" s="14"/>
      <c r="P797" s="14"/>
      <c r="Q797" s="14"/>
      <c r="R797" s="14"/>
    </row>
    <row r="798" ht="12.75" customHeight="1">
      <c r="A798" s="14"/>
      <c r="B798" s="14"/>
      <c r="C798" s="14"/>
      <c r="D798" s="14"/>
      <c r="O798" s="14"/>
      <c r="P798" s="14"/>
      <c r="Q798" s="14"/>
      <c r="R798" s="14"/>
    </row>
    <row r="799" ht="12.75" customHeight="1">
      <c r="A799" s="14"/>
      <c r="B799" s="14"/>
      <c r="C799" s="14"/>
      <c r="D799" s="14"/>
      <c r="O799" s="14"/>
      <c r="P799" s="14"/>
      <c r="Q799" s="14"/>
      <c r="R799" s="14"/>
    </row>
    <row r="800" ht="12.75" customHeight="1">
      <c r="A800" s="14"/>
      <c r="B800" s="14"/>
      <c r="C800" s="14"/>
      <c r="D800" s="14"/>
      <c r="O800" s="14"/>
      <c r="P800" s="14"/>
      <c r="Q800" s="14"/>
      <c r="R800" s="14"/>
    </row>
    <row r="801" ht="12.75" customHeight="1">
      <c r="A801" s="14"/>
      <c r="B801" s="14"/>
      <c r="C801" s="14"/>
      <c r="D801" s="14"/>
      <c r="O801" s="14"/>
      <c r="P801" s="14"/>
      <c r="Q801" s="14"/>
      <c r="R801" s="14"/>
    </row>
    <row r="802" ht="12.75" customHeight="1">
      <c r="A802" s="14"/>
      <c r="B802" s="14"/>
      <c r="C802" s="14"/>
      <c r="D802" s="14"/>
      <c r="O802" s="14"/>
      <c r="P802" s="14"/>
      <c r="Q802" s="14"/>
      <c r="R802" s="14"/>
    </row>
    <row r="803" ht="12.75" customHeight="1">
      <c r="A803" s="14"/>
      <c r="B803" s="14"/>
      <c r="C803" s="14"/>
      <c r="D803" s="14"/>
      <c r="O803" s="14"/>
      <c r="P803" s="14"/>
      <c r="Q803" s="14"/>
      <c r="R803" s="14"/>
    </row>
    <row r="804" ht="12.75" customHeight="1">
      <c r="A804" s="14"/>
      <c r="B804" s="14"/>
      <c r="C804" s="14"/>
      <c r="D804" s="14"/>
      <c r="O804" s="14"/>
      <c r="P804" s="14"/>
      <c r="Q804" s="14"/>
      <c r="R804" s="14"/>
    </row>
    <row r="805" ht="12.75" customHeight="1">
      <c r="A805" s="14"/>
      <c r="B805" s="14"/>
      <c r="C805" s="14"/>
      <c r="D805" s="14"/>
      <c r="O805" s="14"/>
      <c r="P805" s="14"/>
      <c r="Q805" s="14"/>
      <c r="R805" s="14"/>
    </row>
    <row r="806" ht="12.75" customHeight="1">
      <c r="A806" s="14"/>
      <c r="B806" s="14"/>
      <c r="C806" s="14"/>
      <c r="D806" s="14"/>
      <c r="O806" s="14"/>
      <c r="P806" s="14"/>
      <c r="Q806" s="14"/>
      <c r="R806" s="14"/>
    </row>
    <row r="807" ht="12.75" customHeight="1">
      <c r="A807" s="14"/>
      <c r="B807" s="14"/>
      <c r="C807" s="14"/>
      <c r="D807" s="14"/>
      <c r="O807" s="14"/>
      <c r="P807" s="14"/>
      <c r="Q807" s="14"/>
      <c r="R807" s="14"/>
    </row>
    <row r="808" ht="12.75" customHeight="1">
      <c r="A808" s="14"/>
      <c r="B808" s="14"/>
      <c r="C808" s="14"/>
      <c r="D808" s="14"/>
      <c r="O808" s="14"/>
      <c r="P808" s="14"/>
      <c r="Q808" s="14"/>
      <c r="R808" s="14"/>
    </row>
    <row r="809" ht="12.75" customHeight="1">
      <c r="A809" s="14"/>
      <c r="B809" s="14"/>
      <c r="C809" s="14"/>
      <c r="D809" s="14"/>
      <c r="O809" s="14"/>
      <c r="P809" s="14"/>
      <c r="Q809" s="14"/>
      <c r="R809" s="14"/>
    </row>
    <row r="810" ht="12.75" customHeight="1">
      <c r="A810" s="14"/>
      <c r="B810" s="14"/>
      <c r="C810" s="14"/>
      <c r="D810" s="14"/>
      <c r="O810" s="14"/>
      <c r="P810" s="14"/>
      <c r="Q810" s="14"/>
      <c r="R810" s="14"/>
    </row>
    <row r="811" ht="12.75" customHeight="1">
      <c r="A811" s="14"/>
      <c r="B811" s="14"/>
      <c r="C811" s="14"/>
      <c r="D811" s="14"/>
      <c r="O811" s="14"/>
      <c r="P811" s="14"/>
      <c r="Q811" s="14"/>
      <c r="R811" s="14"/>
    </row>
    <row r="812" ht="12.75" customHeight="1">
      <c r="A812" s="14"/>
      <c r="B812" s="14"/>
      <c r="C812" s="14"/>
      <c r="D812" s="14"/>
      <c r="O812" s="14"/>
      <c r="P812" s="14"/>
      <c r="Q812" s="14"/>
      <c r="R812" s="14"/>
    </row>
    <row r="813" ht="12.75" customHeight="1">
      <c r="A813" s="14"/>
      <c r="B813" s="14"/>
      <c r="C813" s="14"/>
      <c r="D813" s="14"/>
      <c r="O813" s="14"/>
      <c r="P813" s="14"/>
      <c r="Q813" s="14"/>
      <c r="R813" s="14"/>
    </row>
    <row r="814" ht="12.75" customHeight="1">
      <c r="A814" s="14"/>
      <c r="B814" s="14"/>
      <c r="C814" s="14"/>
      <c r="D814" s="14"/>
      <c r="O814" s="14"/>
      <c r="P814" s="14"/>
      <c r="Q814" s="14"/>
      <c r="R814" s="14"/>
    </row>
    <row r="815" ht="12.75" customHeight="1">
      <c r="A815" s="14"/>
      <c r="B815" s="14"/>
      <c r="C815" s="14"/>
      <c r="D815" s="14"/>
      <c r="O815" s="14"/>
      <c r="P815" s="14"/>
      <c r="Q815" s="14"/>
      <c r="R815" s="14"/>
    </row>
    <row r="816" ht="12.75" customHeight="1">
      <c r="A816" s="14"/>
      <c r="B816" s="14"/>
      <c r="C816" s="14"/>
      <c r="D816" s="14"/>
      <c r="O816" s="14"/>
      <c r="P816" s="14"/>
      <c r="Q816" s="14"/>
      <c r="R816" s="14"/>
    </row>
    <row r="817" ht="12.75" customHeight="1">
      <c r="A817" s="14"/>
      <c r="B817" s="14"/>
      <c r="C817" s="14"/>
      <c r="D817" s="14"/>
      <c r="O817" s="14"/>
      <c r="P817" s="14"/>
      <c r="Q817" s="14"/>
      <c r="R817" s="14"/>
    </row>
    <row r="818" ht="12.75" customHeight="1">
      <c r="A818" s="14"/>
      <c r="B818" s="14"/>
      <c r="C818" s="14"/>
      <c r="D818" s="14"/>
      <c r="O818" s="14"/>
      <c r="P818" s="14"/>
      <c r="Q818" s="14"/>
      <c r="R818" s="14"/>
    </row>
    <row r="819" ht="12.75" customHeight="1">
      <c r="A819" s="14"/>
      <c r="B819" s="14"/>
      <c r="C819" s="14"/>
      <c r="D819" s="14"/>
      <c r="O819" s="14"/>
      <c r="P819" s="14"/>
      <c r="Q819" s="14"/>
      <c r="R819" s="14"/>
    </row>
    <row r="820" ht="12.75" customHeight="1">
      <c r="A820" s="14"/>
      <c r="B820" s="14"/>
      <c r="C820" s="14"/>
      <c r="D820" s="14"/>
      <c r="O820" s="14"/>
      <c r="P820" s="14"/>
      <c r="Q820" s="14"/>
      <c r="R820" s="14"/>
    </row>
    <row r="821" ht="12.75" customHeight="1">
      <c r="A821" s="14"/>
      <c r="B821" s="14"/>
      <c r="C821" s="14"/>
      <c r="D821" s="14"/>
      <c r="O821" s="14"/>
      <c r="P821" s="14"/>
      <c r="Q821" s="14"/>
      <c r="R821" s="14"/>
    </row>
    <row r="822" ht="12.75" customHeight="1">
      <c r="A822" s="14"/>
      <c r="B822" s="14"/>
      <c r="C822" s="14"/>
      <c r="D822" s="14"/>
      <c r="O822" s="14"/>
      <c r="P822" s="14"/>
      <c r="Q822" s="14"/>
      <c r="R822" s="14"/>
    </row>
    <row r="823" ht="12.75" customHeight="1">
      <c r="A823" s="14"/>
      <c r="B823" s="14"/>
      <c r="C823" s="14"/>
      <c r="D823" s="14"/>
      <c r="O823" s="14"/>
      <c r="P823" s="14"/>
      <c r="Q823" s="14"/>
      <c r="R823" s="14"/>
    </row>
    <row r="824" ht="12.75" customHeight="1">
      <c r="A824" s="14"/>
      <c r="B824" s="14"/>
      <c r="C824" s="14"/>
      <c r="D824" s="14"/>
      <c r="O824" s="14"/>
      <c r="P824" s="14"/>
      <c r="Q824" s="14"/>
      <c r="R824" s="14"/>
    </row>
    <row r="825" ht="12.75" customHeight="1">
      <c r="A825" s="14"/>
      <c r="B825" s="14"/>
      <c r="C825" s="14"/>
      <c r="D825" s="14"/>
      <c r="O825" s="14"/>
      <c r="P825" s="14"/>
      <c r="Q825" s="14"/>
      <c r="R825" s="14"/>
    </row>
    <row r="826" ht="12.75" customHeight="1">
      <c r="A826" s="14"/>
      <c r="B826" s="14"/>
      <c r="C826" s="14"/>
      <c r="D826" s="14"/>
      <c r="O826" s="14"/>
      <c r="P826" s="14"/>
      <c r="Q826" s="14"/>
      <c r="R826" s="14"/>
    </row>
    <row r="827" ht="12.75" customHeight="1">
      <c r="A827" s="14"/>
      <c r="B827" s="14"/>
      <c r="C827" s="14"/>
      <c r="D827" s="14"/>
      <c r="O827" s="14"/>
      <c r="P827" s="14"/>
      <c r="Q827" s="14"/>
      <c r="R827" s="14"/>
    </row>
    <row r="828" ht="12.75" customHeight="1">
      <c r="A828" s="14"/>
      <c r="B828" s="14"/>
      <c r="C828" s="14"/>
      <c r="D828" s="14"/>
      <c r="O828" s="14"/>
      <c r="P828" s="14"/>
      <c r="Q828" s="14"/>
      <c r="R828" s="14"/>
    </row>
    <row r="829" ht="12.75" customHeight="1">
      <c r="A829" s="14"/>
      <c r="B829" s="14"/>
      <c r="C829" s="14"/>
      <c r="D829" s="14"/>
      <c r="O829" s="14"/>
      <c r="P829" s="14"/>
      <c r="Q829" s="14"/>
      <c r="R829" s="14"/>
    </row>
    <row r="830" ht="12.75" customHeight="1">
      <c r="A830" s="14"/>
      <c r="B830" s="14"/>
      <c r="C830" s="14"/>
      <c r="D830" s="14"/>
      <c r="O830" s="14"/>
      <c r="P830" s="14"/>
      <c r="Q830" s="14"/>
      <c r="R830" s="14"/>
    </row>
    <row r="831" ht="12.75" customHeight="1">
      <c r="A831" s="14"/>
      <c r="B831" s="14"/>
      <c r="C831" s="14"/>
      <c r="D831" s="14"/>
      <c r="O831" s="14"/>
      <c r="P831" s="14"/>
      <c r="Q831" s="14"/>
      <c r="R831" s="14"/>
    </row>
    <row r="832" ht="12.75" customHeight="1">
      <c r="A832" s="14"/>
      <c r="B832" s="14"/>
      <c r="C832" s="14"/>
      <c r="D832" s="14"/>
      <c r="O832" s="14"/>
      <c r="P832" s="14"/>
      <c r="Q832" s="14"/>
      <c r="R832" s="14"/>
    </row>
    <row r="833" ht="12.75" customHeight="1">
      <c r="A833" s="14"/>
      <c r="B833" s="14"/>
      <c r="C833" s="14"/>
      <c r="D833" s="14"/>
      <c r="O833" s="14"/>
      <c r="P833" s="14"/>
      <c r="Q833" s="14"/>
      <c r="R833" s="14"/>
    </row>
    <row r="834" ht="12.75" customHeight="1">
      <c r="A834" s="14"/>
      <c r="B834" s="14"/>
      <c r="C834" s="14"/>
      <c r="D834" s="14"/>
      <c r="O834" s="14"/>
      <c r="P834" s="14"/>
      <c r="Q834" s="14"/>
      <c r="R834" s="14"/>
    </row>
    <row r="835" ht="12.75" customHeight="1">
      <c r="A835" s="14"/>
      <c r="B835" s="14"/>
      <c r="C835" s="14"/>
      <c r="D835" s="14"/>
      <c r="O835" s="14"/>
      <c r="P835" s="14"/>
      <c r="Q835" s="14"/>
      <c r="R835" s="14"/>
    </row>
    <row r="836" ht="12.75" customHeight="1">
      <c r="A836" s="14"/>
      <c r="B836" s="14"/>
      <c r="C836" s="14"/>
      <c r="D836" s="14"/>
      <c r="O836" s="14"/>
      <c r="P836" s="14"/>
      <c r="Q836" s="14"/>
      <c r="R836" s="14"/>
    </row>
    <row r="837" ht="12.75" customHeight="1">
      <c r="A837" s="14"/>
      <c r="B837" s="14"/>
      <c r="C837" s="14"/>
      <c r="D837" s="14"/>
      <c r="O837" s="14"/>
      <c r="P837" s="14"/>
      <c r="Q837" s="14"/>
      <c r="R837" s="14"/>
    </row>
    <row r="838" ht="12.75" customHeight="1">
      <c r="A838" s="14"/>
      <c r="B838" s="14"/>
      <c r="C838" s="14"/>
      <c r="D838" s="14"/>
      <c r="O838" s="14"/>
      <c r="P838" s="14"/>
      <c r="Q838" s="14"/>
      <c r="R838" s="14"/>
    </row>
    <row r="839" ht="12.75" customHeight="1">
      <c r="A839" s="14"/>
      <c r="B839" s="14"/>
      <c r="C839" s="14"/>
      <c r="D839" s="14"/>
      <c r="O839" s="14"/>
      <c r="P839" s="14"/>
      <c r="Q839" s="14"/>
      <c r="R839" s="14"/>
    </row>
    <row r="840" ht="12.75" customHeight="1">
      <c r="A840" s="14"/>
      <c r="B840" s="14"/>
      <c r="C840" s="14"/>
      <c r="D840" s="14"/>
      <c r="O840" s="14"/>
      <c r="P840" s="14"/>
      <c r="Q840" s="14"/>
      <c r="R840" s="14"/>
    </row>
    <row r="841" ht="12.75" customHeight="1">
      <c r="A841" s="14"/>
      <c r="B841" s="14"/>
      <c r="C841" s="14"/>
      <c r="D841" s="14"/>
      <c r="O841" s="14"/>
      <c r="P841" s="14"/>
      <c r="Q841" s="14"/>
      <c r="R841" s="14"/>
    </row>
    <row r="842" ht="12.75" customHeight="1">
      <c r="A842" s="14"/>
      <c r="B842" s="14"/>
      <c r="C842" s="14"/>
      <c r="D842" s="14"/>
      <c r="O842" s="14"/>
      <c r="P842" s="14"/>
      <c r="Q842" s="14"/>
      <c r="R842" s="14"/>
    </row>
    <row r="843" ht="12.75" customHeight="1">
      <c r="A843" s="14"/>
      <c r="B843" s="14"/>
      <c r="C843" s="14"/>
      <c r="D843" s="14"/>
      <c r="O843" s="14"/>
      <c r="P843" s="14"/>
      <c r="Q843" s="14"/>
      <c r="R843" s="14"/>
    </row>
    <row r="844" ht="12.75" customHeight="1">
      <c r="A844" s="14"/>
      <c r="B844" s="14"/>
      <c r="C844" s="14"/>
      <c r="D844" s="14"/>
      <c r="O844" s="14"/>
      <c r="P844" s="14"/>
      <c r="Q844" s="14"/>
      <c r="R844" s="14"/>
    </row>
    <row r="845" ht="12.75" customHeight="1">
      <c r="A845" s="14"/>
      <c r="B845" s="14"/>
      <c r="C845" s="14"/>
      <c r="D845" s="14"/>
      <c r="O845" s="14"/>
      <c r="P845" s="14"/>
      <c r="Q845" s="14"/>
      <c r="R845" s="14"/>
    </row>
    <row r="846" ht="12.75" customHeight="1">
      <c r="A846" s="14"/>
      <c r="B846" s="14"/>
      <c r="C846" s="14"/>
      <c r="D846" s="14"/>
      <c r="O846" s="14"/>
      <c r="P846" s="14"/>
      <c r="Q846" s="14"/>
      <c r="R846" s="14"/>
    </row>
    <row r="847" ht="12.75" customHeight="1">
      <c r="A847" s="14"/>
      <c r="B847" s="14"/>
      <c r="C847" s="14"/>
      <c r="D847" s="14"/>
      <c r="O847" s="14"/>
      <c r="P847" s="14"/>
      <c r="Q847" s="14"/>
      <c r="R847" s="14"/>
    </row>
    <row r="848" ht="12.75" customHeight="1">
      <c r="A848" s="14"/>
      <c r="B848" s="14"/>
      <c r="C848" s="14"/>
      <c r="D848" s="14"/>
      <c r="O848" s="14"/>
      <c r="P848" s="14"/>
      <c r="Q848" s="14"/>
      <c r="R848" s="14"/>
    </row>
    <row r="849" ht="12.75" customHeight="1">
      <c r="A849" s="14"/>
      <c r="B849" s="14"/>
      <c r="C849" s="14"/>
      <c r="D849" s="14"/>
      <c r="O849" s="14"/>
      <c r="P849" s="14"/>
      <c r="Q849" s="14"/>
      <c r="R849" s="14"/>
    </row>
    <row r="850" ht="12.75" customHeight="1">
      <c r="A850" s="14"/>
      <c r="B850" s="14"/>
      <c r="C850" s="14"/>
      <c r="D850" s="14"/>
      <c r="O850" s="14"/>
      <c r="P850" s="14"/>
      <c r="Q850" s="14"/>
      <c r="R850" s="14"/>
    </row>
    <row r="851" ht="12.75" customHeight="1">
      <c r="A851" s="14"/>
      <c r="B851" s="14"/>
      <c r="C851" s="14"/>
      <c r="D851" s="14"/>
      <c r="O851" s="14"/>
      <c r="P851" s="14"/>
      <c r="Q851" s="14"/>
      <c r="R851" s="14"/>
    </row>
    <row r="852" ht="12.75" customHeight="1">
      <c r="A852" s="14"/>
      <c r="B852" s="14"/>
      <c r="C852" s="14"/>
      <c r="D852" s="14"/>
      <c r="O852" s="14"/>
      <c r="P852" s="14"/>
      <c r="Q852" s="14"/>
      <c r="R852" s="14"/>
    </row>
    <row r="853" ht="12.75" customHeight="1">
      <c r="A853" s="14"/>
      <c r="B853" s="14"/>
      <c r="C853" s="14"/>
      <c r="D853" s="14"/>
      <c r="O853" s="14"/>
      <c r="P853" s="14"/>
      <c r="Q853" s="14"/>
      <c r="R853" s="14"/>
    </row>
    <row r="854" ht="12.75" customHeight="1">
      <c r="A854" s="14"/>
      <c r="B854" s="14"/>
      <c r="C854" s="14"/>
      <c r="D854" s="14"/>
      <c r="O854" s="14"/>
      <c r="P854" s="14"/>
      <c r="Q854" s="14"/>
      <c r="R854" s="14"/>
    </row>
    <row r="855" ht="12.75" customHeight="1">
      <c r="A855" s="14"/>
      <c r="B855" s="14"/>
      <c r="C855" s="14"/>
      <c r="D855" s="14"/>
      <c r="O855" s="14"/>
      <c r="P855" s="14"/>
      <c r="Q855" s="14"/>
      <c r="R855" s="14"/>
    </row>
    <row r="856" ht="12.75" customHeight="1">
      <c r="A856" s="14"/>
      <c r="B856" s="14"/>
      <c r="C856" s="14"/>
      <c r="D856" s="14"/>
      <c r="O856" s="14"/>
      <c r="P856" s="14"/>
      <c r="Q856" s="14"/>
      <c r="R856" s="14"/>
    </row>
    <row r="857" ht="12.75" customHeight="1">
      <c r="A857" s="14"/>
      <c r="B857" s="14"/>
      <c r="C857" s="14"/>
      <c r="D857" s="14"/>
      <c r="O857" s="14"/>
      <c r="P857" s="14"/>
      <c r="Q857" s="14"/>
      <c r="R857" s="14"/>
    </row>
    <row r="858" ht="12.75" customHeight="1">
      <c r="A858" s="14"/>
      <c r="B858" s="14"/>
      <c r="C858" s="14"/>
      <c r="D858" s="14"/>
      <c r="O858" s="14"/>
      <c r="P858" s="14"/>
      <c r="Q858" s="14"/>
      <c r="R858" s="14"/>
    </row>
    <row r="859" ht="12.75" customHeight="1">
      <c r="A859" s="14"/>
      <c r="B859" s="14"/>
      <c r="C859" s="14"/>
      <c r="D859" s="14"/>
      <c r="O859" s="14"/>
      <c r="P859" s="14"/>
      <c r="Q859" s="14"/>
      <c r="R859" s="14"/>
    </row>
    <row r="860" ht="12.75" customHeight="1">
      <c r="A860" s="14"/>
      <c r="B860" s="14"/>
      <c r="C860" s="14"/>
      <c r="D860" s="14"/>
      <c r="O860" s="14"/>
      <c r="P860" s="14"/>
      <c r="Q860" s="14"/>
      <c r="R860" s="14"/>
    </row>
    <row r="861" ht="12.75" customHeight="1">
      <c r="A861" s="14"/>
      <c r="B861" s="14"/>
      <c r="C861" s="14"/>
      <c r="D861" s="14"/>
      <c r="O861" s="14"/>
      <c r="P861" s="14"/>
      <c r="Q861" s="14"/>
      <c r="R861" s="14"/>
    </row>
    <row r="862" ht="12.75" customHeight="1">
      <c r="A862" s="14"/>
      <c r="B862" s="14"/>
      <c r="C862" s="14"/>
      <c r="D862" s="14"/>
      <c r="O862" s="14"/>
      <c r="P862" s="14"/>
      <c r="Q862" s="14"/>
      <c r="R862" s="14"/>
    </row>
    <row r="863" ht="12.75" customHeight="1">
      <c r="A863" s="14"/>
      <c r="B863" s="14"/>
      <c r="C863" s="14"/>
      <c r="D863" s="14"/>
      <c r="O863" s="14"/>
      <c r="P863" s="14"/>
      <c r="Q863" s="14"/>
      <c r="R863" s="14"/>
    </row>
    <row r="864" ht="12.75" customHeight="1">
      <c r="A864" s="14"/>
      <c r="B864" s="14"/>
      <c r="C864" s="14"/>
      <c r="D864" s="14"/>
      <c r="O864" s="14"/>
      <c r="P864" s="14"/>
      <c r="Q864" s="14"/>
      <c r="R864" s="14"/>
    </row>
    <row r="865" ht="12.75" customHeight="1">
      <c r="A865" s="14"/>
      <c r="B865" s="14"/>
      <c r="C865" s="14"/>
      <c r="D865" s="14"/>
      <c r="O865" s="14"/>
      <c r="P865" s="14"/>
      <c r="Q865" s="14"/>
      <c r="R865" s="14"/>
    </row>
    <row r="866" ht="12.75" customHeight="1">
      <c r="A866" s="14"/>
      <c r="B866" s="14"/>
      <c r="C866" s="14"/>
      <c r="D866" s="14"/>
      <c r="O866" s="14"/>
      <c r="P866" s="14"/>
      <c r="Q866" s="14"/>
      <c r="R866" s="14"/>
    </row>
    <row r="867" ht="12.75" customHeight="1">
      <c r="A867" s="14"/>
      <c r="B867" s="14"/>
      <c r="C867" s="14"/>
      <c r="D867" s="14"/>
      <c r="O867" s="14"/>
      <c r="P867" s="14"/>
      <c r="Q867" s="14"/>
      <c r="R867" s="14"/>
    </row>
    <row r="868" ht="12.75" customHeight="1">
      <c r="A868" s="14"/>
      <c r="B868" s="14"/>
      <c r="C868" s="14"/>
      <c r="D868" s="14"/>
      <c r="O868" s="14"/>
      <c r="P868" s="14"/>
      <c r="Q868" s="14"/>
      <c r="R868" s="14"/>
    </row>
    <row r="869" ht="12.75" customHeight="1">
      <c r="A869" s="14"/>
      <c r="B869" s="14"/>
      <c r="C869" s="14"/>
      <c r="D869" s="14"/>
      <c r="O869" s="14"/>
      <c r="P869" s="14"/>
      <c r="Q869" s="14"/>
      <c r="R869" s="14"/>
    </row>
    <row r="870" ht="12.75" customHeight="1">
      <c r="A870" s="14"/>
      <c r="B870" s="14"/>
      <c r="C870" s="14"/>
      <c r="D870" s="14"/>
      <c r="O870" s="14"/>
      <c r="P870" s="14"/>
      <c r="Q870" s="14"/>
      <c r="R870" s="14"/>
    </row>
    <row r="871" ht="12.75" customHeight="1">
      <c r="A871" s="14"/>
      <c r="B871" s="14"/>
      <c r="C871" s="14"/>
      <c r="D871" s="14"/>
      <c r="O871" s="14"/>
      <c r="P871" s="14"/>
      <c r="Q871" s="14"/>
      <c r="R871" s="14"/>
    </row>
    <row r="872" ht="12.75" customHeight="1">
      <c r="A872" s="14"/>
      <c r="B872" s="14"/>
      <c r="C872" s="14"/>
      <c r="D872" s="14"/>
      <c r="O872" s="14"/>
      <c r="P872" s="14"/>
      <c r="Q872" s="14"/>
      <c r="R872" s="14"/>
    </row>
    <row r="873" ht="12.75" customHeight="1">
      <c r="A873" s="14"/>
      <c r="B873" s="14"/>
      <c r="C873" s="14"/>
      <c r="D873" s="14"/>
      <c r="O873" s="14"/>
      <c r="P873" s="14"/>
      <c r="Q873" s="14"/>
      <c r="R873" s="14"/>
    </row>
    <row r="874" ht="12.75" customHeight="1">
      <c r="A874" s="14"/>
      <c r="B874" s="14"/>
      <c r="C874" s="14"/>
      <c r="D874" s="14"/>
      <c r="O874" s="14"/>
      <c r="P874" s="14"/>
      <c r="Q874" s="14"/>
      <c r="R874" s="14"/>
    </row>
    <row r="875" ht="12.75" customHeight="1">
      <c r="A875" s="14"/>
      <c r="B875" s="14"/>
      <c r="C875" s="14"/>
      <c r="D875" s="14"/>
      <c r="O875" s="14"/>
      <c r="P875" s="14"/>
      <c r="Q875" s="14"/>
      <c r="R875" s="14"/>
    </row>
    <row r="876" ht="12.75" customHeight="1">
      <c r="A876" s="14"/>
      <c r="B876" s="14"/>
      <c r="C876" s="14"/>
      <c r="D876" s="14"/>
      <c r="O876" s="14"/>
      <c r="P876" s="14"/>
      <c r="Q876" s="14"/>
      <c r="R876" s="14"/>
    </row>
    <row r="877" ht="12.75" customHeight="1">
      <c r="A877" s="14"/>
      <c r="B877" s="14"/>
      <c r="C877" s="14"/>
      <c r="D877" s="14"/>
      <c r="O877" s="14"/>
      <c r="P877" s="14"/>
      <c r="Q877" s="14"/>
      <c r="R877" s="14"/>
    </row>
    <row r="878" ht="12.75" customHeight="1">
      <c r="A878" s="14"/>
      <c r="B878" s="14"/>
      <c r="C878" s="14"/>
      <c r="D878" s="14"/>
      <c r="O878" s="14"/>
      <c r="P878" s="14"/>
      <c r="Q878" s="14"/>
      <c r="R878" s="14"/>
    </row>
    <row r="879" ht="12.75" customHeight="1">
      <c r="A879" s="14"/>
      <c r="B879" s="14"/>
      <c r="C879" s="14"/>
      <c r="D879" s="14"/>
      <c r="O879" s="14"/>
      <c r="P879" s="14"/>
      <c r="Q879" s="14"/>
      <c r="R879" s="14"/>
    </row>
    <row r="880" ht="12.75" customHeight="1">
      <c r="A880" s="14"/>
      <c r="B880" s="14"/>
      <c r="C880" s="14"/>
      <c r="D880" s="14"/>
      <c r="O880" s="14"/>
      <c r="P880" s="14"/>
      <c r="Q880" s="14"/>
      <c r="R880" s="14"/>
    </row>
    <row r="881" ht="12.75" customHeight="1">
      <c r="A881" s="14"/>
      <c r="B881" s="14"/>
      <c r="C881" s="14"/>
      <c r="D881" s="14"/>
      <c r="O881" s="14"/>
      <c r="P881" s="14"/>
      <c r="Q881" s="14"/>
      <c r="R881" s="14"/>
    </row>
    <row r="882" ht="12.75" customHeight="1">
      <c r="A882" s="14"/>
      <c r="B882" s="14"/>
      <c r="C882" s="14"/>
      <c r="D882" s="14"/>
      <c r="O882" s="14"/>
      <c r="P882" s="14"/>
      <c r="Q882" s="14"/>
      <c r="R882" s="14"/>
    </row>
    <row r="883" ht="12.75" customHeight="1">
      <c r="A883" s="14"/>
      <c r="B883" s="14"/>
      <c r="C883" s="14"/>
      <c r="D883" s="14"/>
      <c r="O883" s="14"/>
      <c r="P883" s="14"/>
      <c r="Q883" s="14"/>
      <c r="R883" s="14"/>
    </row>
    <row r="884" ht="12.75" customHeight="1">
      <c r="A884" s="14"/>
      <c r="B884" s="14"/>
      <c r="C884" s="14"/>
      <c r="D884" s="14"/>
      <c r="O884" s="14"/>
      <c r="P884" s="14"/>
      <c r="Q884" s="14"/>
      <c r="R884" s="14"/>
    </row>
    <row r="885" ht="12.75" customHeight="1">
      <c r="A885" s="14"/>
      <c r="B885" s="14"/>
      <c r="C885" s="14"/>
      <c r="D885" s="14"/>
      <c r="O885" s="14"/>
      <c r="P885" s="14"/>
      <c r="Q885" s="14"/>
      <c r="R885" s="14"/>
    </row>
    <row r="886" ht="12.75" customHeight="1">
      <c r="A886" s="14"/>
      <c r="B886" s="14"/>
      <c r="C886" s="14"/>
      <c r="D886" s="14"/>
      <c r="O886" s="14"/>
      <c r="P886" s="14"/>
      <c r="Q886" s="14"/>
      <c r="R886" s="14"/>
    </row>
    <row r="887" ht="12.75" customHeight="1">
      <c r="A887" s="14"/>
      <c r="B887" s="14"/>
      <c r="C887" s="14"/>
      <c r="D887" s="14"/>
      <c r="O887" s="14"/>
      <c r="P887" s="14"/>
      <c r="Q887" s="14"/>
      <c r="R887" s="14"/>
    </row>
    <row r="888" ht="12.75" customHeight="1">
      <c r="A888" s="14"/>
      <c r="B888" s="14"/>
      <c r="C888" s="14"/>
      <c r="D888" s="14"/>
      <c r="O888" s="14"/>
      <c r="P888" s="14"/>
      <c r="Q888" s="14"/>
      <c r="R888" s="14"/>
    </row>
    <row r="889" ht="12.75" customHeight="1">
      <c r="A889" s="14"/>
      <c r="B889" s="14"/>
      <c r="C889" s="14"/>
      <c r="D889" s="14"/>
      <c r="O889" s="14"/>
      <c r="P889" s="14"/>
      <c r="Q889" s="14"/>
      <c r="R889" s="14"/>
    </row>
    <row r="890" ht="12.75" customHeight="1">
      <c r="A890" s="14"/>
      <c r="B890" s="14"/>
      <c r="C890" s="14"/>
      <c r="D890" s="14"/>
      <c r="O890" s="14"/>
      <c r="P890" s="14"/>
      <c r="Q890" s="14"/>
      <c r="R890" s="14"/>
    </row>
    <row r="891" ht="12.75" customHeight="1">
      <c r="A891" s="14"/>
      <c r="B891" s="14"/>
      <c r="C891" s="14"/>
      <c r="D891" s="14"/>
      <c r="O891" s="14"/>
      <c r="P891" s="14"/>
      <c r="Q891" s="14"/>
      <c r="R891" s="14"/>
    </row>
    <row r="892" ht="12.75" customHeight="1">
      <c r="A892" s="14"/>
      <c r="B892" s="14"/>
      <c r="C892" s="14"/>
      <c r="D892" s="14"/>
      <c r="O892" s="14"/>
      <c r="P892" s="14"/>
      <c r="Q892" s="14"/>
      <c r="R892" s="14"/>
    </row>
    <row r="893" ht="12.75" customHeight="1">
      <c r="A893" s="14"/>
      <c r="B893" s="14"/>
      <c r="C893" s="14"/>
      <c r="D893" s="14"/>
      <c r="O893" s="14"/>
      <c r="P893" s="14"/>
      <c r="Q893" s="14"/>
      <c r="R893" s="14"/>
    </row>
    <row r="894" ht="12.75" customHeight="1">
      <c r="A894" s="14"/>
      <c r="B894" s="14"/>
      <c r="C894" s="14"/>
      <c r="D894" s="14"/>
      <c r="O894" s="14"/>
      <c r="P894" s="14"/>
      <c r="Q894" s="14"/>
      <c r="R894" s="14"/>
    </row>
    <row r="895" ht="12.75" customHeight="1">
      <c r="A895" s="14"/>
      <c r="B895" s="14"/>
      <c r="C895" s="14"/>
      <c r="D895" s="14"/>
      <c r="O895" s="14"/>
      <c r="P895" s="14"/>
      <c r="Q895" s="14"/>
      <c r="R895" s="14"/>
    </row>
    <row r="896" ht="12.75" customHeight="1">
      <c r="A896" s="14"/>
      <c r="B896" s="14"/>
      <c r="C896" s="14"/>
      <c r="D896" s="14"/>
      <c r="O896" s="14"/>
      <c r="P896" s="14"/>
      <c r="Q896" s="14"/>
      <c r="R896" s="14"/>
    </row>
    <row r="897" ht="12.75" customHeight="1">
      <c r="A897" s="14"/>
      <c r="B897" s="14"/>
      <c r="C897" s="14"/>
      <c r="D897" s="14"/>
      <c r="O897" s="14"/>
      <c r="P897" s="14"/>
      <c r="Q897" s="14"/>
      <c r="R897" s="14"/>
    </row>
    <row r="898" ht="12.75" customHeight="1">
      <c r="A898" s="14"/>
      <c r="B898" s="14"/>
      <c r="C898" s="14"/>
      <c r="D898" s="14"/>
      <c r="O898" s="14"/>
      <c r="P898" s="14"/>
      <c r="Q898" s="14"/>
      <c r="R898" s="14"/>
    </row>
    <row r="899" ht="12.75" customHeight="1">
      <c r="A899" s="14"/>
      <c r="B899" s="14"/>
      <c r="C899" s="14"/>
      <c r="D899" s="14"/>
      <c r="O899" s="14"/>
      <c r="P899" s="14"/>
      <c r="Q899" s="14"/>
      <c r="R899" s="14"/>
    </row>
    <row r="900" ht="12.75" customHeight="1">
      <c r="A900" s="14"/>
      <c r="B900" s="14"/>
      <c r="C900" s="14"/>
      <c r="D900" s="14"/>
      <c r="O900" s="14"/>
      <c r="P900" s="14"/>
      <c r="Q900" s="14"/>
      <c r="R900" s="14"/>
    </row>
    <row r="901" ht="12.75" customHeight="1">
      <c r="A901" s="14"/>
      <c r="B901" s="14"/>
      <c r="C901" s="14"/>
      <c r="D901" s="14"/>
      <c r="O901" s="14"/>
      <c r="P901" s="14"/>
      <c r="Q901" s="14"/>
      <c r="R901" s="14"/>
    </row>
    <row r="902" ht="12.75" customHeight="1">
      <c r="A902" s="14"/>
      <c r="B902" s="14"/>
      <c r="C902" s="14"/>
      <c r="D902" s="14"/>
      <c r="O902" s="14"/>
      <c r="P902" s="14"/>
      <c r="Q902" s="14"/>
      <c r="R902" s="14"/>
    </row>
    <row r="903" ht="12.75" customHeight="1">
      <c r="A903" s="14"/>
      <c r="B903" s="14"/>
      <c r="C903" s="14"/>
      <c r="D903" s="14"/>
      <c r="O903" s="14"/>
      <c r="P903" s="14"/>
      <c r="Q903" s="14"/>
      <c r="R903" s="14"/>
    </row>
    <row r="904" ht="12.75" customHeight="1">
      <c r="A904" s="14"/>
      <c r="B904" s="14"/>
      <c r="C904" s="14"/>
      <c r="D904" s="14"/>
      <c r="O904" s="14"/>
      <c r="P904" s="14"/>
      <c r="Q904" s="14"/>
      <c r="R904" s="14"/>
    </row>
    <row r="905" ht="12.75" customHeight="1">
      <c r="A905" s="14"/>
      <c r="B905" s="14"/>
      <c r="C905" s="14"/>
      <c r="D905" s="14"/>
      <c r="O905" s="14"/>
      <c r="P905" s="14"/>
      <c r="Q905" s="14"/>
      <c r="R905" s="14"/>
    </row>
    <row r="906" ht="12.75" customHeight="1">
      <c r="A906" s="14"/>
      <c r="B906" s="14"/>
      <c r="C906" s="14"/>
      <c r="D906" s="14"/>
      <c r="O906" s="14"/>
      <c r="P906" s="14"/>
      <c r="Q906" s="14"/>
      <c r="R906" s="14"/>
    </row>
    <row r="907" ht="12.75" customHeight="1">
      <c r="A907" s="14"/>
      <c r="B907" s="14"/>
      <c r="C907" s="14"/>
      <c r="D907" s="14"/>
      <c r="O907" s="14"/>
      <c r="P907" s="14"/>
      <c r="Q907" s="14"/>
      <c r="R907" s="14"/>
    </row>
    <row r="908" ht="12.75" customHeight="1">
      <c r="A908" s="14"/>
      <c r="B908" s="14"/>
      <c r="C908" s="14"/>
      <c r="D908" s="14"/>
      <c r="O908" s="14"/>
      <c r="P908" s="14"/>
      <c r="Q908" s="14"/>
      <c r="R908" s="14"/>
    </row>
    <row r="909" ht="12.75" customHeight="1">
      <c r="A909" s="14"/>
      <c r="B909" s="14"/>
      <c r="C909" s="14"/>
      <c r="D909" s="14"/>
      <c r="O909" s="14"/>
      <c r="P909" s="14"/>
      <c r="Q909" s="14"/>
      <c r="R909" s="14"/>
    </row>
    <row r="910" ht="12.75" customHeight="1">
      <c r="A910" s="14"/>
      <c r="B910" s="14"/>
      <c r="C910" s="14"/>
      <c r="D910" s="14"/>
      <c r="O910" s="14"/>
      <c r="P910" s="14"/>
      <c r="Q910" s="14"/>
      <c r="R910" s="14"/>
    </row>
    <row r="911" ht="12.75" customHeight="1">
      <c r="A911" s="14"/>
      <c r="B911" s="14"/>
      <c r="C911" s="14"/>
      <c r="D911" s="14"/>
      <c r="O911" s="14"/>
      <c r="P911" s="14"/>
      <c r="Q911" s="14"/>
      <c r="R911" s="14"/>
    </row>
    <row r="912" ht="12.75" customHeight="1">
      <c r="A912" s="14"/>
      <c r="B912" s="14"/>
      <c r="C912" s="14"/>
      <c r="D912" s="14"/>
      <c r="O912" s="14"/>
      <c r="P912" s="14"/>
      <c r="Q912" s="14"/>
      <c r="R912" s="14"/>
    </row>
    <row r="913" ht="12.75" customHeight="1">
      <c r="A913" s="14"/>
      <c r="B913" s="14"/>
      <c r="C913" s="14"/>
      <c r="D913" s="14"/>
      <c r="O913" s="14"/>
      <c r="P913" s="14"/>
      <c r="Q913" s="14"/>
      <c r="R913" s="14"/>
    </row>
    <row r="914" ht="12.75" customHeight="1">
      <c r="A914" s="14"/>
      <c r="B914" s="14"/>
      <c r="C914" s="14"/>
      <c r="D914" s="14"/>
      <c r="O914" s="14"/>
      <c r="P914" s="14"/>
      <c r="Q914" s="14"/>
      <c r="R914" s="14"/>
    </row>
    <row r="915" ht="12.75" customHeight="1">
      <c r="A915" s="14"/>
      <c r="B915" s="14"/>
      <c r="C915" s="14"/>
      <c r="D915" s="14"/>
      <c r="O915" s="14"/>
      <c r="P915" s="14"/>
      <c r="Q915" s="14"/>
      <c r="R915" s="14"/>
    </row>
    <row r="916" ht="12.75" customHeight="1">
      <c r="A916" s="14"/>
      <c r="B916" s="14"/>
      <c r="C916" s="14"/>
      <c r="D916" s="14"/>
      <c r="O916" s="14"/>
      <c r="P916" s="14"/>
      <c r="Q916" s="14"/>
      <c r="R916" s="14"/>
    </row>
    <row r="917" ht="12.75" customHeight="1">
      <c r="A917" s="14"/>
      <c r="B917" s="14"/>
      <c r="C917" s="14"/>
      <c r="D917" s="14"/>
      <c r="O917" s="14"/>
      <c r="P917" s="14"/>
      <c r="Q917" s="14"/>
      <c r="R917" s="14"/>
    </row>
    <row r="918" ht="12.75" customHeight="1">
      <c r="A918" s="14"/>
      <c r="B918" s="14"/>
      <c r="C918" s="14"/>
      <c r="D918" s="14"/>
      <c r="O918" s="14"/>
      <c r="P918" s="14"/>
      <c r="Q918" s="14"/>
      <c r="R918" s="14"/>
    </row>
    <row r="919" ht="12.75" customHeight="1">
      <c r="A919" s="14"/>
      <c r="B919" s="14"/>
      <c r="C919" s="14"/>
      <c r="D919" s="14"/>
      <c r="O919" s="14"/>
      <c r="P919" s="14"/>
      <c r="Q919" s="14"/>
      <c r="R919" s="14"/>
    </row>
    <row r="920" ht="12.75" customHeight="1">
      <c r="A920" s="14"/>
      <c r="B920" s="14"/>
      <c r="C920" s="14"/>
      <c r="D920" s="14"/>
      <c r="O920" s="14"/>
      <c r="P920" s="14"/>
      <c r="Q920" s="14"/>
      <c r="R920" s="14"/>
    </row>
    <row r="921" ht="12.75" customHeight="1">
      <c r="A921" s="14"/>
      <c r="B921" s="14"/>
      <c r="C921" s="14"/>
      <c r="D921" s="14"/>
      <c r="O921" s="14"/>
      <c r="P921" s="14"/>
      <c r="Q921" s="14"/>
      <c r="R921" s="14"/>
    </row>
    <row r="922" ht="12.75" customHeight="1">
      <c r="A922" s="14"/>
      <c r="B922" s="14"/>
      <c r="C922" s="14"/>
      <c r="D922" s="14"/>
      <c r="O922" s="14"/>
      <c r="P922" s="14"/>
      <c r="Q922" s="14"/>
      <c r="R922" s="14"/>
    </row>
    <row r="923" ht="12.75" customHeight="1">
      <c r="A923" s="14"/>
      <c r="B923" s="14"/>
      <c r="C923" s="14"/>
      <c r="D923" s="14"/>
      <c r="O923" s="14"/>
      <c r="P923" s="14"/>
      <c r="Q923" s="14"/>
      <c r="R923" s="14"/>
    </row>
    <row r="924" ht="12.75" customHeight="1">
      <c r="A924" s="14"/>
      <c r="B924" s="14"/>
      <c r="C924" s="14"/>
      <c r="D924" s="14"/>
      <c r="O924" s="14"/>
      <c r="P924" s="14"/>
      <c r="Q924" s="14"/>
      <c r="R924" s="14"/>
    </row>
    <row r="925" ht="12.75" customHeight="1">
      <c r="A925" s="14"/>
      <c r="B925" s="14"/>
      <c r="C925" s="14"/>
      <c r="D925" s="14"/>
      <c r="O925" s="14"/>
      <c r="P925" s="14"/>
      <c r="Q925" s="14"/>
      <c r="R925" s="14"/>
    </row>
    <row r="926" ht="12.75" customHeight="1">
      <c r="A926" s="14"/>
      <c r="B926" s="14"/>
      <c r="C926" s="14"/>
      <c r="D926" s="14"/>
      <c r="O926" s="14"/>
      <c r="P926" s="14"/>
      <c r="Q926" s="14"/>
      <c r="R926" s="14"/>
    </row>
    <row r="927" ht="12.75" customHeight="1">
      <c r="A927" s="14"/>
      <c r="B927" s="14"/>
      <c r="C927" s="14"/>
      <c r="D927" s="14"/>
      <c r="O927" s="14"/>
      <c r="P927" s="14"/>
      <c r="Q927" s="14"/>
      <c r="R927" s="14"/>
    </row>
    <row r="928" ht="12.75" customHeight="1">
      <c r="A928" s="14"/>
      <c r="B928" s="14"/>
      <c r="C928" s="14"/>
      <c r="D928" s="14"/>
      <c r="O928" s="14"/>
      <c r="P928" s="14"/>
      <c r="Q928" s="14"/>
      <c r="R928" s="14"/>
    </row>
    <row r="929" ht="12.75" customHeight="1">
      <c r="A929" s="14"/>
      <c r="B929" s="14"/>
      <c r="C929" s="14"/>
      <c r="D929" s="14"/>
      <c r="O929" s="14"/>
      <c r="P929" s="14"/>
      <c r="Q929" s="14"/>
      <c r="R929" s="14"/>
    </row>
    <row r="930" ht="12.75" customHeight="1">
      <c r="A930" s="14"/>
      <c r="B930" s="14"/>
      <c r="C930" s="14"/>
      <c r="D930" s="14"/>
      <c r="O930" s="14"/>
      <c r="P930" s="14"/>
      <c r="Q930" s="14"/>
      <c r="R930" s="14"/>
    </row>
    <row r="931" ht="12.75" customHeight="1">
      <c r="A931" s="14"/>
      <c r="B931" s="14"/>
      <c r="C931" s="14"/>
      <c r="D931" s="14"/>
      <c r="O931" s="14"/>
      <c r="P931" s="14"/>
      <c r="Q931" s="14"/>
      <c r="R931" s="14"/>
    </row>
    <row r="932" ht="12.75" customHeight="1">
      <c r="A932" s="14"/>
      <c r="B932" s="14"/>
      <c r="C932" s="14"/>
      <c r="D932" s="14"/>
      <c r="O932" s="14"/>
      <c r="P932" s="14"/>
      <c r="Q932" s="14"/>
      <c r="R932" s="14"/>
    </row>
    <row r="933" ht="12.75" customHeight="1">
      <c r="A933" s="14"/>
      <c r="B933" s="14"/>
      <c r="C933" s="14"/>
      <c r="D933" s="14"/>
      <c r="O933" s="14"/>
      <c r="P933" s="14"/>
      <c r="Q933" s="14"/>
      <c r="R933" s="14"/>
    </row>
    <row r="934" ht="12.75" customHeight="1">
      <c r="A934" s="14"/>
      <c r="B934" s="14"/>
      <c r="C934" s="14"/>
      <c r="D934" s="14"/>
      <c r="O934" s="14"/>
      <c r="P934" s="14"/>
      <c r="Q934" s="14"/>
      <c r="R934" s="14"/>
    </row>
    <row r="935" ht="12.75" customHeight="1">
      <c r="A935" s="14"/>
      <c r="B935" s="14"/>
      <c r="C935" s="14"/>
      <c r="D935" s="14"/>
      <c r="O935" s="14"/>
      <c r="P935" s="14"/>
      <c r="Q935" s="14"/>
      <c r="R935" s="14"/>
    </row>
    <row r="936" ht="12.75" customHeight="1">
      <c r="A936" s="14"/>
      <c r="B936" s="14"/>
      <c r="C936" s="14"/>
      <c r="D936" s="14"/>
      <c r="O936" s="14"/>
      <c r="P936" s="14"/>
      <c r="Q936" s="14"/>
      <c r="R936" s="14"/>
    </row>
    <row r="937" ht="12.75" customHeight="1">
      <c r="A937" s="14"/>
      <c r="B937" s="14"/>
      <c r="C937" s="14"/>
      <c r="D937" s="14"/>
      <c r="O937" s="14"/>
      <c r="P937" s="14"/>
      <c r="Q937" s="14"/>
      <c r="R937" s="14"/>
    </row>
    <row r="938" ht="12.75" customHeight="1">
      <c r="A938" s="14"/>
      <c r="B938" s="14"/>
      <c r="C938" s="14"/>
      <c r="D938" s="14"/>
      <c r="O938" s="14"/>
      <c r="P938" s="14"/>
      <c r="Q938" s="14"/>
      <c r="R938" s="14"/>
    </row>
    <row r="939" ht="12.75" customHeight="1">
      <c r="A939" s="14"/>
      <c r="B939" s="14"/>
      <c r="C939" s="14"/>
      <c r="D939" s="14"/>
      <c r="O939" s="14"/>
      <c r="P939" s="14"/>
      <c r="Q939" s="14"/>
      <c r="R939" s="14"/>
    </row>
    <row r="940" ht="12.75" customHeight="1">
      <c r="A940" s="14"/>
      <c r="B940" s="14"/>
      <c r="C940" s="14"/>
      <c r="D940" s="14"/>
      <c r="O940" s="14"/>
      <c r="P940" s="14"/>
      <c r="Q940" s="14"/>
      <c r="R940" s="14"/>
    </row>
    <row r="941" ht="12.75" customHeight="1">
      <c r="A941" s="14"/>
      <c r="B941" s="14"/>
      <c r="C941" s="14"/>
      <c r="D941" s="14"/>
      <c r="O941" s="14"/>
      <c r="P941" s="14"/>
      <c r="Q941" s="14"/>
      <c r="R941" s="14"/>
    </row>
    <row r="942" ht="12.75" customHeight="1">
      <c r="A942" s="14"/>
      <c r="B942" s="14"/>
      <c r="C942" s="14"/>
      <c r="D942" s="14"/>
      <c r="O942" s="14"/>
      <c r="P942" s="14"/>
      <c r="Q942" s="14"/>
      <c r="R942" s="14"/>
    </row>
    <row r="943" ht="12.75" customHeight="1">
      <c r="A943" s="14"/>
      <c r="B943" s="14"/>
      <c r="C943" s="14"/>
      <c r="D943" s="14"/>
      <c r="O943" s="14"/>
      <c r="P943" s="14"/>
      <c r="Q943" s="14"/>
      <c r="R943" s="14"/>
    </row>
    <row r="944" ht="12.75" customHeight="1">
      <c r="A944" s="14"/>
      <c r="B944" s="14"/>
      <c r="C944" s="14"/>
      <c r="D944" s="14"/>
      <c r="O944" s="14"/>
      <c r="P944" s="14"/>
      <c r="Q944" s="14"/>
      <c r="R944" s="14"/>
    </row>
    <row r="945" ht="12.75" customHeight="1">
      <c r="A945" s="14"/>
      <c r="B945" s="14"/>
      <c r="C945" s="14"/>
      <c r="D945" s="14"/>
      <c r="O945" s="14"/>
      <c r="P945" s="14"/>
      <c r="Q945" s="14"/>
      <c r="R945" s="14"/>
    </row>
    <row r="946" ht="12.75" customHeight="1">
      <c r="A946" s="14"/>
      <c r="B946" s="14"/>
      <c r="C946" s="14"/>
      <c r="D946" s="14"/>
      <c r="O946" s="14"/>
      <c r="P946" s="14"/>
      <c r="Q946" s="14"/>
      <c r="R946" s="14"/>
    </row>
    <row r="947" ht="12.75" customHeight="1">
      <c r="A947" s="14"/>
      <c r="B947" s="14"/>
      <c r="C947" s="14"/>
      <c r="D947" s="14"/>
      <c r="O947" s="14"/>
      <c r="P947" s="14"/>
      <c r="Q947" s="14"/>
      <c r="R947" s="14"/>
    </row>
    <row r="948" ht="12.75" customHeight="1">
      <c r="A948" s="14"/>
      <c r="B948" s="14"/>
      <c r="C948" s="14"/>
      <c r="D948" s="14"/>
      <c r="O948" s="14"/>
      <c r="P948" s="14"/>
      <c r="Q948" s="14"/>
      <c r="R948" s="14"/>
    </row>
    <row r="949" ht="12.75" customHeight="1">
      <c r="A949" s="14"/>
      <c r="B949" s="14"/>
      <c r="C949" s="14"/>
      <c r="D949" s="14"/>
      <c r="O949" s="14"/>
      <c r="P949" s="14"/>
      <c r="Q949" s="14"/>
      <c r="R949" s="14"/>
    </row>
    <row r="950" ht="12.75" customHeight="1">
      <c r="A950" s="14"/>
      <c r="B950" s="14"/>
      <c r="C950" s="14"/>
      <c r="D950" s="14"/>
      <c r="O950" s="14"/>
      <c r="P950" s="14"/>
      <c r="Q950" s="14"/>
      <c r="R950" s="14"/>
    </row>
    <row r="951" ht="12.75" customHeight="1">
      <c r="A951" s="14"/>
      <c r="B951" s="14"/>
      <c r="C951" s="14"/>
      <c r="D951" s="14"/>
      <c r="O951" s="14"/>
      <c r="P951" s="14"/>
      <c r="Q951" s="14"/>
      <c r="R951" s="14"/>
    </row>
    <row r="952" ht="12.75" customHeight="1">
      <c r="A952" s="14"/>
      <c r="B952" s="14"/>
      <c r="C952" s="14"/>
      <c r="D952" s="14"/>
      <c r="O952" s="14"/>
      <c r="P952" s="14"/>
      <c r="Q952" s="14"/>
      <c r="R952" s="14"/>
    </row>
    <row r="953" ht="12.75" customHeight="1">
      <c r="A953" s="14"/>
      <c r="B953" s="14"/>
      <c r="C953" s="14"/>
      <c r="D953" s="14"/>
      <c r="O953" s="14"/>
      <c r="P953" s="14"/>
      <c r="Q953" s="14"/>
      <c r="R953" s="14"/>
    </row>
    <row r="954" ht="12.75" customHeight="1">
      <c r="A954" s="14"/>
      <c r="B954" s="14"/>
      <c r="C954" s="14"/>
      <c r="D954" s="14"/>
      <c r="O954" s="14"/>
      <c r="P954" s="14"/>
      <c r="Q954" s="14"/>
      <c r="R954" s="14"/>
    </row>
    <row r="955" ht="12.75" customHeight="1">
      <c r="A955" s="14"/>
      <c r="B955" s="14"/>
      <c r="C955" s="14"/>
      <c r="D955" s="14"/>
      <c r="O955" s="14"/>
      <c r="P955" s="14"/>
      <c r="Q955" s="14"/>
      <c r="R955" s="14"/>
    </row>
    <row r="956" ht="12.75" customHeight="1">
      <c r="A956" s="14"/>
      <c r="B956" s="14"/>
      <c r="C956" s="14"/>
      <c r="D956" s="14"/>
      <c r="O956" s="14"/>
      <c r="P956" s="14"/>
      <c r="Q956" s="14"/>
      <c r="R956" s="14"/>
    </row>
    <row r="957" ht="12.75" customHeight="1">
      <c r="A957" s="14"/>
      <c r="B957" s="14"/>
      <c r="C957" s="14"/>
      <c r="D957" s="14"/>
      <c r="O957" s="14"/>
      <c r="P957" s="14"/>
      <c r="Q957" s="14"/>
      <c r="R957" s="14"/>
    </row>
    <row r="958" ht="12.75" customHeight="1">
      <c r="A958" s="14"/>
      <c r="B958" s="14"/>
      <c r="C958" s="14"/>
      <c r="D958" s="14"/>
      <c r="O958" s="14"/>
      <c r="P958" s="14"/>
      <c r="Q958" s="14"/>
      <c r="R958" s="14"/>
    </row>
    <row r="959" ht="12.75" customHeight="1">
      <c r="A959" s="14"/>
      <c r="B959" s="14"/>
      <c r="C959" s="14"/>
      <c r="D959" s="14"/>
      <c r="O959" s="14"/>
      <c r="P959" s="14"/>
      <c r="Q959" s="14"/>
      <c r="R959" s="14"/>
    </row>
    <row r="960" ht="12.75" customHeight="1">
      <c r="A960" s="14"/>
      <c r="B960" s="14"/>
      <c r="C960" s="14"/>
      <c r="D960" s="14"/>
      <c r="O960" s="14"/>
      <c r="P960" s="14"/>
      <c r="Q960" s="14"/>
      <c r="R960" s="14"/>
    </row>
    <row r="961" ht="12.75" customHeight="1">
      <c r="A961" s="14"/>
      <c r="B961" s="14"/>
      <c r="C961" s="14"/>
      <c r="D961" s="14"/>
      <c r="O961" s="14"/>
      <c r="P961" s="14"/>
      <c r="Q961" s="14"/>
      <c r="R961" s="14"/>
    </row>
    <row r="962" ht="12.75" customHeight="1">
      <c r="A962" s="14"/>
      <c r="B962" s="14"/>
      <c r="C962" s="14"/>
      <c r="D962" s="14"/>
      <c r="O962" s="14"/>
      <c r="P962" s="14"/>
      <c r="Q962" s="14"/>
      <c r="R962" s="14"/>
    </row>
    <row r="963" ht="12.75" customHeight="1">
      <c r="A963" s="14"/>
      <c r="B963" s="14"/>
      <c r="C963" s="14"/>
      <c r="D963" s="14"/>
      <c r="O963" s="14"/>
      <c r="P963" s="14"/>
      <c r="Q963" s="14"/>
      <c r="R963" s="14"/>
    </row>
    <row r="964" ht="12.75" customHeight="1">
      <c r="A964" s="14"/>
      <c r="B964" s="14"/>
      <c r="C964" s="14"/>
      <c r="D964" s="14"/>
      <c r="O964" s="14"/>
      <c r="P964" s="14"/>
      <c r="Q964" s="14"/>
      <c r="R964" s="14"/>
    </row>
    <row r="965" ht="12.75" customHeight="1">
      <c r="A965" s="14"/>
      <c r="B965" s="14"/>
      <c r="C965" s="14"/>
      <c r="D965" s="14"/>
      <c r="O965" s="14"/>
      <c r="P965" s="14"/>
      <c r="Q965" s="14"/>
      <c r="R965" s="14"/>
    </row>
    <row r="966" ht="12.75" customHeight="1">
      <c r="A966" s="14"/>
      <c r="B966" s="14"/>
      <c r="C966" s="14"/>
      <c r="D966" s="14"/>
      <c r="O966" s="14"/>
      <c r="P966" s="14"/>
      <c r="Q966" s="14"/>
      <c r="R966" s="14"/>
    </row>
    <row r="967" ht="12.75" customHeight="1">
      <c r="A967" s="14"/>
      <c r="B967" s="14"/>
      <c r="C967" s="14"/>
      <c r="D967" s="14"/>
      <c r="O967" s="14"/>
      <c r="P967" s="14"/>
      <c r="Q967" s="14"/>
      <c r="R967" s="14"/>
    </row>
    <row r="968" ht="12.75" customHeight="1">
      <c r="A968" s="14"/>
      <c r="B968" s="14"/>
      <c r="C968" s="14"/>
      <c r="D968" s="14"/>
      <c r="O968" s="14"/>
      <c r="P968" s="14"/>
      <c r="Q968" s="14"/>
      <c r="R968" s="14"/>
    </row>
    <row r="969" ht="12.75" customHeight="1">
      <c r="A969" s="14"/>
      <c r="B969" s="14"/>
      <c r="C969" s="14"/>
      <c r="D969" s="14"/>
      <c r="O969" s="14"/>
      <c r="P969" s="14"/>
      <c r="Q969" s="14"/>
      <c r="R969" s="14"/>
    </row>
    <row r="970" ht="12.75" customHeight="1">
      <c r="A970" s="14"/>
      <c r="B970" s="14"/>
      <c r="C970" s="14"/>
      <c r="D970" s="14"/>
      <c r="O970" s="14"/>
      <c r="P970" s="14"/>
      <c r="Q970" s="14"/>
      <c r="R970" s="14"/>
    </row>
    <row r="971" ht="12.75" customHeight="1">
      <c r="A971" s="14"/>
      <c r="B971" s="14"/>
      <c r="C971" s="14"/>
      <c r="D971" s="14"/>
      <c r="O971" s="14"/>
      <c r="P971" s="14"/>
      <c r="Q971" s="14"/>
      <c r="R971" s="14"/>
    </row>
    <row r="972" ht="12.75" customHeight="1">
      <c r="A972" s="14"/>
      <c r="B972" s="14"/>
      <c r="C972" s="14"/>
      <c r="D972" s="14"/>
      <c r="O972" s="14"/>
      <c r="P972" s="14"/>
      <c r="Q972" s="14"/>
      <c r="R972" s="14"/>
    </row>
    <row r="973" ht="12.75" customHeight="1">
      <c r="A973" s="14"/>
      <c r="B973" s="14"/>
      <c r="C973" s="14"/>
      <c r="D973" s="14"/>
      <c r="O973" s="14"/>
      <c r="P973" s="14"/>
      <c r="Q973" s="14"/>
      <c r="R973" s="14"/>
    </row>
    <row r="974" ht="12.75" customHeight="1">
      <c r="A974" s="14"/>
      <c r="B974" s="14"/>
      <c r="C974" s="14"/>
      <c r="D974" s="14"/>
      <c r="O974" s="14"/>
      <c r="P974" s="14"/>
      <c r="Q974" s="14"/>
      <c r="R974" s="14"/>
    </row>
    <row r="975" ht="12.75" customHeight="1">
      <c r="A975" s="14"/>
      <c r="B975" s="14"/>
      <c r="C975" s="14"/>
      <c r="D975" s="14"/>
      <c r="O975" s="14"/>
      <c r="P975" s="14"/>
      <c r="Q975" s="14"/>
      <c r="R975" s="14"/>
    </row>
    <row r="976" ht="12.75" customHeight="1">
      <c r="A976" s="14"/>
      <c r="B976" s="14"/>
      <c r="C976" s="14"/>
      <c r="D976" s="14"/>
      <c r="O976" s="14"/>
      <c r="P976" s="14"/>
      <c r="Q976" s="14"/>
      <c r="R976" s="14"/>
    </row>
    <row r="977" ht="12.75" customHeight="1">
      <c r="A977" s="14"/>
      <c r="B977" s="14"/>
      <c r="C977" s="14"/>
      <c r="D977" s="14"/>
      <c r="O977" s="14"/>
      <c r="P977" s="14"/>
      <c r="Q977" s="14"/>
      <c r="R977" s="14"/>
    </row>
    <row r="978" ht="12.75" customHeight="1">
      <c r="A978" s="14"/>
      <c r="B978" s="14"/>
      <c r="C978" s="14"/>
      <c r="D978" s="14"/>
      <c r="O978" s="14"/>
      <c r="P978" s="14"/>
      <c r="Q978" s="14"/>
      <c r="R978" s="14"/>
    </row>
    <row r="979" ht="12.75" customHeight="1">
      <c r="A979" s="14"/>
      <c r="B979" s="14"/>
      <c r="C979" s="14"/>
      <c r="D979" s="14"/>
      <c r="O979" s="14"/>
      <c r="P979" s="14"/>
      <c r="Q979" s="14"/>
      <c r="R979" s="14"/>
    </row>
    <row r="980" ht="12.75" customHeight="1">
      <c r="A980" s="14"/>
      <c r="B980" s="14"/>
      <c r="C980" s="14"/>
      <c r="D980" s="14"/>
      <c r="O980" s="14"/>
      <c r="P980" s="14"/>
      <c r="Q980" s="14"/>
      <c r="R980" s="14"/>
    </row>
    <row r="981" ht="12.75" customHeight="1">
      <c r="A981" s="14"/>
      <c r="B981" s="14"/>
      <c r="C981" s="14"/>
      <c r="D981" s="14"/>
      <c r="O981" s="14"/>
      <c r="P981" s="14"/>
      <c r="Q981" s="14"/>
      <c r="R981" s="14"/>
    </row>
    <row r="982" ht="12.75" customHeight="1">
      <c r="A982" s="14"/>
      <c r="B982" s="14"/>
      <c r="C982" s="14"/>
      <c r="D982" s="14"/>
      <c r="O982" s="14"/>
      <c r="P982" s="14"/>
      <c r="Q982" s="14"/>
      <c r="R982" s="14"/>
    </row>
    <row r="983" ht="12.75" customHeight="1">
      <c r="A983" s="14"/>
      <c r="B983" s="14"/>
      <c r="C983" s="14"/>
      <c r="D983" s="14"/>
      <c r="O983" s="14"/>
      <c r="P983" s="14"/>
      <c r="Q983" s="14"/>
      <c r="R983" s="14"/>
    </row>
    <row r="984" ht="12.75" customHeight="1">
      <c r="A984" s="14"/>
      <c r="B984" s="14"/>
      <c r="C984" s="14"/>
      <c r="D984" s="14"/>
      <c r="O984" s="14"/>
      <c r="P984" s="14"/>
      <c r="Q984" s="14"/>
      <c r="R984" s="14"/>
    </row>
    <row r="985" ht="12.75" customHeight="1">
      <c r="A985" s="14"/>
      <c r="B985" s="14"/>
      <c r="C985" s="14"/>
      <c r="D985" s="14"/>
      <c r="O985" s="14"/>
      <c r="P985" s="14"/>
      <c r="Q985" s="14"/>
      <c r="R985" s="14"/>
    </row>
    <row r="986" ht="12.75" customHeight="1">
      <c r="A986" s="14"/>
      <c r="B986" s="14"/>
      <c r="C986" s="14"/>
      <c r="D986" s="14"/>
      <c r="O986" s="14"/>
      <c r="P986" s="14"/>
      <c r="Q986" s="14"/>
      <c r="R986" s="14"/>
    </row>
    <row r="987" ht="12.75" customHeight="1">
      <c r="A987" s="14"/>
      <c r="B987" s="14"/>
      <c r="C987" s="14"/>
      <c r="D987" s="14"/>
      <c r="O987" s="14"/>
      <c r="P987" s="14"/>
      <c r="Q987" s="14"/>
      <c r="R987" s="14"/>
    </row>
    <row r="988" ht="12.75" customHeight="1">
      <c r="A988" s="14"/>
      <c r="B988" s="14"/>
      <c r="C988" s="14"/>
      <c r="D988" s="14"/>
      <c r="O988" s="14"/>
      <c r="P988" s="14"/>
      <c r="Q988" s="14"/>
      <c r="R988" s="14"/>
    </row>
    <row r="989" ht="12.75" customHeight="1">
      <c r="A989" s="14"/>
      <c r="B989" s="14"/>
      <c r="C989" s="14"/>
      <c r="D989" s="14"/>
      <c r="O989" s="14"/>
      <c r="P989" s="14"/>
      <c r="Q989" s="14"/>
      <c r="R989" s="14"/>
    </row>
    <row r="990" ht="12.75" customHeight="1">
      <c r="A990" s="14"/>
      <c r="B990" s="14"/>
      <c r="C990" s="14"/>
      <c r="D990" s="14"/>
      <c r="O990" s="14"/>
      <c r="P990" s="14"/>
      <c r="Q990" s="14"/>
      <c r="R990" s="14"/>
    </row>
    <row r="991" ht="12.75" customHeight="1">
      <c r="A991" s="14"/>
      <c r="B991" s="14"/>
      <c r="C991" s="14"/>
      <c r="D991" s="14"/>
      <c r="O991" s="14"/>
      <c r="P991" s="14"/>
      <c r="Q991" s="14"/>
      <c r="R991" s="14"/>
    </row>
    <row r="992" ht="12.75" customHeight="1">
      <c r="A992" s="14"/>
      <c r="B992" s="14"/>
      <c r="C992" s="14"/>
      <c r="D992" s="14"/>
      <c r="O992" s="14"/>
      <c r="P992" s="14"/>
      <c r="Q992" s="14"/>
      <c r="R992" s="14"/>
    </row>
    <row r="993" ht="12.75" customHeight="1">
      <c r="A993" s="14"/>
      <c r="B993" s="14"/>
      <c r="C993" s="14"/>
      <c r="D993" s="14"/>
      <c r="O993" s="14"/>
      <c r="P993" s="14"/>
      <c r="Q993" s="14"/>
      <c r="R993" s="14"/>
    </row>
    <row r="994" ht="12.75" customHeight="1">
      <c r="A994" s="14"/>
      <c r="B994" s="14"/>
      <c r="C994" s="14"/>
      <c r="D994" s="14"/>
      <c r="O994" s="14"/>
      <c r="P994" s="14"/>
      <c r="Q994" s="14"/>
      <c r="R994" s="14"/>
    </row>
    <row r="995" ht="12.75" customHeight="1">
      <c r="A995" s="14"/>
      <c r="B995" s="14"/>
      <c r="C995" s="14"/>
      <c r="D995" s="14"/>
      <c r="O995" s="14"/>
      <c r="P995" s="14"/>
      <c r="Q995" s="14"/>
      <c r="R995" s="14"/>
    </row>
    <row r="996" ht="12.75" customHeight="1">
      <c r="A996" s="14"/>
      <c r="B996" s="14"/>
      <c r="C996" s="14"/>
      <c r="D996" s="14"/>
      <c r="O996" s="14"/>
      <c r="P996" s="14"/>
      <c r="Q996" s="14"/>
      <c r="R996" s="14"/>
    </row>
    <row r="997" ht="12.75" customHeight="1">
      <c r="A997" s="14"/>
      <c r="B997" s="14"/>
      <c r="C997" s="14"/>
      <c r="D997" s="14"/>
      <c r="O997" s="14"/>
      <c r="P997" s="14"/>
      <c r="Q997" s="14"/>
      <c r="R997" s="14"/>
    </row>
    <row r="998" ht="12.75" customHeight="1">
      <c r="A998" s="14"/>
      <c r="B998" s="14"/>
      <c r="C998" s="14"/>
      <c r="D998" s="14"/>
      <c r="O998" s="14"/>
      <c r="P998" s="14"/>
      <c r="Q998" s="14"/>
      <c r="R998" s="14"/>
    </row>
    <row r="999" ht="12.75" customHeight="1">
      <c r="A999" s="14"/>
      <c r="B999" s="14"/>
      <c r="C999" s="14"/>
      <c r="D999" s="14"/>
      <c r="O999" s="14"/>
      <c r="P999" s="14"/>
      <c r="Q999" s="14"/>
      <c r="R999" s="14"/>
    </row>
    <row r="1000" ht="12.75" customHeight="1">
      <c r="A1000" s="14"/>
      <c r="B1000" s="14"/>
      <c r="C1000" s="14"/>
      <c r="D1000" s="14"/>
      <c r="O1000" s="14"/>
      <c r="P1000" s="14"/>
      <c r="Q1000" s="14"/>
      <c r="R1000" s="14"/>
    </row>
  </sheetData>
  <printOptions/>
  <pageMargins bottom="1.0" footer="0.0" header="0.0" left="0.75" right="0.75" top="1.0"/>
  <pageSetup orientation="portrait"/>
  <drawing r:id="rId1"/>
</worksheet>
</file>